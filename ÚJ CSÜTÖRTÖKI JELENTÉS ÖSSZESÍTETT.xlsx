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orL\Desktop\Feladatok\2025. április\Külföldi\"/>
    </mc:Choice>
  </mc:AlternateContent>
  <xr:revisionPtr revIDLastSave="0" documentId="13_ncr:1_{35A9C837-33A8-4AC0-AEC1-455C9D123230}" xr6:coauthVersionLast="47" xr6:coauthVersionMax="47" xr10:uidLastSave="{00000000-0000-0000-0000-000000000000}"/>
  <bookViews>
    <workbookView xWindow="-120" yWindow="-120" windowWidth="38640" windowHeight="21120" activeTab="7" xr2:uid="{CADC0244-D654-40D3-8308-E96002789C8B}"/>
  </bookViews>
  <sheets>
    <sheet name="szeptember" sheetId="1" r:id="rId1"/>
    <sheet name="október" sheetId="2" r:id="rId2"/>
    <sheet name="november" sheetId="3" r:id="rId3"/>
    <sheet name="december" sheetId="4" r:id="rId4"/>
    <sheet name="2026.január" sheetId="5" r:id="rId5"/>
    <sheet name="2026. február" sheetId="6" r:id="rId6"/>
    <sheet name="2026.március" sheetId="7" r:id="rId7"/>
    <sheet name="2026.ápril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8" l="1"/>
  <c r="E39" i="8"/>
  <c r="F41" i="8"/>
  <c r="E41" i="8"/>
  <c r="E40" i="8"/>
  <c r="F38" i="8"/>
  <c r="E38" i="8"/>
  <c r="AQ34" i="7"/>
  <c r="AQ35" i="7"/>
  <c r="AQ36" i="7"/>
  <c r="AP34" i="7"/>
  <c r="AP35" i="7"/>
  <c r="AP36" i="7"/>
  <c r="CG28" i="7"/>
  <c r="CG29" i="7"/>
  <c r="CG30" i="7"/>
  <c r="CG31" i="7"/>
  <c r="CG32" i="7"/>
  <c r="CG33" i="7"/>
  <c r="CG34" i="7"/>
  <c r="CG35" i="7"/>
  <c r="CG36" i="7"/>
  <c r="CF27" i="7"/>
  <c r="CF28" i="7"/>
  <c r="CF29" i="7"/>
  <c r="CF30" i="7"/>
  <c r="CF31" i="7"/>
  <c r="CF32" i="7"/>
  <c r="CF33" i="7"/>
  <c r="CF34" i="7"/>
  <c r="CF35" i="7"/>
  <c r="CF36" i="7"/>
  <c r="V36" i="7"/>
  <c r="U36" i="7"/>
  <c r="V31" i="7"/>
  <c r="V32" i="7"/>
  <c r="V33" i="7"/>
  <c r="V34" i="7"/>
  <c r="V35" i="7"/>
  <c r="U31" i="7"/>
  <c r="U32" i="7"/>
  <c r="U33" i="7"/>
  <c r="U34" i="7"/>
  <c r="U35" i="7"/>
  <c r="BL36" i="7"/>
  <c r="BK36" i="7"/>
  <c r="BL32" i="7"/>
  <c r="BL33" i="7"/>
  <c r="BL34" i="7"/>
  <c r="BL35" i="7"/>
  <c r="BK32" i="7"/>
  <c r="BK33" i="7"/>
  <c r="BK34" i="7"/>
  <c r="BK35" i="7"/>
  <c r="CG32" i="8"/>
  <c r="CF32" i="8"/>
  <c r="CG33" i="8"/>
  <c r="CF33" i="8"/>
  <c r="BL33" i="8"/>
  <c r="BK33" i="8"/>
  <c r="AQ33" i="8"/>
  <c r="AP33" i="8"/>
  <c r="V33" i="8"/>
  <c r="U33" i="8"/>
  <c r="CG31" i="8"/>
  <c r="CF31" i="8"/>
  <c r="BL31" i="8"/>
  <c r="BK31" i="8"/>
  <c r="AQ31" i="8"/>
  <c r="AP31" i="8"/>
  <c r="V31" i="8"/>
  <c r="U31" i="8"/>
  <c r="CG30" i="8"/>
  <c r="CF30" i="8"/>
  <c r="BL30" i="8"/>
  <c r="BK30" i="8"/>
  <c r="AQ30" i="8"/>
  <c r="AP30" i="8"/>
  <c r="V30" i="8"/>
  <c r="U30" i="8"/>
  <c r="CG29" i="8"/>
  <c r="CF29" i="8"/>
  <c r="BL29" i="8"/>
  <c r="BK29" i="8"/>
  <c r="AQ29" i="8"/>
  <c r="AP29" i="8"/>
  <c r="V29" i="8"/>
  <c r="U29" i="8"/>
  <c r="CG28" i="8"/>
  <c r="CF28" i="8"/>
  <c r="BL28" i="8"/>
  <c r="BK28" i="8"/>
  <c r="AQ28" i="8"/>
  <c r="AP28" i="8"/>
  <c r="V28" i="8"/>
  <c r="U28" i="8"/>
  <c r="CG27" i="8"/>
  <c r="CF27" i="8"/>
  <c r="BL27" i="8"/>
  <c r="BK27" i="8"/>
  <c r="AQ27" i="8"/>
  <c r="AP27" i="8"/>
  <c r="V27" i="8"/>
  <c r="U27" i="8"/>
  <c r="CG26" i="8"/>
  <c r="CF26" i="8"/>
  <c r="BL26" i="8"/>
  <c r="BK26" i="8"/>
  <c r="AQ26" i="8"/>
  <c r="AP26" i="8"/>
  <c r="V26" i="8"/>
  <c r="U26" i="8"/>
  <c r="CG25" i="8"/>
  <c r="CF25" i="8"/>
  <c r="BL25" i="8"/>
  <c r="BK25" i="8"/>
  <c r="AQ25" i="8"/>
  <c r="AP25" i="8"/>
  <c r="V25" i="8"/>
  <c r="U25" i="8"/>
  <c r="CG24" i="8"/>
  <c r="CF24" i="8"/>
  <c r="BL24" i="8"/>
  <c r="BK24" i="8"/>
  <c r="AQ24" i="8"/>
  <c r="AP24" i="8"/>
  <c r="V24" i="8"/>
  <c r="U24" i="8"/>
  <c r="CG23" i="8"/>
  <c r="CF23" i="8"/>
  <c r="BL23" i="8"/>
  <c r="BK23" i="8"/>
  <c r="AQ23" i="8"/>
  <c r="AP23" i="8"/>
  <c r="V23" i="8"/>
  <c r="U23" i="8"/>
  <c r="CG22" i="8"/>
  <c r="CF22" i="8"/>
  <c r="BL22" i="8"/>
  <c r="BK22" i="8"/>
  <c r="AQ22" i="8"/>
  <c r="AP22" i="8"/>
  <c r="V22" i="8"/>
  <c r="U22" i="8"/>
  <c r="CG21" i="8"/>
  <c r="CF21" i="8"/>
  <c r="BL21" i="8"/>
  <c r="BK21" i="8"/>
  <c r="AQ21" i="8"/>
  <c r="AP21" i="8"/>
  <c r="V21" i="8"/>
  <c r="U21" i="8"/>
  <c r="CG20" i="8"/>
  <c r="CF20" i="8"/>
  <c r="BL20" i="8"/>
  <c r="BK20" i="8"/>
  <c r="AQ20" i="8"/>
  <c r="AP20" i="8"/>
  <c r="V20" i="8"/>
  <c r="U20" i="8"/>
  <c r="CG19" i="8"/>
  <c r="CF19" i="8"/>
  <c r="BL19" i="8"/>
  <c r="BK19" i="8"/>
  <c r="AQ19" i="8"/>
  <c r="AP19" i="8"/>
  <c r="V19" i="8"/>
  <c r="U19" i="8"/>
  <c r="CG18" i="8"/>
  <c r="CF18" i="8"/>
  <c r="BL18" i="8"/>
  <c r="BK18" i="8"/>
  <c r="AQ18" i="8"/>
  <c r="AP18" i="8"/>
  <c r="V18" i="8"/>
  <c r="U18" i="8"/>
  <c r="CG17" i="8"/>
  <c r="CF17" i="8"/>
  <c r="BL17" i="8"/>
  <c r="BK17" i="8"/>
  <c r="AQ17" i="8"/>
  <c r="AP17" i="8"/>
  <c r="V17" i="8"/>
  <c r="U17" i="8"/>
  <c r="CG16" i="8"/>
  <c r="CF16" i="8"/>
  <c r="BL16" i="8"/>
  <c r="BK16" i="8"/>
  <c r="AQ16" i="8"/>
  <c r="AP16" i="8"/>
  <c r="V16" i="8"/>
  <c r="U16" i="8"/>
  <c r="CG15" i="8"/>
  <c r="CF15" i="8"/>
  <c r="BL15" i="8"/>
  <c r="BK15" i="8"/>
  <c r="AQ15" i="8"/>
  <c r="AP15" i="8"/>
  <c r="V15" i="8"/>
  <c r="U15" i="8"/>
  <c r="CG14" i="8"/>
  <c r="CF14" i="8"/>
  <c r="BL14" i="8"/>
  <c r="BK14" i="8"/>
  <c r="AQ14" i="8"/>
  <c r="AP14" i="8"/>
  <c r="V14" i="8"/>
  <c r="U14" i="8"/>
  <c r="CG13" i="8"/>
  <c r="CF13" i="8"/>
  <c r="BL13" i="8"/>
  <c r="BK13" i="8"/>
  <c r="AQ13" i="8"/>
  <c r="AP13" i="8"/>
  <c r="V13" i="8"/>
  <c r="U13" i="8"/>
  <c r="CG12" i="8"/>
  <c r="CF12" i="8"/>
  <c r="BL12" i="8"/>
  <c r="BK12" i="8"/>
  <c r="AQ12" i="8"/>
  <c r="AP12" i="8"/>
  <c r="V12" i="8"/>
  <c r="U12" i="8"/>
  <c r="CG11" i="8"/>
  <c r="CF11" i="8"/>
  <c r="BL11" i="8"/>
  <c r="BK11" i="8"/>
  <c r="AQ11" i="8"/>
  <c r="AP11" i="8"/>
  <c r="V11" i="8"/>
  <c r="U11" i="8"/>
  <c r="CG10" i="8"/>
  <c r="CF10" i="8"/>
  <c r="BL10" i="8"/>
  <c r="BK10" i="8"/>
  <c r="AQ10" i="8"/>
  <c r="AP10" i="8"/>
  <c r="V10" i="8"/>
  <c r="U10" i="8"/>
  <c r="CG9" i="8"/>
  <c r="CF9" i="8"/>
  <c r="BL9" i="8"/>
  <c r="BK9" i="8"/>
  <c r="AQ9" i="8"/>
  <c r="AP9" i="8"/>
  <c r="V9" i="8"/>
  <c r="U9" i="8"/>
  <c r="CG8" i="8"/>
  <c r="CF8" i="8"/>
  <c r="BL8" i="8"/>
  <c r="BK8" i="8"/>
  <c r="AQ8" i="8"/>
  <c r="AP8" i="8"/>
  <c r="V8" i="8"/>
  <c r="U8" i="8"/>
  <c r="CG7" i="8"/>
  <c r="CF7" i="8"/>
  <c r="BL7" i="8"/>
  <c r="BK7" i="8"/>
  <c r="AQ7" i="8"/>
  <c r="AP7" i="8"/>
  <c r="V7" i="8"/>
  <c r="U7" i="8"/>
  <c r="CG6" i="8"/>
  <c r="CF6" i="8"/>
  <c r="BL6" i="8"/>
  <c r="BK6" i="8"/>
  <c r="AQ6" i="8"/>
  <c r="AP6" i="8"/>
  <c r="V6" i="8"/>
  <c r="U6" i="8"/>
  <c r="CG5" i="8"/>
  <c r="CF5" i="8"/>
  <c r="BL5" i="8"/>
  <c r="BK5" i="8"/>
  <c r="AQ5" i="8"/>
  <c r="AP5" i="8"/>
  <c r="CG4" i="8"/>
  <c r="CF4" i="8"/>
  <c r="BL4" i="8"/>
  <c r="BK4" i="8"/>
  <c r="AP4" i="8"/>
  <c r="U4" i="8"/>
  <c r="V4" i="8"/>
  <c r="CG6" i="7"/>
  <c r="CG7" i="7"/>
  <c r="CG8" i="7"/>
  <c r="CG9" i="7"/>
  <c r="CG10" i="7"/>
  <c r="CG11" i="7"/>
  <c r="CG12" i="7"/>
  <c r="CG13" i="7"/>
  <c r="CG14" i="7"/>
  <c r="CG15" i="7"/>
  <c r="CG16" i="7"/>
  <c r="CG17" i="7"/>
  <c r="CG18" i="7"/>
  <c r="CG19" i="7"/>
  <c r="CG20" i="7"/>
  <c r="CG21" i="7"/>
  <c r="CG22" i="7"/>
  <c r="CG23" i="7"/>
  <c r="CG24" i="7"/>
  <c r="CG25" i="7"/>
  <c r="CG26" i="7"/>
  <c r="CG27" i="7"/>
  <c r="CF17" i="7"/>
  <c r="CF18" i="7"/>
  <c r="CF19" i="7"/>
  <c r="CF20" i="7"/>
  <c r="CF21" i="7"/>
  <c r="CF22" i="7"/>
  <c r="CF23" i="7"/>
  <c r="CF24" i="7"/>
  <c r="CF25" i="7"/>
  <c r="CF26" i="7"/>
  <c r="CF6" i="7"/>
  <c r="CF7" i="7"/>
  <c r="CF8" i="7"/>
  <c r="CF9" i="7"/>
  <c r="CF10" i="7"/>
  <c r="CF11" i="7"/>
  <c r="CF12" i="7"/>
  <c r="CF13" i="7"/>
  <c r="CF14" i="7"/>
  <c r="CF15" i="7"/>
  <c r="CF16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6" i="7"/>
  <c r="BL7" i="7"/>
  <c r="BL8" i="7"/>
  <c r="BL9" i="7"/>
  <c r="BL10" i="7"/>
  <c r="BL11" i="7"/>
  <c r="BL12" i="7"/>
  <c r="BL13" i="7"/>
  <c r="BL14" i="7"/>
  <c r="BL15" i="7"/>
  <c r="BK21" i="7"/>
  <c r="BK22" i="7"/>
  <c r="BK23" i="7"/>
  <c r="BK24" i="7"/>
  <c r="BK25" i="7"/>
  <c r="BK26" i="7"/>
  <c r="BK27" i="7"/>
  <c r="BK28" i="7"/>
  <c r="BK29" i="7"/>
  <c r="BK30" i="7"/>
  <c r="BK31" i="7"/>
  <c r="BK8" i="7"/>
  <c r="BK9" i="7"/>
  <c r="BK10" i="7"/>
  <c r="BK11" i="7"/>
  <c r="BK12" i="7"/>
  <c r="BK13" i="7"/>
  <c r="BK14" i="7"/>
  <c r="BK15" i="7"/>
  <c r="BK16" i="7"/>
  <c r="G40" i="7" s="1"/>
  <c r="BK17" i="7"/>
  <c r="BK18" i="7"/>
  <c r="BK19" i="7"/>
  <c r="BK20" i="7"/>
  <c r="BK6" i="7"/>
  <c r="BK7" i="7"/>
  <c r="AQ27" i="7"/>
  <c r="AQ28" i="7"/>
  <c r="AQ29" i="7"/>
  <c r="AQ30" i="7"/>
  <c r="AQ31" i="7"/>
  <c r="AQ33" i="7"/>
  <c r="AQ15" i="7"/>
  <c r="AQ16" i="7"/>
  <c r="H40" i="7" s="1"/>
  <c r="AQ17" i="7"/>
  <c r="AQ18" i="7"/>
  <c r="AQ19" i="7"/>
  <c r="AQ20" i="7"/>
  <c r="AQ21" i="7"/>
  <c r="AQ22" i="7"/>
  <c r="AQ23" i="7"/>
  <c r="AQ24" i="7"/>
  <c r="AQ25" i="7"/>
  <c r="AQ26" i="7"/>
  <c r="AQ10" i="7"/>
  <c r="AQ11" i="7"/>
  <c r="AQ12" i="7"/>
  <c r="AQ13" i="7"/>
  <c r="AQ14" i="7"/>
  <c r="AQ7" i="7"/>
  <c r="AQ8" i="7"/>
  <c r="AQ9" i="7"/>
  <c r="AQ6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3" i="7"/>
  <c r="AP6" i="7"/>
  <c r="AP7" i="7"/>
  <c r="AP8" i="7"/>
  <c r="U9" i="7"/>
  <c r="G39" i="7" s="1"/>
  <c r="V17" i="7"/>
  <c r="V18" i="7"/>
  <c r="V19" i="7"/>
  <c r="V20" i="7"/>
  <c r="V21" i="7"/>
  <c r="V22" i="7"/>
  <c r="V23" i="7"/>
  <c r="H41" i="7" s="1"/>
  <c r="V24" i="7"/>
  <c r="V25" i="7"/>
  <c r="V26" i="7"/>
  <c r="V27" i="7"/>
  <c r="V28" i="7"/>
  <c r="V29" i="7"/>
  <c r="V30" i="7"/>
  <c r="V9" i="7"/>
  <c r="H39" i="7" s="1"/>
  <c r="V10" i="7"/>
  <c r="V11" i="7"/>
  <c r="V12" i="7"/>
  <c r="V13" i="7"/>
  <c r="V14" i="7"/>
  <c r="V15" i="7"/>
  <c r="V16" i="7"/>
  <c r="V7" i="7"/>
  <c r="V8" i="7"/>
  <c r="V6" i="7"/>
  <c r="U24" i="7"/>
  <c r="U25" i="7"/>
  <c r="U26" i="7"/>
  <c r="U27" i="7"/>
  <c r="U28" i="7"/>
  <c r="U29" i="7"/>
  <c r="U30" i="7"/>
  <c r="U18" i="7"/>
  <c r="U19" i="7"/>
  <c r="U20" i="7"/>
  <c r="U21" i="7"/>
  <c r="U22" i="7"/>
  <c r="U23" i="7"/>
  <c r="G41" i="7" s="1"/>
  <c r="U16" i="7"/>
  <c r="U17" i="7"/>
  <c r="U14" i="7"/>
  <c r="U15" i="7"/>
  <c r="U13" i="7"/>
  <c r="U11" i="7"/>
  <c r="U7" i="7"/>
  <c r="U6" i="7"/>
  <c r="U8" i="7"/>
  <c r="U10" i="7"/>
  <c r="U12" i="7"/>
  <c r="CG5" i="7"/>
  <c r="CF5" i="7"/>
  <c r="BL5" i="7"/>
  <c r="BK5" i="7"/>
  <c r="AQ5" i="7"/>
  <c r="AP5" i="7"/>
  <c r="CG4" i="7"/>
  <c r="CF4" i="7"/>
  <c r="BL4" i="7"/>
  <c r="BK4" i="7"/>
  <c r="AP4" i="7"/>
  <c r="U4" i="7"/>
  <c r="H4" i="7"/>
  <c r="V4" i="7" s="1"/>
  <c r="BN23" i="6"/>
  <c r="BM23" i="6"/>
  <c r="BM22" i="6"/>
  <c r="V9" i="6"/>
  <c r="U9" i="6"/>
  <c r="CK33" i="6"/>
  <c r="BO32" i="6"/>
  <c r="AP4" i="6"/>
  <c r="AR4" i="6" s="1"/>
  <c r="W5" i="6"/>
  <c r="W25" i="6"/>
  <c r="N4" i="6"/>
  <c r="H4" i="6"/>
  <c r="CJ4" i="6"/>
  <c r="CI4" i="6"/>
  <c r="BN4" i="6"/>
  <c r="BM4" i="6"/>
  <c r="AQ4" i="6"/>
  <c r="U4" i="6"/>
  <c r="U6" i="6"/>
  <c r="V6" i="6"/>
  <c r="U7" i="6"/>
  <c r="V7" i="6"/>
  <c r="W7" i="6" s="1"/>
  <c r="U8" i="6"/>
  <c r="V8" i="6"/>
  <c r="U11" i="6"/>
  <c r="V11" i="6"/>
  <c r="W11" i="6" s="1"/>
  <c r="AQ11" i="6"/>
  <c r="AR11" i="6"/>
  <c r="BM11" i="6"/>
  <c r="BN11" i="6"/>
  <c r="CI11" i="6"/>
  <c r="CJ11" i="6"/>
  <c r="U12" i="6"/>
  <c r="W12" i="6" s="1"/>
  <c r="V12" i="6"/>
  <c r="AQ12" i="6"/>
  <c r="AR12" i="6"/>
  <c r="BM12" i="6"/>
  <c r="BN12" i="6"/>
  <c r="CI12" i="6"/>
  <c r="CJ12" i="6"/>
  <c r="CJ32" i="6"/>
  <c r="CI32" i="6"/>
  <c r="CK32" i="6" s="1"/>
  <c r="BN32" i="6"/>
  <c r="BM32" i="6"/>
  <c r="AR32" i="6"/>
  <c r="AQ32" i="6"/>
  <c r="V32" i="6"/>
  <c r="U32" i="6"/>
  <c r="CJ31" i="6"/>
  <c r="CI31" i="6"/>
  <c r="CK31" i="6" s="1"/>
  <c r="BN31" i="6"/>
  <c r="BM31" i="6"/>
  <c r="AR31" i="6"/>
  <c r="AQ31" i="6"/>
  <c r="V31" i="6"/>
  <c r="U31" i="6"/>
  <c r="CJ30" i="6"/>
  <c r="CI30" i="6"/>
  <c r="BN30" i="6"/>
  <c r="BM30" i="6"/>
  <c r="AR30" i="6"/>
  <c r="AQ30" i="6"/>
  <c r="V30" i="6"/>
  <c r="U30" i="6"/>
  <c r="CJ29" i="6"/>
  <c r="CI29" i="6"/>
  <c r="BN29" i="6"/>
  <c r="BM29" i="6"/>
  <c r="AR29" i="6"/>
  <c r="AQ29" i="6"/>
  <c r="V29" i="6"/>
  <c r="U29" i="6"/>
  <c r="CJ28" i="6"/>
  <c r="CI28" i="6"/>
  <c r="BN28" i="6"/>
  <c r="BM28" i="6"/>
  <c r="AR28" i="6"/>
  <c r="AQ28" i="6"/>
  <c r="V28" i="6"/>
  <c r="U28" i="6"/>
  <c r="CJ27" i="6"/>
  <c r="CI27" i="6"/>
  <c r="BN27" i="6"/>
  <c r="BM27" i="6"/>
  <c r="BO27" i="6" s="1"/>
  <c r="AR27" i="6"/>
  <c r="AQ27" i="6"/>
  <c r="V27" i="6"/>
  <c r="U27" i="6"/>
  <c r="W27" i="6" s="1"/>
  <c r="CJ26" i="6"/>
  <c r="CI26" i="6"/>
  <c r="BN26" i="6"/>
  <c r="BM26" i="6"/>
  <c r="BO26" i="6" s="1"/>
  <c r="AR26" i="6"/>
  <c r="AQ26" i="6"/>
  <c r="V26" i="6"/>
  <c r="U26" i="6"/>
  <c r="W26" i="6" s="1"/>
  <c r="CJ25" i="6"/>
  <c r="CI25" i="6"/>
  <c r="BN25" i="6"/>
  <c r="BM25" i="6"/>
  <c r="BO25" i="6" s="1"/>
  <c r="AR25" i="6"/>
  <c r="AQ25" i="6"/>
  <c r="V25" i="6"/>
  <c r="U25" i="6"/>
  <c r="CJ24" i="6"/>
  <c r="CI24" i="6"/>
  <c r="BN24" i="6"/>
  <c r="BM24" i="6"/>
  <c r="AR24" i="6"/>
  <c r="AQ24" i="6"/>
  <c r="V24" i="6"/>
  <c r="U24" i="6"/>
  <c r="CJ23" i="6"/>
  <c r="CI23" i="6"/>
  <c r="AR23" i="6"/>
  <c r="AQ23" i="6"/>
  <c r="V23" i="6"/>
  <c r="U23" i="6"/>
  <c r="CJ22" i="6"/>
  <c r="CI22" i="6"/>
  <c r="BN22" i="6"/>
  <c r="AR22" i="6"/>
  <c r="AQ22" i="6"/>
  <c r="V22" i="6"/>
  <c r="U22" i="6"/>
  <c r="CJ21" i="6"/>
  <c r="CI21" i="6"/>
  <c r="BN21" i="6"/>
  <c r="BM21" i="6"/>
  <c r="AR21" i="6"/>
  <c r="AQ21" i="6"/>
  <c r="V21" i="6"/>
  <c r="U21" i="6"/>
  <c r="CJ20" i="6"/>
  <c r="CI20" i="6"/>
  <c r="BN20" i="6"/>
  <c r="BM20" i="6"/>
  <c r="AR20" i="6"/>
  <c r="AQ20" i="6"/>
  <c r="V20" i="6"/>
  <c r="U20" i="6"/>
  <c r="W20" i="6" s="1"/>
  <c r="CJ19" i="6"/>
  <c r="CI19" i="6"/>
  <c r="BN19" i="6"/>
  <c r="BM19" i="6"/>
  <c r="AR19" i="6"/>
  <c r="AQ19" i="6"/>
  <c r="V19" i="6"/>
  <c r="U19" i="6"/>
  <c r="CJ18" i="6"/>
  <c r="CI18" i="6"/>
  <c r="BN18" i="6"/>
  <c r="BM18" i="6"/>
  <c r="AR18" i="6"/>
  <c r="AQ18" i="6"/>
  <c r="V18" i="6"/>
  <c r="U18" i="6"/>
  <c r="W18" i="6" s="1"/>
  <c r="CJ17" i="6"/>
  <c r="CI17" i="6"/>
  <c r="BN17" i="6"/>
  <c r="BM17" i="6"/>
  <c r="AR17" i="6"/>
  <c r="AQ17" i="6"/>
  <c r="V17" i="6"/>
  <c r="U17" i="6"/>
  <c r="CJ16" i="6"/>
  <c r="CI16" i="6"/>
  <c r="BN16" i="6"/>
  <c r="BM16" i="6"/>
  <c r="AR16" i="6"/>
  <c r="AQ16" i="6"/>
  <c r="V16" i="6"/>
  <c r="U16" i="6"/>
  <c r="CJ15" i="6"/>
  <c r="CI15" i="6"/>
  <c r="BN15" i="6"/>
  <c r="BM15" i="6"/>
  <c r="AR15" i="6"/>
  <c r="AQ15" i="6"/>
  <c r="V15" i="6"/>
  <c r="U15" i="6"/>
  <c r="CJ14" i="6"/>
  <c r="CI14" i="6"/>
  <c r="BN14" i="6"/>
  <c r="BM14" i="6"/>
  <c r="AR14" i="6"/>
  <c r="AQ14" i="6"/>
  <c r="V14" i="6"/>
  <c r="U14" i="6"/>
  <c r="CJ13" i="6"/>
  <c r="CI13" i="6"/>
  <c r="BN13" i="6"/>
  <c r="BM13" i="6"/>
  <c r="AR13" i="6"/>
  <c r="AQ13" i="6"/>
  <c r="V13" i="6"/>
  <c r="U13" i="6"/>
  <c r="W13" i="6" s="1"/>
  <c r="CJ10" i="6"/>
  <c r="CI10" i="6"/>
  <c r="BN10" i="6"/>
  <c r="BM10" i="6"/>
  <c r="AR10" i="6"/>
  <c r="AQ10" i="6"/>
  <c r="V10" i="6"/>
  <c r="U10" i="6"/>
  <c r="CJ9" i="6"/>
  <c r="CI9" i="6"/>
  <c r="BN9" i="6"/>
  <c r="BM9" i="6"/>
  <c r="AR9" i="6"/>
  <c r="AQ9" i="6"/>
  <c r="CJ8" i="6"/>
  <c r="CI8" i="6"/>
  <c r="BN8" i="6"/>
  <c r="BM8" i="6"/>
  <c r="AR8" i="6"/>
  <c r="AQ8" i="6"/>
  <c r="CJ7" i="6"/>
  <c r="CI7" i="6"/>
  <c r="BN7" i="6"/>
  <c r="BM7" i="6"/>
  <c r="AR7" i="6"/>
  <c r="AQ7" i="6"/>
  <c r="CJ6" i="6"/>
  <c r="CI6" i="6"/>
  <c r="BN6" i="6"/>
  <c r="BM6" i="6"/>
  <c r="AR6" i="6"/>
  <c r="AQ6" i="6"/>
  <c r="CJ5" i="6"/>
  <c r="CI5" i="6"/>
  <c r="BN5" i="6"/>
  <c r="BM5" i="6"/>
  <c r="AR5" i="6"/>
  <c r="AQ5" i="6"/>
  <c r="CJ36" i="5"/>
  <c r="CI36" i="5"/>
  <c r="BM24" i="5"/>
  <c r="BN24" i="5"/>
  <c r="BN4" i="5"/>
  <c r="BM4" i="5"/>
  <c r="CJ6" i="5"/>
  <c r="CJ7" i="5"/>
  <c r="CJ8" i="5"/>
  <c r="CJ9" i="5"/>
  <c r="CJ10" i="5"/>
  <c r="CJ11" i="5"/>
  <c r="CJ12" i="5"/>
  <c r="CJ13" i="5"/>
  <c r="CJ14" i="5"/>
  <c r="CJ15" i="5"/>
  <c r="CJ16" i="5"/>
  <c r="CJ17" i="5"/>
  <c r="CJ18" i="5"/>
  <c r="CJ19" i="5"/>
  <c r="CJ20" i="5"/>
  <c r="CJ21" i="5"/>
  <c r="CJ22" i="5"/>
  <c r="CJ23" i="5"/>
  <c r="CJ24" i="5"/>
  <c r="CJ25" i="5"/>
  <c r="CJ26" i="5"/>
  <c r="CJ27" i="5"/>
  <c r="CJ28" i="5"/>
  <c r="CJ29" i="5"/>
  <c r="CJ30" i="5"/>
  <c r="CJ31" i="5"/>
  <c r="CJ32" i="5"/>
  <c r="CJ33" i="5"/>
  <c r="CJ34" i="5"/>
  <c r="CJ35" i="5"/>
  <c r="CI6" i="5"/>
  <c r="CI7" i="5"/>
  <c r="CI8" i="5"/>
  <c r="CI9" i="5"/>
  <c r="CI10" i="5"/>
  <c r="CI11" i="5"/>
  <c r="CI12" i="5"/>
  <c r="CI13" i="5"/>
  <c r="CI14" i="5"/>
  <c r="CI15" i="5"/>
  <c r="CI16" i="5"/>
  <c r="CI17" i="5"/>
  <c r="CI18" i="5"/>
  <c r="CI19" i="5"/>
  <c r="CI20" i="5"/>
  <c r="CI21" i="5"/>
  <c r="CI22" i="5"/>
  <c r="CI23" i="5"/>
  <c r="CI24" i="5"/>
  <c r="CI25" i="5"/>
  <c r="CI26" i="5"/>
  <c r="CI27" i="5"/>
  <c r="CI28" i="5"/>
  <c r="CI29" i="5"/>
  <c r="CI30" i="5"/>
  <c r="CI31" i="5"/>
  <c r="CI32" i="5"/>
  <c r="CI33" i="5"/>
  <c r="CI34" i="5"/>
  <c r="CI35" i="5"/>
  <c r="BN6" i="5"/>
  <c r="BN7" i="5"/>
  <c r="BN8" i="5"/>
  <c r="BN9" i="5"/>
  <c r="BN10" i="5"/>
  <c r="BN11" i="5"/>
  <c r="BN12" i="5"/>
  <c r="BN13" i="5"/>
  <c r="BN14" i="5"/>
  <c r="BN15" i="5"/>
  <c r="BN16" i="5"/>
  <c r="BN17" i="5"/>
  <c r="BN18" i="5"/>
  <c r="BN19" i="5"/>
  <c r="BN20" i="5"/>
  <c r="BN21" i="5"/>
  <c r="BN22" i="5"/>
  <c r="BN23" i="5"/>
  <c r="BN25" i="5"/>
  <c r="BN26" i="5"/>
  <c r="BN27" i="5"/>
  <c r="BN28" i="5"/>
  <c r="BN29" i="5"/>
  <c r="BN30" i="5"/>
  <c r="BN31" i="5"/>
  <c r="BN32" i="5"/>
  <c r="BN33" i="5"/>
  <c r="BN34" i="5"/>
  <c r="BN35" i="5"/>
  <c r="BM6" i="5"/>
  <c r="BM7" i="5"/>
  <c r="BM8" i="5"/>
  <c r="BM9" i="5"/>
  <c r="BM10" i="5"/>
  <c r="BM11" i="5"/>
  <c r="BM12" i="5"/>
  <c r="BM13" i="5"/>
  <c r="BM14" i="5"/>
  <c r="BM15" i="5"/>
  <c r="BM16" i="5"/>
  <c r="BM17" i="5"/>
  <c r="BM18" i="5"/>
  <c r="BM19" i="5"/>
  <c r="BM20" i="5"/>
  <c r="BM21" i="5"/>
  <c r="BM22" i="5"/>
  <c r="BM23" i="5"/>
  <c r="BM25" i="5"/>
  <c r="BM26" i="5"/>
  <c r="BM27" i="5"/>
  <c r="BM28" i="5"/>
  <c r="BM29" i="5"/>
  <c r="BM30" i="5"/>
  <c r="BM31" i="5"/>
  <c r="BM32" i="5"/>
  <c r="BM33" i="5"/>
  <c r="BM34" i="5"/>
  <c r="BM35" i="5"/>
  <c r="AR6" i="5"/>
  <c r="AR7" i="5"/>
  <c r="AR8" i="5"/>
  <c r="AR9" i="5"/>
  <c r="AR10" i="5"/>
  <c r="AR11" i="5"/>
  <c r="AR12" i="5"/>
  <c r="AR13" i="5"/>
  <c r="AR14" i="5"/>
  <c r="AR15" i="5"/>
  <c r="AR16" i="5"/>
  <c r="AR17" i="5"/>
  <c r="AR18" i="5"/>
  <c r="AR19" i="5"/>
  <c r="AR20" i="5"/>
  <c r="AR21" i="5"/>
  <c r="AR22" i="5"/>
  <c r="AR23" i="5"/>
  <c r="AR24" i="5"/>
  <c r="AR25" i="5"/>
  <c r="AR26" i="5"/>
  <c r="AR27" i="5"/>
  <c r="AR28" i="5"/>
  <c r="AR29" i="5"/>
  <c r="AR30" i="5"/>
  <c r="AR31" i="5"/>
  <c r="AR32" i="5"/>
  <c r="AR33" i="5"/>
  <c r="AR34" i="5"/>
  <c r="AR35" i="5"/>
  <c r="AQ6" i="5"/>
  <c r="AQ7" i="5"/>
  <c r="AQ8" i="5"/>
  <c r="AQ9" i="5"/>
  <c r="AQ10" i="5"/>
  <c r="AQ11" i="5"/>
  <c r="AQ12" i="5"/>
  <c r="AQ13" i="5"/>
  <c r="AQ14" i="5"/>
  <c r="AQ15" i="5"/>
  <c r="AQ16" i="5"/>
  <c r="AQ17" i="5"/>
  <c r="AQ18" i="5"/>
  <c r="AQ19" i="5"/>
  <c r="AQ20" i="5"/>
  <c r="AQ21" i="5"/>
  <c r="AQ22" i="5"/>
  <c r="AQ23" i="5"/>
  <c r="AQ24" i="5"/>
  <c r="AQ25" i="5"/>
  <c r="AQ26" i="5"/>
  <c r="AQ27" i="5"/>
  <c r="AQ28" i="5"/>
  <c r="AQ29" i="5"/>
  <c r="AQ30" i="5"/>
  <c r="AQ31" i="5"/>
  <c r="AQ32" i="5"/>
  <c r="AQ33" i="5"/>
  <c r="AQ34" i="5"/>
  <c r="AQ3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CJ5" i="5"/>
  <c r="CI5" i="5"/>
  <c r="BN5" i="5"/>
  <c r="BM5" i="5"/>
  <c r="AR5" i="5"/>
  <c r="AQ5" i="5"/>
  <c r="V5" i="5"/>
  <c r="U5" i="5"/>
  <c r="BN12" i="4"/>
  <c r="BM5" i="4"/>
  <c r="CJ36" i="4"/>
  <c r="CI36" i="4"/>
  <c r="CJ35" i="4"/>
  <c r="CI35" i="4"/>
  <c r="CJ34" i="4"/>
  <c r="CI34" i="4"/>
  <c r="CJ33" i="4"/>
  <c r="CI33" i="4"/>
  <c r="CJ32" i="4"/>
  <c r="CI32" i="4"/>
  <c r="CJ31" i="4"/>
  <c r="CI31" i="4"/>
  <c r="CJ30" i="4"/>
  <c r="CI30" i="4"/>
  <c r="CJ29" i="4"/>
  <c r="CI29" i="4"/>
  <c r="CJ28" i="4"/>
  <c r="CI28" i="4"/>
  <c r="CJ27" i="4"/>
  <c r="CI27" i="4"/>
  <c r="CJ26" i="4"/>
  <c r="CI26" i="4"/>
  <c r="CJ25" i="4"/>
  <c r="CI25" i="4"/>
  <c r="CJ24" i="4"/>
  <c r="CI24" i="4"/>
  <c r="CJ23" i="4"/>
  <c r="CI23" i="4"/>
  <c r="CJ22" i="4"/>
  <c r="CI22" i="4"/>
  <c r="CJ21" i="4"/>
  <c r="CI21" i="4"/>
  <c r="CJ20" i="4"/>
  <c r="CI20" i="4"/>
  <c r="CJ19" i="4"/>
  <c r="CI19" i="4"/>
  <c r="CJ18" i="4"/>
  <c r="CI18" i="4"/>
  <c r="CJ17" i="4"/>
  <c r="CI17" i="4"/>
  <c r="CJ16" i="4"/>
  <c r="CI16" i="4"/>
  <c r="CJ15" i="4"/>
  <c r="CI15" i="4"/>
  <c r="CJ14" i="4"/>
  <c r="CI14" i="4"/>
  <c r="CJ13" i="4"/>
  <c r="CI13" i="4"/>
  <c r="CJ12" i="4"/>
  <c r="CI12" i="4"/>
  <c r="CJ11" i="4"/>
  <c r="CI11" i="4"/>
  <c r="CJ10" i="4"/>
  <c r="CI10" i="4"/>
  <c r="CJ9" i="4"/>
  <c r="CI9" i="4"/>
  <c r="CJ8" i="4"/>
  <c r="CI8" i="4"/>
  <c r="CJ7" i="4"/>
  <c r="CI7" i="4"/>
  <c r="CJ6" i="4"/>
  <c r="CI6" i="4"/>
  <c r="CJ5" i="4"/>
  <c r="CI5" i="4"/>
  <c r="U8" i="4"/>
  <c r="CM36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U6" i="4"/>
  <c r="U7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BN5" i="4"/>
  <c r="AR5" i="4"/>
  <c r="AQ5" i="4"/>
  <c r="V5" i="4"/>
  <c r="U5" i="4"/>
  <c r="BN36" i="4"/>
  <c r="BM36" i="4"/>
  <c r="BN34" i="4"/>
  <c r="BM34" i="4"/>
  <c r="BN33" i="4"/>
  <c r="BM33" i="4"/>
  <c r="BN32" i="4"/>
  <c r="BM32" i="4"/>
  <c r="BN31" i="4"/>
  <c r="BM31" i="4"/>
  <c r="BN30" i="4"/>
  <c r="BM30" i="4"/>
  <c r="BN29" i="4"/>
  <c r="BM29" i="4"/>
  <c r="BN28" i="4"/>
  <c r="BM28" i="4"/>
  <c r="BN27" i="4"/>
  <c r="BM27" i="4"/>
  <c r="BN26" i="4"/>
  <c r="BM26" i="4"/>
  <c r="BN25" i="4"/>
  <c r="BM25" i="4"/>
  <c r="BN24" i="4"/>
  <c r="BM24" i="4"/>
  <c r="BN23" i="4"/>
  <c r="BM23" i="4"/>
  <c r="BN22" i="4"/>
  <c r="BM22" i="4"/>
  <c r="BN21" i="4"/>
  <c r="BM21" i="4"/>
  <c r="BN20" i="4"/>
  <c r="BM20" i="4"/>
  <c r="BN19" i="4"/>
  <c r="BM19" i="4"/>
  <c r="BN18" i="4"/>
  <c r="BM18" i="4"/>
  <c r="BN17" i="4"/>
  <c r="BM17" i="4"/>
  <c r="BN16" i="4"/>
  <c r="BM16" i="4"/>
  <c r="BN15" i="4"/>
  <c r="BM15" i="4"/>
  <c r="BN14" i="4"/>
  <c r="BM14" i="4"/>
  <c r="BN13" i="4"/>
  <c r="BM13" i="4"/>
  <c r="BM12" i="4"/>
  <c r="BN11" i="4"/>
  <c r="BM11" i="4"/>
  <c r="BN10" i="4"/>
  <c r="BM10" i="4"/>
  <c r="BN9" i="4"/>
  <c r="BM9" i="4"/>
  <c r="BN8" i="4"/>
  <c r="BM8" i="4"/>
  <c r="BN7" i="4"/>
  <c r="BM7" i="4"/>
  <c r="BN6" i="4"/>
  <c r="BM6" i="4"/>
  <c r="CI5" i="3"/>
  <c r="CJ5" i="3"/>
  <c r="CI6" i="3"/>
  <c r="CJ6" i="3"/>
  <c r="CJ4" i="3"/>
  <c r="CI4" i="3"/>
  <c r="CM5" i="3"/>
  <c r="CM6" i="3"/>
  <c r="CM7" i="3"/>
  <c r="CM8" i="3"/>
  <c r="CM9" i="3"/>
  <c r="CM10" i="3"/>
  <c r="CM11" i="3"/>
  <c r="CM12" i="3"/>
  <c r="CM13" i="3"/>
  <c r="CM14" i="3"/>
  <c r="CM15" i="3"/>
  <c r="CM16" i="3"/>
  <c r="CM17" i="3"/>
  <c r="CM18" i="3"/>
  <c r="CM19" i="3"/>
  <c r="CM20" i="3"/>
  <c r="CM21" i="3"/>
  <c r="CM22" i="3"/>
  <c r="CM23" i="3"/>
  <c r="CM24" i="3"/>
  <c r="CM25" i="3"/>
  <c r="CM26" i="3"/>
  <c r="CM27" i="3"/>
  <c r="CM28" i="3"/>
  <c r="CM29" i="3"/>
  <c r="CM30" i="3"/>
  <c r="CM31" i="3"/>
  <c r="CM32" i="3"/>
  <c r="CM33" i="3"/>
  <c r="CM34" i="3"/>
  <c r="CM35" i="3"/>
  <c r="CM4" i="3"/>
  <c r="CJ7" i="3"/>
  <c r="CJ8" i="3"/>
  <c r="CJ9" i="3"/>
  <c r="CJ10" i="3"/>
  <c r="CJ11" i="3"/>
  <c r="CJ12" i="3"/>
  <c r="CJ13" i="3"/>
  <c r="CJ14" i="3"/>
  <c r="CJ15" i="3"/>
  <c r="CJ16" i="3"/>
  <c r="CJ17" i="3"/>
  <c r="CJ18" i="3"/>
  <c r="CJ19" i="3"/>
  <c r="CJ20" i="3"/>
  <c r="CJ21" i="3"/>
  <c r="CJ22" i="3"/>
  <c r="CJ23" i="3"/>
  <c r="CJ24" i="3"/>
  <c r="CJ25" i="3"/>
  <c r="CJ26" i="3"/>
  <c r="CJ27" i="3"/>
  <c r="CJ28" i="3"/>
  <c r="CJ29" i="3"/>
  <c r="CJ30" i="3"/>
  <c r="CJ31" i="3"/>
  <c r="CJ32" i="3"/>
  <c r="CJ33" i="3"/>
  <c r="CJ34" i="3"/>
  <c r="CJ35" i="3"/>
  <c r="CI7" i="3"/>
  <c r="CI8" i="3"/>
  <c r="CI9" i="3"/>
  <c r="CI10" i="3"/>
  <c r="CI11" i="3"/>
  <c r="CI12" i="3"/>
  <c r="CI13" i="3"/>
  <c r="CI14" i="3"/>
  <c r="CI15" i="3"/>
  <c r="CI16" i="3"/>
  <c r="CI17" i="3"/>
  <c r="CI18" i="3"/>
  <c r="CI19" i="3"/>
  <c r="CI20" i="3"/>
  <c r="CI21" i="3"/>
  <c r="CI22" i="3"/>
  <c r="CI23" i="3"/>
  <c r="CI24" i="3"/>
  <c r="CI25" i="3"/>
  <c r="CI26" i="3"/>
  <c r="CI27" i="3"/>
  <c r="CI28" i="3"/>
  <c r="CI29" i="3"/>
  <c r="CI30" i="3"/>
  <c r="CI31" i="3"/>
  <c r="CI32" i="3"/>
  <c r="CI33" i="3"/>
  <c r="CI34" i="3"/>
  <c r="CI35" i="3"/>
  <c r="BN5" i="3"/>
  <c r="BN6" i="3"/>
  <c r="BN7" i="3"/>
  <c r="BN8" i="3"/>
  <c r="BN9" i="3"/>
  <c r="BN10" i="3"/>
  <c r="BN11" i="3"/>
  <c r="BN12" i="3"/>
  <c r="BN13" i="3"/>
  <c r="BN14" i="3"/>
  <c r="BN15" i="3"/>
  <c r="BN16" i="3"/>
  <c r="BN17" i="3"/>
  <c r="BN18" i="3"/>
  <c r="BN19" i="3"/>
  <c r="BN20" i="3"/>
  <c r="BN21" i="3"/>
  <c r="BN22" i="3"/>
  <c r="BN23" i="3"/>
  <c r="BN24" i="3"/>
  <c r="BN25" i="3"/>
  <c r="BN26" i="3"/>
  <c r="BN27" i="3"/>
  <c r="BN28" i="3"/>
  <c r="BN29" i="3"/>
  <c r="BN30" i="3"/>
  <c r="BN31" i="3"/>
  <c r="BN32" i="3"/>
  <c r="BN33" i="3"/>
  <c r="BN34" i="3"/>
  <c r="BN35" i="3"/>
  <c r="BM5" i="3"/>
  <c r="BM6" i="3"/>
  <c r="BM7" i="3"/>
  <c r="BM8" i="3"/>
  <c r="BM9" i="3"/>
  <c r="BM10" i="3"/>
  <c r="BM11" i="3"/>
  <c r="BM12" i="3"/>
  <c r="BM13" i="3"/>
  <c r="BM14" i="3"/>
  <c r="BM15" i="3"/>
  <c r="BM16" i="3"/>
  <c r="BM17" i="3"/>
  <c r="BM18" i="3"/>
  <c r="BM19" i="3"/>
  <c r="BM20" i="3"/>
  <c r="BM21" i="3"/>
  <c r="BM22" i="3"/>
  <c r="BM23" i="3"/>
  <c r="BM24" i="3"/>
  <c r="BM25" i="3"/>
  <c r="BM26" i="3"/>
  <c r="BM27" i="3"/>
  <c r="BM28" i="3"/>
  <c r="BM29" i="3"/>
  <c r="BM30" i="3"/>
  <c r="BM31" i="3"/>
  <c r="BM32" i="3"/>
  <c r="BM33" i="3"/>
  <c r="BM34" i="3"/>
  <c r="BM35" i="3"/>
  <c r="AQ6" i="3"/>
  <c r="AR6" i="3"/>
  <c r="AR5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Q5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BN4" i="3"/>
  <c r="BM4" i="3"/>
  <c r="AR4" i="3"/>
  <c r="AQ4" i="3"/>
  <c r="V4" i="3"/>
  <c r="U4" i="3"/>
  <c r="BN35" i="2"/>
  <c r="BM35" i="2"/>
  <c r="CJ35" i="2"/>
  <c r="CI35" i="2"/>
  <c r="U5" i="2"/>
  <c r="V5" i="2"/>
  <c r="AQ5" i="2"/>
  <c r="AR5" i="2"/>
  <c r="BM5" i="2"/>
  <c r="BN5" i="2"/>
  <c r="CI5" i="2"/>
  <c r="CJ5" i="2"/>
  <c r="CM5" i="2"/>
  <c r="U6" i="2"/>
  <c r="V6" i="2"/>
  <c r="AQ6" i="2"/>
  <c r="AR6" i="2"/>
  <c r="BM6" i="2"/>
  <c r="BN6" i="2"/>
  <c r="CI6" i="2"/>
  <c r="CJ6" i="2"/>
  <c r="CM6" i="2"/>
  <c r="CJ37" i="2"/>
  <c r="CI37" i="2"/>
  <c r="BN37" i="2"/>
  <c r="BM37" i="2"/>
  <c r="AR37" i="2"/>
  <c r="AQ37" i="2"/>
  <c r="V37" i="2"/>
  <c r="U37" i="2"/>
  <c r="CJ36" i="2"/>
  <c r="CI36" i="2"/>
  <c r="BN36" i="2"/>
  <c r="BM36" i="2"/>
  <c r="AR36" i="2"/>
  <c r="AQ36" i="2"/>
  <c r="V36" i="2"/>
  <c r="U36" i="2"/>
  <c r="CM34" i="2"/>
  <c r="CJ34" i="2"/>
  <c r="CI34" i="2"/>
  <c r="BN34" i="2"/>
  <c r="BM34" i="2"/>
  <c r="AR34" i="2"/>
  <c r="AQ34" i="2"/>
  <c r="V34" i="2"/>
  <c r="U34" i="2"/>
  <c r="CM33" i="2"/>
  <c r="CJ33" i="2"/>
  <c r="CI33" i="2"/>
  <c r="BN33" i="2"/>
  <c r="BM33" i="2"/>
  <c r="AR33" i="2"/>
  <c r="AQ33" i="2"/>
  <c r="V33" i="2"/>
  <c r="U33" i="2"/>
  <c r="CM32" i="2"/>
  <c r="CJ32" i="2"/>
  <c r="CI32" i="2"/>
  <c r="BN32" i="2"/>
  <c r="BM32" i="2"/>
  <c r="AR32" i="2"/>
  <c r="AQ32" i="2"/>
  <c r="V32" i="2"/>
  <c r="U32" i="2"/>
  <c r="CM31" i="2"/>
  <c r="CJ31" i="2"/>
  <c r="CI31" i="2"/>
  <c r="BN31" i="2"/>
  <c r="BM31" i="2"/>
  <c r="AR31" i="2"/>
  <c r="AQ31" i="2"/>
  <c r="V31" i="2"/>
  <c r="U31" i="2"/>
  <c r="CM30" i="2"/>
  <c r="CJ30" i="2"/>
  <c r="CI30" i="2"/>
  <c r="BN30" i="2"/>
  <c r="BM30" i="2"/>
  <c r="AR30" i="2"/>
  <c r="AQ30" i="2"/>
  <c r="V30" i="2"/>
  <c r="U30" i="2"/>
  <c r="CM29" i="2"/>
  <c r="CJ29" i="2"/>
  <c r="CI29" i="2"/>
  <c r="BN29" i="2"/>
  <c r="BM29" i="2"/>
  <c r="AR29" i="2"/>
  <c r="AQ29" i="2"/>
  <c r="V29" i="2"/>
  <c r="U29" i="2"/>
  <c r="CM28" i="2"/>
  <c r="CJ28" i="2"/>
  <c r="CI28" i="2"/>
  <c r="BN28" i="2"/>
  <c r="BM28" i="2"/>
  <c r="AR28" i="2"/>
  <c r="AQ28" i="2"/>
  <c r="V28" i="2"/>
  <c r="U28" i="2"/>
  <c r="CM27" i="2"/>
  <c r="CJ27" i="2"/>
  <c r="CI27" i="2"/>
  <c r="BN27" i="2"/>
  <c r="BM27" i="2"/>
  <c r="AR27" i="2"/>
  <c r="AQ27" i="2"/>
  <c r="V27" i="2"/>
  <c r="U27" i="2"/>
  <c r="CM26" i="2"/>
  <c r="CJ26" i="2"/>
  <c r="CI26" i="2"/>
  <c r="BN26" i="2"/>
  <c r="BM26" i="2"/>
  <c r="AR26" i="2"/>
  <c r="AQ26" i="2"/>
  <c r="V26" i="2"/>
  <c r="U26" i="2"/>
  <c r="CM25" i="2"/>
  <c r="CJ25" i="2"/>
  <c r="CI25" i="2"/>
  <c r="BN25" i="2"/>
  <c r="BM25" i="2"/>
  <c r="AR25" i="2"/>
  <c r="AQ25" i="2"/>
  <c r="V25" i="2"/>
  <c r="U25" i="2"/>
  <c r="CM24" i="2"/>
  <c r="CJ24" i="2"/>
  <c r="CI24" i="2"/>
  <c r="BN24" i="2"/>
  <c r="BM24" i="2"/>
  <c r="AR24" i="2"/>
  <c r="AQ24" i="2"/>
  <c r="V24" i="2"/>
  <c r="U24" i="2"/>
  <c r="CM23" i="2"/>
  <c r="CJ23" i="2"/>
  <c r="CI23" i="2"/>
  <c r="BN23" i="2"/>
  <c r="BM23" i="2"/>
  <c r="AR23" i="2"/>
  <c r="AQ23" i="2"/>
  <c r="V23" i="2"/>
  <c r="U23" i="2"/>
  <c r="CM22" i="2"/>
  <c r="CJ22" i="2"/>
  <c r="CI22" i="2"/>
  <c r="BN22" i="2"/>
  <c r="BM22" i="2"/>
  <c r="AR22" i="2"/>
  <c r="AQ22" i="2"/>
  <c r="V22" i="2"/>
  <c r="U22" i="2"/>
  <c r="CM21" i="2"/>
  <c r="CJ21" i="2"/>
  <c r="CI21" i="2"/>
  <c r="BN21" i="2"/>
  <c r="BM21" i="2"/>
  <c r="AR21" i="2"/>
  <c r="AQ21" i="2"/>
  <c r="V21" i="2"/>
  <c r="U21" i="2"/>
  <c r="CM20" i="2"/>
  <c r="CJ20" i="2"/>
  <c r="CI20" i="2"/>
  <c r="BN20" i="2"/>
  <c r="BM20" i="2"/>
  <c r="AR20" i="2"/>
  <c r="AQ20" i="2"/>
  <c r="V20" i="2"/>
  <c r="U20" i="2"/>
  <c r="CM19" i="2"/>
  <c r="CJ19" i="2"/>
  <c r="CI19" i="2"/>
  <c r="BN19" i="2"/>
  <c r="BM19" i="2"/>
  <c r="AR19" i="2"/>
  <c r="AQ19" i="2"/>
  <c r="V19" i="2"/>
  <c r="U19" i="2"/>
  <c r="CM18" i="2"/>
  <c r="CJ18" i="2"/>
  <c r="CI18" i="2"/>
  <c r="BN18" i="2"/>
  <c r="BM18" i="2"/>
  <c r="AR18" i="2"/>
  <c r="AQ18" i="2"/>
  <c r="V18" i="2"/>
  <c r="U18" i="2"/>
  <c r="CM17" i="2"/>
  <c r="CJ17" i="2"/>
  <c r="CI17" i="2"/>
  <c r="BN17" i="2"/>
  <c r="BM17" i="2"/>
  <c r="AR17" i="2"/>
  <c r="AQ17" i="2"/>
  <c r="V17" i="2"/>
  <c r="U17" i="2"/>
  <c r="CM16" i="2"/>
  <c r="CJ16" i="2"/>
  <c r="CI16" i="2"/>
  <c r="BN16" i="2"/>
  <c r="BM16" i="2"/>
  <c r="AR16" i="2"/>
  <c r="AQ16" i="2"/>
  <c r="V16" i="2"/>
  <c r="U16" i="2"/>
  <c r="CM15" i="2"/>
  <c r="CJ15" i="2"/>
  <c r="CI15" i="2"/>
  <c r="BN15" i="2"/>
  <c r="BM15" i="2"/>
  <c r="AR15" i="2"/>
  <c r="AQ15" i="2"/>
  <c r="V15" i="2"/>
  <c r="U15" i="2"/>
  <c r="CM14" i="2"/>
  <c r="CJ14" i="2"/>
  <c r="CI14" i="2"/>
  <c r="BN14" i="2"/>
  <c r="BM14" i="2"/>
  <c r="AR14" i="2"/>
  <c r="AQ14" i="2"/>
  <c r="V14" i="2"/>
  <c r="U14" i="2"/>
  <c r="CM13" i="2"/>
  <c r="CJ13" i="2"/>
  <c r="CI13" i="2"/>
  <c r="BN13" i="2"/>
  <c r="BM13" i="2"/>
  <c r="AR13" i="2"/>
  <c r="AQ13" i="2"/>
  <c r="V13" i="2"/>
  <c r="U13" i="2"/>
  <c r="CM12" i="2"/>
  <c r="CJ12" i="2"/>
  <c r="CI12" i="2"/>
  <c r="BN12" i="2"/>
  <c r="BM12" i="2"/>
  <c r="AR12" i="2"/>
  <c r="AQ12" i="2"/>
  <c r="V12" i="2"/>
  <c r="U12" i="2"/>
  <c r="CM11" i="2"/>
  <c r="CJ11" i="2"/>
  <c r="CI11" i="2"/>
  <c r="BN11" i="2"/>
  <c r="BM11" i="2"/>
  <c r="AR11" i="2"/>
  <c r="AQ11" i="2"/>
  <c r="V11" i="2"/>
  <c r="U11" i="2"/>
  <c r="CM10" i="2"/>
  <c r="CJ10" i="2"/>
  <c r="CI10" i="2"/>
  <c r="BN10" i="2"/>
  <c r="BM10" i="2"/>
  <c r="AR10" i="2"/>
  <c r="AQ10" i="2"/>
  <c r="V10" i="2"/>
  <c r="U10" i="2"/>
  <c r="CM9" i="2"/>
  <c r="CJ9" i="2"/>
  <c r="CI9" i="2"/>
  <c r="BN9" i="2"/>
  <c r="BM9" i="2"/>
  <c r="AR9" i="2"/>
  <c r="AQ9" i="2"/>
  <c r="V9" i="2"/>
  <c r="U9" i="2"/>
  <c r="CM8" i="2"/>
  <c r="CJ8" i="2"/>
  <c r="CI8" i="2"/>
  <c r="BN8" i="2"/>
  <c r="BM8" i="2"/>
  <c r="AR8" i="2"/>
  <c r="AQ8" i="2"/>
  <c r="V8" i="2"/>
  <c r="U8" i="2"/>
  <c r="CM7" i="2"/>
  <c r="CJ7" i="2"/>
  <c r="CI7" i="2"/>
  <c r="BN7" i="2"/>
  <c r="BM7" i="2"/>
  <c r="AR7" i="2"/>
  <c r="AQ7" i="2"/>
  <c r="V7" i="2"/>
  <c r="U7" i="2"/>
  <c r="CJ4" i="2"/>
  <c r="CI4" i="2"/>
  <c r="BN4" i="2"/>
  <c r="BM4" i="2"/>
  <c r="AR4" i="2"/>
  <c r="AQ4" i="2"/>
  <c r="V4" i="2"/>
  <c r="U4" i="2"/>
  <c r="CJ5" i="1"/>
  <c r="CJ6" i="1"/>
  <c r="CJ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4" i="1"/>
  <c r="CI5" i="1"/>
  <c r="CI6" i="1"/>
  <c r="CI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4" i="1"/>
  <c r="W15" i="6" l="1"/>
  <c r="W22" i="6"/>
  <c r="G41" i="3"/>
  <c r="H42" i="7"/>
  <c r="W17" i="6"/>
  <c r="BO31" i="6"/>
  <c r="W10" i="6"/>
  <c r="W19" i="6"/>
  <c r="G42" i="7"/>
  <c r="W14" i="6"/>
  <c r="W21" i="6"/>
  <c r="K39" i="6"/>
  <c r="W32" i="6"/>
  <c r="W31" i="6"/>
  <c r="W24" i="6"/>
  <c r="BO30" i="6"/>
  <c r="L40" i="6"/>
  <c r="K40" i="6"/>
  <c r="BO29" i="6"/>
  <c r="BO28" i="6"/>
  <c r="BO24" i="6"/>
  <c r="L39" i="6"/>
  <c r="K38" i="6"/>
  <c r="W16" i="6"/>
  <c r="L38" i="6"/>
  <c r="L43" i="5"/>
  <c r="L37" i="6"/>
  <c r="K37" i="6"/>
  <c r="W33" i="6"/>
  <c r="V4" i="6"/>
  <c r="H41" i="3"/>
  <c r="H39" i="3"/>
  <c r="K43" i="5"/>
  <c r="K41" i="5"/>
  <c r="K42" i="5"/>
  <c r="I41" i="2"/>
  <c r="L42" i="5"/>
  <c r="L40" i="5"/>
  <c r="J41" i="2"/>
  <c r="I42" i="2"/>
  <c r="L41" i="5"/>
  <c r="J42" i="2"/>
  <c r="I40" i="2"/>
  <c r="J40" i="2"/>
  <c r="I43" i="2"/>
  <c r="H38" i="3"/>
  <c r="J44" i="2"/>
  <c r="K40" i="5"/>
  <c r="H40" i="4"/>
  <c r="G38" i="3"/>
  <c r="G39" i="3"/>
  <c r="G40" i="4"/>
  <c r="G41" i="4"/>
  <c r="H41" i="4"/>
  <c r="G42" i="4"/>
  <c r="H42" i="4"/>
  <c r="H39" i="4"/>
  <c r="G39" i="4"/>
  <c r="H40" i="3"/>
  <c r="G40" i="3"/>
  <c r="I44" i="2"/>
  <c r="J43" i="2"/>
  <c r="J39" i="1"/>
  <c r="I39" i="1"/>
  <c r="CM34" i="1"/>
  <c r="CM33" i="1"/>
  <c r="CM32" i="1"/>
  <c r="CM31" i="1"/>
  <c r="CM30" i="1"/>
  <c r="CM29" i="1"/>
  <c r="CM28" i="1"/>
  <c r="CM27" i="1"/>
  <c r="CM26" i="1"/>
  <c r="CM25" i="1"/>
  <c r="CM24" i="1"/>
  <c r="CM23" i="1"/>
  <c r="CM22" i="1"/>
  <c r="CM21" i="1"/>
  <c r="CM20" i="1"/>
  <c r="CM19" i="1"/>
  <c r="CM18" i="1"/>
  <c r="CM17" i="1"/>
  <c r="CM16" i="1"/>
  <c r="CM15" i="1"/>
  <c r="CM14" i="1"/>
  <c r="CM13" i="1"/>
  <c r="CM12" i="1"/>
  <c r="CM11" i="1"/>
  <c r="CM10" i="1"/>
  <c r="CM9" i="1"/>
  <c r="CM8" i="1"/>
  <c r="CM7" i="1"/>
  <c r="CM6" i="1"/>
  <c r="CM5" i="1"/>
  <c r="BO33" i="6" l="1"/>
</calcChain>
</file>

<file path=xl/sharedStrings.xml><?xml version="1.0" encoding="utf-8"?>
<sst xmlns="http://schemas.openxmlformats.org/spreadsheetml/2006/main" count="1163" uniqueCount="48">
  <si>
    <t>2025. szeptember</t>
  </si>
  <si>
    <t>EPC</t>
  </si>
  <si>
    <t>UAI</t>
  </si>
  <si>
    <t>PETKOV</t>
  </si>
  <si>
    <t>SOLVENTIS</t>
  </si>
  <si>
    <t>SUM admin</t>
  </si>
  <si>
    <t>admin</t>
  </si>
  <si>
    <t>maxi</t>
  </si>
  <si>
    <t>portál</t>
  </si>
  <si>
    <t>info</t>
  </si>
  <si>
    <t>SUM RSZ</t>
  </si>
  <si>
    <t>SUM ESET</t>
  </si>
  <si>
    <t>Belső levelek</t>
  </si>
  <si>
    <t>áthozat</t>
  </si>
  <si>
    <t>hétfő</t>
  </si>
  <si>
    <t>kedd</t>
  </si>
  <si>
    <t>szerda</t>
  </si>
  <si>
    <t>csütörtök</t>
  </si>
  <si>
    <t>péntek</t>
  </si>
  <si>
    <t>szombat</t>
  </si>
  <si>
    <t>vasárnap</t>
  </si>
  <si>
    <t>Átvitel</t>
  </si>
  <si>
    <t xml:space="preserve">admin </t>
  </si>
  <si>
    <t>RSZ - feldolgozandó</t>
  </si>
  <si>
    <t>ESET - feldolgozandó</t>
  </si>
  <si>
    <t>RSZ táblázatban</t>
  </si>
  <si>
    <t>ESET táblázatban</t>
  </si>
  <si>
    <t>RSZ emailben</t>
  </si>
  <si>
    <t>eset emailben</t>
  </si>
  <si>
    <t>KPLLC</t>
  </si>
  <si>
    <t>Összesen</t>
  </si>
  <si>
    <t>rsz</t>
  </si>
  <si>
    <t>eset</t>
  </si>
  <si>
    <t>2025. október</t>
  </si>
  <si>
    <t>2025. november</t>
  </si>
  <si>
    <t>Áthozat</t>
  </si>
  <si>
    <t>2026. január</t>
  </si>
  <si>
    <t>2026. március</t>
  </si>
  <si>
    <t>2026. április</t>
  </si>
  <si>
    <t>Külföldi irodában dolgozó kollégák névsora:</t>
  </si>
  <si>
    <t>Bornemissza Noémi</t>
  </si>
  <si>
    <t>Szurominé Hamsóczki Anikó</t>
  </si>
  <si>
    <t>Pálfalvi Ferencné</t>
  </si>
  <si>
    <t>Kissné Balsai Emese</t>
  </si>
  <si>
    <t>Tóth Melinda</t>
  </si>
  <si>
    <t>Beugró kollégák:</t>
  </si>
  <si>
    <t>Kapásné Kaló Ildikó</t>
  </si>
  <si>
    <t>Bolyhosné Kovács Judit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</si>
</sst>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\ m/\ d\.;@"/>
    <numFmt numFmtId="165" formatCode="yyyy/mm/dd;@"/>
    <numFmt numFmtId="166" formatCode="[$-40E]mmm/\ d\.;@"/>
  </numFmts>
  <fonts count="1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  <charset val="238"/>
    </font>
    <font>
      <sz val="11"/>
      <name val="Calibri"/>
      <family val="2"/>
      <charset val="238"/>
      <scheme val="minor"/>
    </font>
    <font>
      <sz val="10"/>
      <color rgb="FFFF0000"/>
      <name val="Times New Roman"/>
      <family val="1"/>
      <charset val="238"/>
    </font>
    <font>
      <b/>
      <sz val="14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0"/>
      <color theme="1"/>
      <name val="Times New Roman"/>
      <family val="1"/>
      <charset val="238"/>
    </font>
    <font>
      <sz val="11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auto="1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ck">
        <color indexed="64"/>
      </right>
      <top/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auto="1"/>
      </top>
      <bottom/>
      <diagonal/>
    </border>
    <border>
      <left/>
      <right style="thick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n">
        <color auto="1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/>
      <bottom style="thin">
        <color auto="1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ck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auto="1"/>
      </bottom>
      <diagonal/>
    </border>
    <border>
      <left style="thick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auto="1"/>
      </bottom>
      <diagonal/>
    </border>
    <border>
      <left/>
      <right/>
      <top style="thick">
        <color indexed="64"/>
      </top>
      <bottom style="thin">
        <color auto="1"/>
      </bottom>
      <diagonal/>
    </border>
    <border>
      <left/>
      <right style="thick">
        <color indexed="64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603">
    <xf numFmtId="0" fontId="0" fillId="0" borderId="0" xfId="0"/>
    <xf numFmtId="14" fontId="2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5" fillId="2" borderId="0" xfId="0" applyFont="1" applyFill="1"/>
    <xf numFmtId="0" fontId="4" fillId="0" borderId="1" xfId="0" applyFont="1" applyBorder="1" applyAlignment="1">
      <alignment horizontal="center"/>
    </xf>
    <xf numFmtId="0" fontId="3" fillId="2" borderId="0" xfId="0" applyFont="1" applyFill="1" applyAlignment="1">
      <alignment wrapText="1"/>
    </xf>
    <xf numFmtId="0" fontId="3" fillId="2" borderId="0" xfId="0" applyFont="1" applyFill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5" fillId="0" borderId="12" xfId="0" applyFont="1" applyBorder="1"/>
    <xf numFmtId="0" fontId="5" fillId="0" borderId="0" xfId="0" applyFont="1"/>
    <xf numFmtId="0" fontId="5" fillId="0" borderId="14" xfId="0" applyFont="1" applyBorder="1"/>
    <xf numFmtId="0" fontId="5" fillId="0" borderId="12" xfId="0" applyFont="1" applyBorder="1" applyAlignment="1">
      <alignment horizontal="center"/>
    </xf>
    <xf numFmtId="0" fontId="2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14" fontId="3" fillId="3" borderId="27" xfId="0" applyNumberFormat="1" applyFont="1" applyFill="1" applyBorder="1" applyAlignment="1">
      <alignment horizontal="left"/>
    </xf>
    <xf numFmtId="0" fontId="3" fillId="2" borderId="27" xfId="0" applyFont="1" applyFill="1" applyBorder="1" applyAlignment="1">
      <alignment horizontal="left"/>
    </xf>
    <xf numFmtId="0" fontId="5" fillId="0" borderId="28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2" borderId="30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/>
    </xf>
    <xf numFmtId="0" fontId="5" fillId="2" borderId="13" xfId="0" applyFont="1" applyFill="1" applyBorder="1"/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5" fillId="0" borderId="27" xfId="0" applyFont="1" applyBorder="1"/>
    <xf numFmtId="0" fontId="3" fillId="2" borderId="34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/>
    </xf>
    <xf numFmtId="0" fontId="0" fillId="2" borderId="13" xfId="0" applyFill="1" applyBorder="1"/>
    <xf numFmtId="0" fontId="5" fillId="2" borderId="23" xfId="0" applyFont="1" applyFill="1" applyBorder="1" applyAlignment="1">
      <alignment horizontal="center" vertical="center"/>
    </xf>
    <xf numFmtId="14" fontId="7" fillId="2" borderId="31" xfId="1" applyNumberFormat="1" applyFont="1" applyFill="1" applyBorder="1" applyAlignment="1">
      <alignment horizontal="center"/>
    </xf>
    <xf numFmtId="0" fontId="7" fillId="2" borderId="33" xfId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8" fillId="2" borderId="0" xfId="0" applyFont="1" applyFill="1"/>
    <xf numFmtId="0" fontId="3" fillId="2" borderId="41" xfId="0" applyFont="1" applyFill="1" applyBorder="1" applyAlignment="1">
      <alignment horizontal="center"/>
    </xf>
    <xf numFmtId="14" fontId="7" fillId="4" borderId="42" xfId="1" applyNumberFormat="1" applyFont="1" applyFill="1" applyBorder="1" applyAlignment="1">
      <alignment horizontal="center"/>
    </xf>
    <xf numFmtId="0" fontId="7" fillId="4" borderId="43" xfId="1" applyFont="1" applyFill="1" applyBorder="1" applyAlignment="1">
      <alignment horizontal="center"/>
    </xf>
    <xf numFmtId="0" fontId="3" fillId="2" borderId="44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 vertical="center"/>
    </xf>
    <xf numFmtId="0" fontId="7" fillId="2" borderId="43" xfId="1" applyFont="1" applyFill="1" applyBorder="1" applyAlignment="1">
      <alignment horizontal="center"/>
    </xf>
    <xf numFmtId="0" fontId="5" fillId="3" borderId="28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3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3" fillId="3" borderId="31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center"/>
    </xf>
    <xf numFmtId="0" fontId="3" fillId="3" borderId="37" xfId="0" applyFont="1" applyFill="1" applyBorder="1" applyAlignment="1">
      <alignment horizontal="center"/>
    </xf>
    <xf numFmtId="0" fontId="3" fillId="3" borderId="44" xfId="0" applyFont="1" applyFill="1" applyBorder="1" applyAlignment="1">
      <alignment horizontal="center"/>
    </xf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5" fillId="0" borderId="37" xfId="0" applyFont="1" applyBorder="1" applyAlignment="1">
      <alignment horizontal="center"/>
    </xf>
    <xf numFmtId="14" fontId="9" fillId="4" borderId="42" xfId="1" applyNumberFormat="1" applyFont="1" applyFill="1" applyBorder="1" applyAlignment="1">
      <alignment horizontal="center"/>
    </xf>
    <xf numFmtId="0" fontId="9" fillId="2" borderId="43" xfId="1" applyFont="1" applyFill="1" applyBorder="1" applyAlignment="1">
      <alignment horizontal="center"/>
    </xf>
    <xf numFmtId="14" fontId="9" fillId="2" borderId="31" xfId="1" applyNumberFormat="1" applyFont="1" applyFill="1" applyBorder="1" applyAlignment="1">
      <alignment horizontal="center"/>
    </xf>
    <xf numFmtId="0" fontId="9" fillId="0" borderId="43" xfId="1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3" borderId="38" xfId="0" applyFont="1" applyFill="1" applyBorder="1" applyAlignment="1">
      <alignment horizontal="center"/>
    </xf>
    <xf numFmtId="0" fontId="3" fillId="3" borderId="39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center" vertical="center"/>
    </xf>
    <xf numFmtId="0" fontId="9" fillId="4" borderId="43" xfId="1" applyFont="1" applyFill="1" applyBorder="1" applyAlignment="1">
      <alignment horizontal="center"/>
    </xf>
    <xf numFmtId="14" fontId="3" fillId="2" borderId="45" xfId="0" applyNumberFormat="1" applyFont="1" applyFill="1" applyBorder="1" applyAlignment="1">
      <alignment horizontal="left"/>
    </xf>
    <xf numFmtId="14" fontId="3" fillId="2" borderId="46" xfId="0" applyNumberFormat="1" applyFont="1" applyFill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0" fillId="2" borderId="0" xfId="0" applyFill="1"/>
    <xf numFmtId="0" fontId="4" fillId="0" borderId="47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4" fillId="5" borderId="18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/>
    </xf>
    <xf numFmtId="0" fontId="5" fillId="5" borderId="24" xfId="0" applyFont="1" applyFill="1" applyBorder="1" applyAlignment="1">
      <alignment horizontal="center"/>
    </xf>
    <xf numFmtId="0" fontId="5" fillId="5" borderId="32" xfId="0" applyFont="1" applyFill="1" applyBorder="1" applyAlignment="1">
      <alignment horizontal="center"/>
    </xf>
    <xf numFmtId="0" fontId="5" fillId="5" borderId="36" xfId="0" applyFont="1" applyFill="1" applyBorder="1" applyAlignment="1">
      <alignment horizontal="center"/>
    </xf>
    <xf numFmtId="0" fontId="3" fillId="5" borderId="36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0" fillId="5" borderId="0" xfId="0" applyFill="1"/>
    <xf numFmtId="0" fontId="3" fillId="5" borderId="32" xfId="0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0" fontId="0" fillId="5" borderId="48" xfId="0" applyFill="1" applyBorder="1"/>
    <xf numFmtId="0" fontId="4" fillId="5" borderId="47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/>
    </xf>
    <xf numFmtId="0" fontId="3" fillId="3" borderId="49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 vertical="center" wrapText="1"/>
    </xf>
    <xf numFmtId="0" fontId="3" fillId="5" borderId="35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0" xfId="0" applyFill="1"/>
    <xf numFmtId="0" fontId="0" fillId="0" borderId="48" xfId="0" applyFill="1" applyBorder="1"/>
    <xf numFmtId="0" fontId="5" fillId="5" borderId="4" xfId="0" applyFont="1" applyFill="1" applyBorder="1" applyAlignment="1">
      <alignment horizontal="center"/>
    </xf>
    <xf numFmtId="0" fontId="3" fillId="5" borderId="50" xfId="0" applyFont="1" applyFill="1" applyBorder="1" applyAlignment="1">
      <alignment horizontal="center"/>
    </xf>
    <xf numFmtId="0" fontId="0" fillId="0" borderId="0" xfId="0" applyFill="1" applyBorder="1"/>
    <xf numFmtId="0" fontId="0" fillId="5" borderId="0" xfId="0" applyFill="1" applyBorder="1"/>
    <xf numFmtId="0" fontId="5" fillId="5" borderId="51" xfId="0" applyFont="1" applyFill="1" applyBorder="1" applyAlignment="1">
      <alignment horizontal="center"/>
    </xf>
    <xf numFmtId="0" fontId="5" fillId="5" borderId="52" xfId="0" applyFont="1" applyFill="1" applyBorder="1" applyAlignment="1">
      <alignment horizontal="center"/>
    </xf>
    <xf numFmtId="0" fontId="3" fillId="5" borderId="52" xfId="0" applyFont="1" applyFill="1" applyBorder="1" applyAlignment="1">
      <alignment horizontal="center"/>
    </xf>
    <xf numFmtId="0" fontId="3" fillId="5" borderId="38" xfId="0" applyFont="1" applyFill="1" applyBorder="1" applyAlignment="1">
      <alignment horizontal="center"/>
    </xf>
    <xf numFmtId="0" fontId="4" fillId="5" borderId="53" xfId="0" applyFont="1" applyFill="1" applyBorder="1" applyAlignment="1">
      <alignment horizontal="center" vertical="center" wrapText="1"/>
    </xf>
    <xf numFmtId="0" fontId="3" fillId="5" borderId="39" xfId="0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0" fontId="4" fillId="5" borderId="54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/>
    </xf>
    <xf numFmtId="0" fontId="0" fillId="0" borderId="51" xfId="0" applyFill="1" applyBorder="1"/>
    <xf numFmtId="0" fontId="0" fillId="5" borderId="51" xfId="0" applyFill="1" applyBorder="1"/>
    <xf numFmtId="0" fontId="4" fillId="5" borderId="56" xfId="0" applyFont="1" applyFill="1" applyBorder="1" applyAlignment="1">
      <alignment horizontal="center" vertical="center" wrapText="1"/>
    </xf>
    <xf numFmtId="0" fontId="5" fillId="5" borderId="55" xfId="0" applyFont="1" applyFill="1" applyBorder="1" applyAlignment="1">
      <alignment horizontal="center"/>
    </xf>
    <xf numFmtId="0" fontId="3" fillId="5" borderId="57" xfId="0" applyFont="1" applyFill="1" applyBorder="1" applyAlignment="1">
      <alignment horizontal="center"/>
    </xf>
    <xf numFmtId="0" fontId="0" fillId="0" borderId="58" xfId="0" applyFill="1" applyBorder="1"/>
    <xf numFmtId="0" fontId="0" fillId="5" borderId="58" xfId="0" applyFill="1" applyBorder="1"/>
    <xf numFmtId="0" fontId="4" fillId="5" borderId="34" xfId="0" applyFont="1" applyFill="1" applyBorder="1" applyAlignment="1">
      <alignment horizontal="center" vertical="center" wrapText="1"/>
    </xf>
    <xf numFmtId="0" fontId="3" fillId="5" borderId="34" xfId="0" applyFont="1" applyFill="1" applyBorder="1" applyAlignment="1">
      <alignment horizontal="center"/>
    </xf>
    <xf numFmtId="0" fontId="0" fillId="0" borderId="34" xfId="0" applyFill="1" applyBorder="1"/>
    <xf numFmtId="0" fontId="0" fillId="5" borderId="34" xfId="0" applyFill="1" applyBorder="1"/>
    <xf numFmtId="0" fontId="4" fillId="5" borderId="59" xfId="0" applyFont="1" applyFill="1" applyBorder="1" applyAlignment="1">
      <alignment horizontal="center" vertical="center" wrapText="1"/>
    </xf>
    <xf numFmtId="0" fontId="5" fillId="5" borderId="59" xfId="0" applyFont="1" applyFill="1" applyBorder="1" applyAlignment="1">
      <alignment horizontal="center"/>
    </xf>
    <xf numFmtId="0" fontId="3" fillId="5" borderId="59" xfId="0" applyFont="1" applyFill="1" applyBorder="1" applyAlignment="1">
      <alignment horizontal="center"/>
    </xf>
    <xf numFmtId="0" fontId="0" fillId="0" borderId="59" xfId="0" applyFill="1" applyBorder="1"/>
    <xf numFmtId="0" fontId="0" fillId="5" borderId="59" xfId="0" applyFill="1" applyBorder="1"/>
    <xf numFmtId="0" fontId="4" fillId="5" borderId="49" xfId="0" applyFont="1" applyFill="1" applyBorder="1" applyAlignment="1">
      <alignment horizontal="center" vertical="center" wrapText="1"/>
    </xf>
    <xf numFmtId="0" fontId="5" fillId="5" borderId="49" xfId="0" applyFont="1" applyFill="1" applyBorder="1" applyAlignment="1">
      <alignment horizontal="center"/>
    </xf>
    <xf numFmtId="0" fontId="3" fillId="5" borderId="49" xfId="0" applyFont="1" applyFill="1" applyBorder="1" applyAlignment="1">
      <alignment horizontal="center"/>
    </xf>
    <xf numFmtId="0" fontId="0" fillId="0" borderId="49" xfId="0" applyFill="1" applyBorder="1"/>
    <xf numFmtId="0" fontId="0" fillId="5" borderId="49" xfId="0" applyFill="1" applyBorder="1"/>
    <xf numFmtId="0" fontId="4" fillId="5" borderId="60" xfId="0" applyFont="1" applyFill="1" applyBorder="1" applyAlignment="1">
      <alignment horizontal="center" vertical="center" wrapText="1"/>
    </xf>
    <xf numFmtId="0" fontId="5" fillId="5" borderId="61" xfId="0" applyFont="1" applyFill="1" applyBorder="1" applyAlignment="1">
      <alignment horizontal="center"/>
    </xf>
    <xf numFmtId="0" fontId="3" fillId="5" borderId="62" xfId="0" applyFont="1" applyFill="1" applyBorder="1" applyAlignment="1">
      <alignment horizontal="center"/>
    </xf>
    <xf numFmtId="0" fontId="5" fillId="5" borderId="62" xfId="0" applyFont="1" applyFill="1" applyBorder="1" applyAlignment="1">
      <alignment horizontal="center"/>
    </xf>
    <xf numFmtId="0" fontId="5" fillId="5" borderId="63" xfId="0" applyFont="1" applyFill="1" applyBorder="1" applyAlignment="1">
      <alignment horizontal="center"/>
    </xf>
    <xf numFmtId="0" fontId="3" fillId="5" borderId="63" xfId="0" applyFont="1" applyFill="1" applyBorder="1" applyAlignment="1">
      <alignment horizontal="center"/>
    </xf>
    <xf numFmtId="0" fontId="5" fillId="5" borderId="64" xfId="0" applyFont="1" applyFill="1" applyBorder="1" applyAlignment="1">
      <alignment horizontal="center"/>
    </xf>
    <xf numFmtId="0" fontId="5" fillId="5" borderId="58" xfId="0" applyFont="1" applyFill="1" applyBorder="1" applyAlignment="1">
      <alignment horizontal="center"/>
    </xf>
    <xf numFmtId="0" fontId="5" fillId="5" borderId="65" xfId="0" applyFont="1" applyFill="1" applyBorder="1" applyAlignment="1">
      <alignment horizontal="center"/>
    </xf>
    <xf numFmtId="0" fontId="3" fillId="5" borderId="65" xfId="0" applyFont="1" applyFill="1" applyBorder="1" applyAlignment="1">
      <alignment horizontal="center"/>
    </xf>
    <xf numFmtId="0" fontId="0" fillId="0" borderId="67" xfId="0" applyFill="1" applyBorder="1"/>
    <xf numFmtId="0" fontId="0" fillId="5" borderId="67" xfId="0" applyFill="1" applyBorder="1"/>
    <xf numFmtId="0" fontId="4" fillId="5" borderId="68" xfId="0" applyFont="1" applyFill="1" applyBorder="1" applyAlignment="1">
      <alignment horizontal="center" vertical="center" wrapText="1"/>
    </xf>
    <xf numFmtId="0" fontId="4" fillId="5" borderId="69" xfId="0" applyFont="1" applyFill="1" applyBorder="1" applyAlignment="1">
      <alignment horizontal="center" vertical="center" wrapText="1"/>
    </xf>
    <xf numFmtId="0" fontId="3" fillId="5" borderId="70" xfId="0" applyFont="1" applyFill="1" applyBorder="1" applyAlignment="1">
      <alignment horizontal="center"/>
    </xf>
    <xf numFmtId="0" fontId="3" fillId="5" borderId="71" xfId="0" applyFont="1" applyFill="1" applyBorder="1" applyAlignment="1">
      <alignment horizontal="center"/>
    </xf>
    <xf numFmtId="0" fontId="0" fillId="0" borderId="72" xfId="0" applyFill="1" applyBorder="1"/>
    <xf numFmtId="0" fontId="0" fillId="5" borderId="72" xfId="0" applyFill="1" applyBorder="1"/>
    <xf numFmtId="0" fontId="4" fillId="5" borderId="63" xfId="0" applyFont="1" applyFill="1" applyBorder="1" applyAlignment="1">
      <alignment horizontal="center" vertical="center" wrapText="1"/>
    </xf>
    <xf numFmtId="0" fontId="0" fillId="0" borderId="36" xfId="0" applyFill="1" applyBorder="1"/>
    <xf numFmtId="0" fontId="0" fillId="0" borderId="63" xfId="0" applyFill="1" applyBorder="1"/>
    <xf numFmtId="0" fontId="0" fillId="5" borderId="63" xfId="0" applyFill="1" applyBorder="1"/>
    <xf numFmtId="0" fontId="3" fillId="2" borderId="38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/>
    </xf>
    <xf numFmtId="0" fontId="0" fillId="5" borderId="52" xfId="0" applyFill="1" applyBorder="1"/>
    <xf numFmtId="0" fontId="0" fillId="5" borderId="65" xfId="0" applyFill="1" applyBorder="1"/>
    <xf numFmtId="0" fontId="0" fillId="5" borderId="73" xfId="0" applyFill="1" applyBorder="1"/>
    <xf numFmtId="0" fontId="0" fillId="5" borderId="74" xfId="0" applyFill="1" applyBorder="1"/>
    <xf numFmtId="0" fontId="0" fillId="0" borderId="38" xfId="0" applyFill="1" applyBorder="1"/>
    <xf numFmtId="0" fontId="0" fillId="0" borderId="57" xfId="0" applyFill="1" applyBorder="1"/>
    <xf numFmtId="0" fontId="0" fillId="0" borderId="62" xfId="0" applyFill="1" applyBorder="1"/>
    <xf numFmtId="0" fontId="0" fillId="0" borderId="31" xfId="0" applyFill="1" applyBorder="1"/>
    <xf numFmtId="0" fontId="1" fillId="0" borderId="36" xfId="0" applyFont="1" applyFill="1" applyBorder="1"/>
    <xf numFmtId="0" fontId="4" fillId="0" borderId="36" xfId="0" applyFont="1" applyFill="1" applyBorder="1"/>
    <xf numFmtId="164" fontId="0" fillId="0" borderId="36" xfId="0" applyNumberFormat="1" applyFill="1" applyBorder="1"/>
    <xf numFmtId="14" fontId="0" fillId="0" borderId="36" xfId="0" applyNumberFormat="1" applyFill="1" applyBorder="1"/>
    <xf numFmtId="0" fontId="3" fillId="5" borderId="38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/>
    </xf>
    <xf numFmtId="0" fontId="5" fillId="3" borderId="47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/>
    </xf>
    <xf numFmtId="16" fontId="0" fillId="0" borderId="36" xfId="0" applyNumberFormat="1" applyFill="1" applyBorder="1"/>
    <xf numFmtId="0" fontId="4" fillId="0" borderId="10" xfId="0" applyFont="1" applyBorder="1" applyAlignment="1">
      <alignment horizontal="center"/>
    </xf>
    <xf numFmtId="0" fontId="3" fillId="2" borderId="51" xfId="0" applyFont="1" applyFill="1" applyBorder="1" applyAlignment="1">
      <alignment horizontal="center"/>
    </xf>
    <xf numFmtId="0" fontId="3" fillId="2" borderId="82" xfId="0" applyFont="1" applyFill="1" applyBorder="1" applyAlignment="1">
      <alignment horizontal="center"/>
    </xf>
    <xf numFmtId="0" fontId="3" fillId="5" borderId="82" xfId="0" applyFont="1" applyFill="1" applyBorder="1" applyAlignment="1">
      <alignment horizontal="center"/>
    </xf>
    <xf numFmtId="0" fontId="3" fillId="5" borderId="67" xfId="0" applyFont="1" applyFill="1" applyBorder="1" applyAlignment="1">
      <alignment horizontal="center"/>
    </xf>
    <xf numFmtId="0" fontId="3" fillId="5" borderId="51" xfId="0" applyFont="1" applyFill="1" applyBorder="1" applyAlignment="1">
      <alignment horizontal="center"/>
    </xf>
    <xf numFmtId="0" fontId="3" fillId="5" borderId="58" xfId="0" applyFont="1" applyFill="1" applyBorder="1" applyAlignment="1">
      <alignment horizontal="center"/>
    </xf>
    <xf numFmtId="0" fontId="3" fillId="2" borderId="83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2" borderId="48" xfId="0" applyFont="1" applyFill="1" applyBorder="1" applyAlignment="1">
      <alignment horizontal="center"/>
    </xf>
    <xf numFmtId="0" fontId="3" fillId="2" borderId="84" xfId="0" applyFont="1" applyFill="1" applyBorder="1" applyAlignment="1">
      <alignment horizontal="center"/>
    </xf>
    <xf numFmtId="0" fontId="3" fillId="5" borderId="85" xfId="0" applyFont="1" applyFill="1" applyBorder="1" applyAlignment="1">
      <alignment horizontal="center"/>
    </xf>
    <xf numFmtId="0" fontId="3" fillId="2" borderId="85" xfId="0" applyFont="1" applyFill="1" applyBorder="1" applyAlignment="1">
      <alignment horizontal="center"/>
    </xf>
    <xf numFmtId="0" fontId="3" fillId="2" borderId="51" xfId="0" applyFont="1" applyFill="1" applyBorder="1" applyAlignment="1">
      <alignment horizontal="center" vertical="center"/>
    </xf>
    <xf numFmtId="0" fontId="3" fillId="2" borderId="82" xfId="0" applyFont="1" applyFill="1" applyBorder="1" applyAlignment="1">
      <alignment horizontal="center" vertical="center"/>
    </xf>
    <xf numFmtId="0" fontId="3" fillId="2" borderId="83" xfId="0" applyFont="1" applyFill="1" applyBorder="1" applyAlignment="1">
      <alignment horizontal="center" vertical="center"/>
    </xf>
    <xf numFmtId="0" fontId="3" fillId="2" borderId="86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7" fillId="0" borderId="33" xfId="1" applyFont="1" applyFill="1" applyBorder="1" applyAlignment="1">
      <alignment horizontal="center"/>
    </xf>
    <xf numFmtId="0" fontId="7" fillId="0" borderId="43" xfId="1" applyFont="1" applyFill="1" applyBorder="1" applyAlignment="1">
      <alignment horizontal="center"/>
    </xf>
    <xf numFmtId="0" fontId="7" fillId="0" borderId="48" xfId="1" applyFont="1" applyFill="1" applyBorder="1" applyAlignment="1">
      <alignment horizontal="center"/>
    </xf>
    <xf numFmtId="0" fontId="3" fillId="0" borderId="38" xfId="0" applyFont="1" applyFill="1" applyBorder="1" applyAlignment="1">
      <alignment horizontal="center"/>
    </xf>
    <xf numFmtId="0" fontId="3" fillId="0" borderId="32" xfId="0" applyFont="1" applyFill="1" applyBorder="1" applyAlignment="1">
      <alignment horizontal="center"/>
    </xf>
    <xf numFmtId="0" fontId="3" fillId="0" borderId="51" xfId="0" applyFont="1" applyFill="1" applyBorder="1" applyAlignment="1">
      <alignment horizontal="center"/>
    </xf>
    <xf numFmtId="0" fontId="3" fillId="0" borderId="82" xfId="0" applyFont="1" applyFill="1" applyBorder="1" applyAlignment="1">
      <alignment horizontal="center"/>
    </xf>
    <xf numFmtId="0" fontId="5" fillId="0" borderId="37" xfId="0" applyFont="1" applyFill="1" applyBorder="1" applyAlignment="1">
      <alignment horizontal="center"/>
    </xf>
    <xf numFmtId="0" fontId="3" fillId="0" borderId="39" xfId="0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3" fillId="0" borderId="49" xfId="0" applyFont="1" applyFill="1" applyBorder="1" applyAlignment="1">
      <alignment horizontal="center"/>
    </xf>
    <xf numFmtId="14" fontId="7" fillId="6" borderId="31" xfId="1" applyNumberFormat="1" applyFont="1" applyFill="1" applyBorder="1" applyAlignment="1">
      <alignment horizontal="center"/>
    </xf>
    <xf numFmtId="0" fontId="7" fillId="6" borderId="43" xfId="1" applyFont="1" applyFill="1" applyBorder="1" applyAlignment="1">
      <alignment horizontal="center"/>
    </xf>
    <xf numFmtId="0" fontId="3" fillId="6" borderId="38" xfId="0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0" fontId="3" fillId="6" borderId="62" xfId="0" applyFont="1" applyFill="1" applyBorder="1" applyAlignment="1">
      <alignment horizontal="center"/>
    </xf>
    <xf numFmtId="0" fontId="3" fillId="6" borderId="57" xfId="0" applyFont="1" applyFill="1" applyBorder="1" applyAlignment="1">
      <alignment horizontal="center"/>
    </xf>
    <xf numFmtId="0" fontId="5" fillId="6" borderId="49" xfId="0" applyFont="1" applyFill="1" applyBorder="1" applyAlignment="1">
      <alignment horizontal="center"/>
    </xf>
    <xf numFmtId="0" fontId="5" fillId="6" borderId="59" xfId="0" applyFont="1" applyFill="1" applyBorder="1" applyAlignment="1">
      <alignment horizontal="center"/>
    </xf>
    <xf numFmtId="0" fontId="5" fillId="6" borderId="37" xfId="0" applyFont="1" applyFill="1" applyBorder="1" applyAlignment="1">
      <alignment horizontal="center"/>
    </xf>
    <xf numFmtId="0" fontId="5" fillId="6" borderId="36" xfId="0" applyFont="1" applyFill="1" applyBorder="1" applyAlignment="1">
      <alignment horizontal="center"/>
    </xf>
    <xf numFmtId="0" fontId="5" fillId="6" borderId="63" xfId="0" applyFont="1" applyFill="1" applyBorder="1" applyAlignment="1">
      <alignment horizontal="center"/>
    </xf>
    <xf numFmtId="0" fontId="5" fillId="6" borderId="52" xfId="0" applyFont="1" applyFill="1" applyBorder="1" applyAlignment="1">
      <alignment horizontal="center"/>
    </xf>
    <xf numFmtId="0" fontId="5" fillId="6" borderId="65" xfId="0" applyFont="1" applyFill="1" applyBorder="1" applyAlignment="1">
      <alignment horizontal="center"/>
    </xf>
    <xf numFmtId="0" fontId="5" fillId="6" borderId="47" xfId="0" applyFont="1" applyFill="1" applyBorder="1" applyAlignment="1">
      <alignment horizontal="center"/>
    </xf>
    <xf numFmtId="0" fontId="5" fillId="6" borderId="30" xfId="0" applyFont="1" applyFill="1" applyBorder="1" applyAlignment="1">
      <alignment horizontal="center" vertical="center"/>
    </xf>
    <xf numFmtId="0" fontId="3" fillId="6" borderId="40" xfId="0" applyFont="1" applyFill="1" applyBorder="1" applyAlignment="1">
      <alignment horizontal="center"/>
    </xf>
    <xf numFmtId="0" fontId="3" fillId="6" borderId="0" xfId="0" applyFont="1" applyFill="1"/>
    <xf numFmtId="0" fontId="3" fillId="6" borderId="31" xfId="0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3" fillId="6" borderId="49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3" fillId="6" borderId="34" xfId="0" applyFont="1" applyFill="1" applyBorder="1" applyAlignment="1">
      <alignment horizontal="center"/>
    </xf>
    <xf numFmtId="0" fontId="3" fillId="6" borderId="36" xfId="0" applyFont="1" applyFill="1" applyBorder="1" applyAlignment="1">
      <alignment horizontal="center"/>
    </xf>
    <xf numFmtId="0" fontId="3" fillId="6" borderId="63" xfId="0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0" fontId="3" fillId="6" borderId="70" xfId="0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 vertical="center"/>
    </xf>
    <xf numFmtId="0" fontId="3" fillId="6" borderId="44" xfId="0" applyFont="1" applyFill="1" applyBorder="1" applyAlignment="1">
      <alignment horizontal="center"/>
    </xf>
    <xf numFmtId="0" fontId="3" fillId="6" borderId="31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/>
    </xf>
    <xf numFmtId="0" fontId="3" fillId="6" borderId="38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/>
    </xf>
    <xf numFmtId="0" fontId="3" fillId="6" borderId="40" xfId="0" applyFont="1" applyFill="1" applyBorder="1" applyAlignment="1">
      <alignment horizontal="center" vertical="center"/>
    </xf>
    <xf numFmtId="0" fontId="8" fillId="6" borderId="0" xfId="0" applyFont="1" applyFill="1"/>
    <xf numFmtId="0" fontId="3" fillId="6" borderId="41" xfId="0" applyFont="1" applyFill="1" applyBorder="1" applyAlignment="1">
      <alignment horizontal="center"/>
    </xf>
    <xf numFmtId="0" fontId="0" fillId="6" borderId="0" xfId="0" applyFill="1"/>
    <xf numFmtId="0" fontId="3" fillId="6" borderId="59" xfId="0" applyFont="1" applyFill="1" applyBorder="1" applyAlignment="1">
      <alignment horizontal="center"/>
    </xf>
    <xf numFmtId="0" fontId="3" fillId="6" borderId="52" xfId="0" applyFont="1" applyFill="1" applyBorder="1" applyAlignment="1">
      <alignment horizontal="center"/>
    </xf>
    <xf numFmtId="0" fontId="3" fillId="6" borderId="65" xfId="0" applyFont="1" applyFill="1" applyBorder="1" applyAlignment="1">
      <alignment horizontal="center"/>
    </xf>
    <xf numFmtId="0" fontId="3" fillId="6" borderId="36" xfId="0" applyFont="1" applyFill="1" applyBorder="1" applyAlignment="1">
      <alignment horizontal="center" vertical="center"/>
    </xf>
    <xf numFmtId="0" fontId="3" fillId="6" borderId="49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/>
    </xf>
    <xf numFmtId="14" fontId="7" fillId="3" borderId="31" xfId="1" applyNumberFormat="1" applyFont="1" applyFill="1" applyBorder="1" applyAlignment="1">
      <alignment horizontal="center"/>
    </xf>
    <xf numFmtId="0" fontId="7" fillId="3" borderId="43" xfId="1" applyFont="1" applyFill="1" applyBorder="1" applyAlignment="1">
      <alignment horizontal="center"/>
    </xf>
    <xf numFmtId="0" fontId="3" fillId="3" borderId="62" xfId="0" applyFont="1" applyFill="1" applyBorder="1" applyAlignment="1">
      <alignment horizontal="center"/>
    </xf>
    <xf numFmtId="0" fontId="3" fillId="3" borderId="57" xfId="0" applyFont="1" applyFill="1" applyBorder="1" applyAlignment="1">
      <alignment horizontal="center"/>
    </xf>
    <xf numFmtId="0" fontId="3" fillId="3" borderId="59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/>
    </xf>
    <xf numFmtId="0" fontId="5" fillId="3" borderId="63" xfId="0" applyFont="1" applyFill="1" applyBorder="1" applyAlignment="1">
      <alignment horizontal="center"/>
    </xf>
    <xf numFmtId="0" fontId="5" fillId="3" borderId="52" xfId="0" applyFont="1" applyFill="1" applyBorder="1" applyAlignment="1">
      <alignment horizontal="center"/>
    </xf>
    <xf numFmtId="0" fontId="5" fillId="3" borderId="65" xfId="0" applyFont="1" applyFill="1" applyBorder="1" applyAlignment="1">
      <alignment horizontal="center"/>
    </xf>
    <xf numFmtId="0" fontId="3" fillId="3" borderId="0" xfId="0" applyFont="1" applyFill="1"/>
    <xf numFmtId="0" fontId="3" fillId="3" borderId="50" xfId="0" applyFont="1" applyFill="1" applyBorder="1" applyAlignment="1">
      <alignment horizontal="center"/>
    </xf>
    <xf numFmtId="0" fontId="3" fillId="3" borderId="63" xfId="0" applyFont="1" applyFill="1" applyBorder="1" applyAlignment="1">
      <alignment horizontal="center"/>
    </xf>
    <xf numFmtId="0" fontId="3" fillId="3" borderId="70" xfId="0" applyFont="1" applyFill="1" applyBorder="1" applyAlignment="1">
      <alignment horizontal="center"/>
    </xf>
    <xf numFmtId="0" fontId="8" fillId="3" borderId="0" xfId="0" applyFont="1" applyFill="1"/>
    <xf numFmtId="0" fontId="3" fillId="3" borderId="12" xfId="0" applyFont="1" applyFill="1" applyBorder="1" applyAlignment="1">
      <alignment horizontal="center"/>
    </xf>
    <xf numFmtId="0" fontId="0" fillId="3" borderId="0" xfId="0" applyFill="1"/>
    <xf numFmtId="0" fontId="3" fillId="3" borderId="52" xfId="0" applyFont="1" applyFill="1" applyBorder="1" applyAlignment="1">
      <alignment horizontal="center"/>
    </xf>
    <xf numFmtId="0" fontId="3" fillId="3" borderId="6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0" fillId="0" borderId="36" xfId="0" applyBorder="1"/>
    <xf numFmtId="165" fontId="0" fillId="0" borderId="36" xfId="0" applyNumberFormat="1" applyFill="1" applyBorder="1"/>
    <xf numFmtId="0" fontId="4" fillId="0" borderId="10" xfId="0" applyFont="1" applyBorder="1" applyAlignment="1">
      <alignment horizontal="center"/>
    </xf>
    <xf numFmtId="14" fontId="7" fillId="0" borderId="31" xfId="1" applyNumberFormat="1" applyFont="1" applyFill="1" applyBorder="1" applyAlignment="1">
      <alignment horizontal="center"/>
    </xf>
    <xf numFmtId="0" fontId="3" fillId="0" borderId="62" xfId="0" applyFont="1" applyFill="1" applyBorder="1" applyAlignment="1">
      <alignment horizontal="center"/>
    </xf>
    <xf numFmtId="0" fontId="3" fillId="0" borderId="57" xfId="0" applyFont="1" applyFill="1" applyBorder="1" applyAlignment="1">
      <alignment horizontal="center"/>
    </xf>
    <xf numFmtId="0" fontId="3" fillId="0" borderId="59" xfId="0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3" fillId="0" borderId="63" xfId="0" applyFont="1" applyFill="1" applyBorder="1" applyAlignment="1">
      <alignment horizontal="center"/>
    </xf>
    <xf numFmtId="0" fontId="3" fillId="0" borderId="52" xfId="0" applyFont="1" applyFill="1" applyBorder="1" applyAlignment="1">
      <alignment horizontal="center"/>
    </xf>
    <xf numFmtId="0" fontId="3" fillId="0" borderId="65" xfId="0" applyFont="1" applyFill="1" applyBorder="1" applyAlignment="1">
      <alignment horizontal="center"/>
    </xf>
    <xf numFmtId="0" fontId="3" fillId="0" borderId="44" xfId="0" applyFont="1" applyFill="1" applyBorder="1" applyAlignment="1">
      <alignment horizontal="center"/>
    </xf>
    <xf numFmtId="0" fontId="3" fillId="0" borderId="0" xfId="0" applyFont="1" applyFill="1"/>
    <xf numFmtId="0" fontId="3" fillId="0" borderId="31" xfId="0" applyFont="1" applyFill="1" applyBorder="1" applyAlignment="1">
      <alignment horizontal="center"/>
    </xf>
    <xf numFmtId="0" fontId="3" fillId="0" borderId="33" xfId="0" applyFont="1" applyFill="1" applyBorder="1" applyAlignment="1">
      <alignment horizontal="center"/>
    </xf>
    <xf numFmtId="0" fontId="3" fillId="0" borderId="50" xfId="0" applyFont="1" applyFill="1" applyBorder="1" applyAlignment="1">
      <alignment horizontal="center"/>
    </xf>
    <xf numFmtId="0" fontId="3" fillId="0" borderId="35" xfId="0" applyFont="1" applyFill="1" applyBorder="1" applyAlignment="1">
      <alignment horizontal="center"/>
    </xf>
    <xf numFmtId="0" fontId="3" fillId="0" borderId="34" xfId="0" applyFont="1" applyFill="1" applyBorder="1" applyAlignment="1">
      <alignment horizontal="center"/>
    </xf>
    <xf numFmtId="0" fontId="3" fillId="0" borderId="70" xfId="0" applyFont="1" applyFill="1" applyBorder="1" applyAlignment="1">
      <alignment horizontal="center"/>
    </xf>
    <xf numFmtId="0" fontId="5" fillId="0" borderId="28" xfId="0" applyFont="1" applyFill="1" applyBorder="1" applyAlignment="1">
      <alignment horizontal="center"/>
    </xf>
    <xf numFmtId="0" fontId="3" fillId="0" borderId="31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49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/>
    </xf>
    <xf numFmtId="0" fontId="8" fillId="0" borderId="0" xfId="0" applyFont="1" applyFill="1"/>
    <xf numFmtId="0" fontId="5" fillId="0" borderId="49" xfId="0" applyFont="1" applyFill="1" applyBorder="1" applyAlignment="1">
      <alignment horizontal="center"/>
    </xf>
    <xf numFmtId="0" fontId="5" fillId="0" borderId="59" xfId="0" applyFont="1" applyFill="1" applyBorder="1" applyAlignment="1">
      <alignment horizontal="center"/>
    </xf>
    <xf numFmtId="0" fontId="5" fillId="0" borderId="36" xfId="0" applyFont="1" applyFill="1" applyBorder="1" applyAlignment="1">
      <alignment horizontal="center"/>
    </xf>
    <xf numFmtId="0" fontId="5" fillId="0" borderId="63" xfId="0" applyFont="1" applyFill="1" applyBorder="1" applyAlignment="1">
      <alignment horizontal="center"/>
    </xf>
    <xf numFmtId="0" fontId="5" fillId="0" borderId="52" xfId="0" applyFont="1" applyFill="1" applyBorder="1" applyAlignment="1">
      <alignment horizontal="center"/>
    </xf>
    <xf numFmtId="0" fontId="5" fillId="0" borderId="65" xfId="0" applyFont="1" applyFill="1" applyBorder="1" applyAlignment="1">
      <alignment horizontal="center"/>
    </xf>
    <xf numFmtId="0" fontId="3" fillId="0" borderId="40" xfId="0" applyFont="1" applyFill="1" applyBorder="1" applyAlignment="1">
      <alignment horizontal="center"/>
    </xf>
    <xf numFmtId="0" fontId="3" fillId="0" borderId="40" xfId="0" applyFont="1" applyFill="1" applyBorder="1" applyAlignment="1">
      <alignment horizontal="center" vertical="center"/>
    </xf>
    <xf numFmtId="14" fontId="3" fillId="0" borderId="46" xfId="0" applyNumberFormat="1" applyFont="1" applyFill="1" applyBorder="1" applyAlignment="1">
      <alignment horizontal="left"/>
    </xf>
    <xf numFmtId="0" fontId="5" fillId="0" borderId="23" xfId="0" applyFont="1" applyFill="1" applyBorder="1" applyAlignment="1">
      <alignment horizontal="center"/>
    </xf>
    <xf numFmtId="0" fontId="5" fillId="0" borderId="61" xfId="0" applyFont="1" applyFill="1" applyBorder="1" applyAlignment="1">
      <alignment horizontal="center"/>
    </xf>
    <xf numFmtId="0" fontId="5" fillId="0" borderId="55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5" fillId="0" borderId="64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0" xfId="0" applyFont="1" applyFill="1"/>
    <xf numFmtId="0" fontId="5" fillId="0" borderId="6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27" xfId="0" applyFont="1" applyFill="1" applyBorder="1" applyAlignment="1">
      <alignment horizontal="center"/>
    </xf>
    <xf numFmtId="0" fontId="7" fillId="6" borderId="33" xfId="1" applyFont="1" applyFill="1" applyBorder="1" applyAlignment="1">
      <alignment horizontal="center"/>
    </xf>
    <xf numFmtId="0" fontId="5" fillId="6" borderId="39" xfId="0" applyFont="1" applyFill="1" applyBorder="1" applyAlignment="1">
      <alignment horizontal="center"/>
    </xf>
    <xf numFmtId="0" fontId="5" fillId="6" borderId="32" xfId="0" applyFont="1" applyFill="1" applyBorder="1" applyAlignment="1">
      <alignment horizontal="center"/>
    </xf>
    <xf numFmtId="0" fontId="5" fillId="6" borderId="62" xfId="0" applyFont="1" applyFill="1" applyBorder="1" applyAlignment="1">
      <alignment horizontal="center"/>
    </xf>
    <xf numFmtId="0" fontId="5" fillId="6" borderId="51" xfId="0" applyFont="1" applyFill="1" applyBorder="1" applyAlignment="1">
      <alignment horizontal="center"/>
    </xf>
    <xf numFmtId="0" fontId="5" fillId="6" borderId="58" xfId="0" applyFont="1" applyFill="1" applyBorder="1" applyAlignment="1">
      <alignment horizontal="center"/>
    </xf>
    <xf numFmtId="0" fontId="3" fillId="6" borderId="71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23" xfId="0" applyFont="1" applyFill="1" applyBorder="1" applyAlignment="1">
      <alignment horizontal="center"/>
    </xf>
    <xf numFmtId="0" fontId="7" fillId="3" borderId="33" xfId="1" applyFont="1" applyFill="1" applyBorder="1" applyAlignment="1">
      <alignment horizontal="center"/>
    </xf>
    <xf numFmtId="0" fontId="5" fillId="0" borderId="87" xfId="0" applyFont="1" applyFill="1" applyBorder="1" applyAlignment="1">
      <alignment horizontal="center"/>
    </xf>
    <xf numFmtId="14" fontId="3" fillId="3" borderId="45" xfId="0" applyNumberFormat="1" applyFont="1" applyFill="1" applyBorder="1" applyAlignment="1">
      <alignment horizontal="left"/>
    </xf>
    <xf numFmtId="0" fontId="4" fillId="5" borderId="74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0" fillId="5" borderId="36" xfId="0" applyFill="1" applyBorder="1"/>
    <xf numFmtId="0" fontId="4" fillId="5" borderId="88" xfId="0" applyFont="1" applyFill="1" applyBorder="1" applyAlignment="1">
      <alignment horizontal="center" vertical="center" wrapText="1"/>
    </xf>
    <xf numFmtId="0" fontId="4" fillId="5" borderId="6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" fontId="0" fillId="0" borderId="0" xfId="0" applyNumberFormat="1"/>
    <xf numFmtId="0" fontId="4" fillId="0" borderId="10" xfId="0" applyFont="1" applyBorder="1" applyAlignment="1">
      <alignment horizontal="center"/>
    </xf>
    <xf numFmtId="0" fontId="5" fillId="3" borderId="49" xfId="0" applyFont="1" applyFill="1" applyBorder="1" applyAlignment="1">
      <alignment horizontal="center"/>
    </xf>
    <xf numFmtId="0" fontId="5" fillId="3" borderId="59" xfId="0" applyFont="1" applyFill="1" applyBorder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3" fillId="2" borderId="62" xfId="0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/>
    </xf>
    <xf numFmtId="0" fontId="3" fillId="2" borderId="59" xfId="0" applyFont="1" applyFill="1" applyBorder="1" applyAlignment="1">
      <alignment horizontal="center"/>
    </xf>
    <xf numFmtId="0" fontId="5" fillId="2" borderId="37" xfId="0" applyFont="1" applyFill="1" applyBorder="1" applyAlignment="1">
      <alignment horizontal="center"/>
    </xf>
    <xf numFmtId="0" fontId="5" fillId="2" borderId="36" xfId="0" applyFont="1" applyFill="1" applyBorder="1" applyAlignment="1">
      <alignment horizontal="center"/>
    </xf>
    <xf numFmtId="0" fontId="5" fillId="2" borderId="63" xfId="0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/>
    </xf>
    <xf numFmtId="0" fontId="5" fillId="2" borderId="65" xfId="0" applyFont="1" applyFill="1" applyBorder="1" applyAlignment="1">
      <alignment horizontal="center"/>
    </xf>
    <xf numFmtId="0" fontId="5" fillId="2" borderId="47" xfId="0" applyFont="1" applyFill="1" applyBorder="1" applyAlignment="1">
      <alignment horizontal="center"/>
    </xf>
    <xf numFmtId="0" fontId="3" fillId="2" borderId="50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  <xf numFmtId="0" fontId="3" fillId="2" borderId="63" xfId="0" applyFont="1" applyFill="1" applyBorder="1" applyAlignment="1">
      <alignment horizontal="center"/>
    </xf>
    <xf numFmtId="0" fontId="3" fillId="2" borderId="70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0" fontId="3" fillId="2" borderId="65" xfId="0" applyFont="1" applyFill="1" applyBorder="1" applyAlignment="1">
      <alignment horizontal="center"/>
    </xf>
    <xf numFmtId="0" fontId="5" fillId="2" borderId="39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0" fontId="5" fillId="2" borderId="62" xfId="0" applyFont="1" applyFill="1" applyBorder="1" applyAlignment="1">
      <alignment horizontal="center"/>
    </xf>
    <xf numFmtId="0" fontId="5" fillId="2" borderId="51" xfId="0" applyFont="1" applyFill="1" applyBorder="1" applyAlignment="1">
      <alignment horizontal="center"/>
    </xf>
    <xf numFmtId="0" fontId="5" fillId="2" borderId="58" xfId="0" applyFont="1" applyFill="1" applyBorder="1" applyAlignment="1">
      <alignment horizontal="center"/>
    </xf>
    <xf numFmtId="0" fontId="3" fillId="2" borderId="7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/>
    </xf>
    <xf numFmtId="0" fontId="5" fillId="2" borderId="59" xfId="0" applyFont="1" applyFill="1" applyBorder="1" applyAlignment="1">
      <alignment horizontal="center"/>
    </xf>
    <xf numFmtId="0" fontId="5" fillId="6" borderId="27" xfId="0" applyFont="1" applyFill="1" applyBorder="1" applyAlignment="1">
      <alignment horizontal="center"/>
    </xf>
    <xf numFmtId="0" fontId="3" fillId="6" borderId="82" xfId="0" applyFont="1" applyFill="1" applyBorder="1" applyAlignment="1">
      <alignment horizontal="center"/>
    </xf>
    <xf numFmtId="0" fontId="3" fillId="2" borderId="67" xfId="0" applyFont="1" applyFill="1" applyBorder="1" applyAlignment="1">
      <alignment horizontal="center"/>
    </xf>
    <xf numFmtId="0" fontId="3" fillId="2" borderId="58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66" fontId="0" fillId="0" borderId="0" xfId="0" applyNumberFormat="1"/>
    <xf numFmtId="0" fontId="4" fillId="0" borderId="10" xfId="0" applyFont="1" applyBorder="1" applyAlignment="1">
      <alignment horizontal="center"/>
    </xf>
    <xf numFmtId="0" fontId="5" fillId="0" borderId="47" xfId="0" applyFont="1" applyFill="1" applyBorder="1" applyAlignment="1">
      <alignment horizontal="center"/>
    </xf>
    <xf numFmtId="0" fontId="5" fillId="0" borderId="30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14" fontId="7" fillId="4" borderId="31" xfId="1" applyNumberFormat="1" applyFont="1" applyFill="1" applyBorder="1" applyAlignment="1">
      <alignment horizontal="center"/>
    </xf>
    <xf numFmtId="0" fontId="3" fillId="4" borderId="38" xfId="0" applyFont="1" applyFill="1" applyBorder="1" applyAlignment="1">
      <alignment horizontal="center"/>
    </xf>
    <xf numFmtId="0" fontId="3" fillId="4" borderId="32" xfId="0" applyFont="1" applyFill="1" applyBorder="1" applyAlignment="1">
      <alignment horizontal="center"/>
    </xf>
    <xf numFmtId="0" fontId="3" fillId="4" borderId="62" xfId="0" applyFont="1" applyFill="1" applyBorder="1" applyAlignment="1">
      <alignment horizontal="center"/>
    </xf>
    <xf numFmtId="0" fontId="3" fillId="4" borderId="57" xfId="0" applyFont="1" applyFill="1" applyBorder="1" applyAlignment="1">
      <alignment horizontal="center"/>
    </xf>
    <xf numFmtId="0" fontId="5" fillId="4" borderId="49" xfId="0" applyFont="1" applyFill="1" applyBorder="1" applyAlignment="1">
      <alignment horizontal="center"/>
    </xf>
    <xf numFmtId="0" fontId="5" fillId="4" borderId="59" xfId="0" applyFont="1" applyFill="1" applyBorder="1" applyAlignment="1">
      <alignment horizontal="center"/>
    </xf>
    <xf numFmtId="0" fontId="3" fillId="4" borderId="39" xfId="0" applyFont="1" applyFill="1" applyBorder="1" applyAlignment="1">
      <alignment horizontal="center"/>
    </xf>
    <xf numFmtId="0" fontId="5" fillId="4" borderId="36" xfId="0" applyFont="1" applyFill="1" applyBorder="1" applyAlignment="1">
      <alignment horizontal="center"/>
    </xf>
    <xf numFmtId="0" fontId="5" fillId="4" borderId="63" xfId="0" applyFont="1" applyFill="1" applyBorder="1" applyAlignment="1">
      <alignment horizontal="center"/>
    </xf>
    <xf numFmtId="0" fontId="5" fillId="4" borderId="52" xfId="0" applyFont="1" applyFill="1" applyBorder="1" applyAlignment="1">
      <alignment horizontal="center"/>
    </xf>
    <xf numFmtId="0" fontId="5" fillId="4" borderId="65" xfId="0" applyFont="1" applyFill="1" applyBorder="1" applyAlignment="1">
      <alignment horizontal="center"/>
    </xf>
    <xf numFmtId="0" fontId="3" fillId="4" borderId="44" xfId="0" applyFont="1" applyFill="1" applyBorder="1" applyAlignment="1">
      <alignment horizontal="center"/>
    </xf>
    <xf numFmtId="0" fontId="3" fillId="4" borderId="0" xfId="0" applyFont="1" applyFill="1"/>
    <xf numFmtId="0" fontId="3" fillId="4" borderId="31" xfId="0" applyFont="1" applyFill="1" applyBorder="1" applyAlignment="1">
      <alignment horizontal="center"/>
    </xf>
    <xf numFmtId="0" fontId="3" fillId="4" borderId="33" xfId="0" applyFont="1" applyFill="1" applyBorder="1" applyAlignment="1">
      <alignment horizontal="center"/>
    </xf>
    <xf numFmtId="0" fontId="3" fillId="4" borderId="50" xfId="0" applyFont="1" applyFill="1" applyBorder="1" applyAlignment="1">
      <alignment horizontal="center"/>
    </xf>
    <xf numFmtId="0" fontId="3" fillId="4" borderId="49" xfId="0" applyFont="1" applyFill="1" applyBorder="1" applyAlignment="1">
      <alignment horizontal="center"/>
    </xf>
    <xf numFmtId="0" fontId="3" fillId="4" borderId="35" xfId="0" applyFont="1" applyFill="1" applyBorder="1" applyAlignment="1">
      <alignment horizontal="center"/>
    </xf>
    <xf numFmtId="0" fontId="3" fillId="4" borderId="34" xfId="0" applyFont="1" applyFill="1" applyBorder="1" applyAlignment="1">
      <alignment horizontal="center"/>
    </xf>
    <xf numFmtId="0" fontId="3" fillId="4" borderId="36" xfId="0" applyFont="1" applyFill="1" applyBorder="1" applyAlignment="1">
      <alignment horizontal="center"/>
    </xf>
    <xf numFmtId="0" fontId="3" fillId="4" borderId="63" xfId="0" applyFont="1" applyFill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0" fontId="3" fillId="4" borderId="70" xfId="0" applyFont="1" applyFill="1" applyBorder="1" applyAlignment="1">
      <alignment horizontal="center"/>
    </xf>
    <xf numFmtId="0" fontId="3" fillId="4" borderId="31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8" fillId="4" borderId="0" xfId="0" applyFont="1" applyFill="1"/>
    <xf numFmtId="0" fontId="5" fillId="4" borderId="27" xfId="0" applyFont="1" applyFill="1" applyBorder="1" applyAlignment="1">
      <alignment horizontal="center"/>
    </xf>
    <xf numFmtId="0" fontId="5" fillId="4" borderId="37" xfId="0" applyFont="1" applyFill="1" applyBorder="1" applyAlignment="1">
      <alignment horizontal="center"/>
    </xf>
    <xf numFmtId="0" fontId="3" fillId="4" borderId="40" xfId="0" applyFont="1" applyFill="1" applyBorder="1" applyAlignment="1">
      <alignment horizontal="center"/>
    </xf>
    <xf numFmtId="0" fontId="3" fillId="4" borderId="40" xfId="0" applyFont="1" applyFill="1" applyBorder="1" applyAlignment="1">
      <alignment horizontal="center" vertical="center"/>
    </xf>
    <xf numFmtId="14" fontId="0" fillId="0" borderId="0" xfId="0" applyNumberFormat="1"/>
    <xf numFmtId="0" fontId="7" fillId="4" borderId="33" xfId="1" applyFont="1" applyFill="1" applyBorder="1" applyAlignment="1">
      <alignment horizontal="center"/>
    </xf>
    <xf numFmtId="0" fontId="3" fillId="4" borderId="59" xfId="0" applyFont="1" applyFill="1" applyBorder="1" applyAlignment="1">
      <alignment horizontal="center"/>
    </xf>
    <xf numFmtId="0" fontId="3" fillId="4" borderId="52" xfId="0" applyFont="1" applyFill="1" applyBorder="1" applyAlignment="1">
      <alignment horizontal="center"/>
    </xf>
    <xf numFmtId="0" fontId="3" fillId="4" borderId="65" xfId="0" applyFont="1" applyFill="1" applyBorder="1" applyAlignment="1">
      <alignment horizontal="center"/>
    </xf>
    <xf numFmtId="0" fontId="5" fillId="4" borderId="47" xfId="0" applyFont="1" applyFill="1" applyBorder="1" applyAlignment="1">
      <alignment horizontal="center"/>
    </xf>
    <xf numFmtId="0" fontId="5" fillId="4" borderId="30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/>
    </xf>
    <xf numFmtId="0" fontId="5" fillId="4" borderId="24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/>
    </xf>
    <xf numFmtId="0" fontId="0" fillId="4" borderId="0" xfId="0" applyFill="1"/>
    <xf numFmtId="0" fontId="4" fillId="0" borderId="10" xfId="0" applyFont="1" applyBorder="1" applyAlignment="1">
      <alignment horizontal="center"/>
    </xf>
    <xf numFmtId="0" fontId="13" fillId="2" borderId="33" xfId="1" applyFont="1" applyFill="1" applyBorder="1" applyAlignment="1">
      <alignment horizontal="center"/>
    </xf>
    <xf numFmtId="0" fontId="13" fillId="3" borderId="33" xfId="1" applyFont="1" applyFill="1" applyBorder="1" applyAlignment="1">
      <alignment horizontal="center"/>
    </xf>
    <xf numFmtId="0" fontId="3" fillId="3" borderId="47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14" fontId="7" fillId="5" borderId="31" xfId="1" applyNumberFormat="1" applyFont="1" applyFill="1" applyBorder="1" applyAlignment="1">
      <alignment horizontal="center"/>
    </xf>
    <xf numFmtId="0" fontId="13" fillId="5" borderId="33" xfId="1" applyFont="1" applyFill="1" applyBorder="1" applyAlignment="1">
      <alignment horizontal="center"/>
    </xf>
    <xf numFmtId="0" fontId="5" fillId="5" borderId="47" xfId="0" applyFont="1" applyFill="1" applyBorder="1" applyAlignment="1">
      <alignment horizontal="center"/>
    </xf>
    <xf numFmtId="0" fontId="5" fillId="5" borderId="30" xfId="0" applyFont="1" applyFill="1" applyBorder="1" applyAlignment="1">
      <alignment horizontal="center" vertical="center"/>
    </xf>
    <xf numFmtId="0" fontId="3" fillId="5" borderId="44" xfId="0" applyFont="1" applyFill="1" applyBorder="1" applyAlignment="1">
      <alignment horizontal="center"/>
    </xf>
    <xf numFmtId="0" fontId="3" fillId="5" borderId="0" xfId="0" applyFont="1" applyFill="1"/>
    <xf numFmtId="0" fontId="3" fillId="5" borderId="31" xfId="0" applyFont="1" applyFill="1" applyBorder="1" applyAlignment="1">
      <alignment horizontal="center"/>
    </xf>
    <xf numFmtId="0" fontId="5" fillId="5" borderId="24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49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0" fontId="8" fillId="5" borderId="0" xfId="0" applyFont="1" applyFill="1"/>
    <xf numFmtId="0" fontId="5" fillId="5" borderId="27" xfId="0" applyFont="1" applyFill="1" applyBorder="1" applyAlignment="1">
      <alignment horizontal="center"/>
    </xf>
    <xf numFmtId="14" fontId="9" fillId="5" borderId="31" xfId="1" applyNumberFormat="1" applyFont="1" applyFill="1" applyBorder="1" applyAlignment="1">
      <alignment horizontal="center"/>
    </xf>
    <xf numFmtId="0" fontId="9" fillId="5" borderId="33" xfId="1" applyFont="1" applyFill="1" applyBorder="1" applyAlignment="1">
      <alignment horizontal="center"/>
    </xf>
    <xf numFmtId="0" fontId="5" fillId="5" borderId="39" xfId="0" applyFont="1" applyFill="1" applyBorder="1" applyAlignment="1">
      <alignment horizontal="center"/>
    </xf>
    <xf numFmtId="0" fontId="3" fillId="5" borderId="40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3" fillId="5" borderId="40" xfId="0" applyFont="1" applyFill="1" applyBorder="1" applyAlignment="1">
      <alignment horizontal="center" vertical="center"/>
    </xf>
    <xf numFmtId="0" fontId="5" fillId="0" borderId="89" xfId="0" applyFont="1" applyBorder="1"/>
    <xf numFmtId="0" fontId="4" fillId="0" borderId="90" xfId="0" applyFont="1" applyBorder="1" applyAlignment="1">
      <alignment horizontal="center" vertical="center" wrapText="1"/>
    </xf>
    <xf numFmtId="0" fontId="3" fillId="2" borderId="91" xfId="0" applyFont="1" applyFill="1" applyBorder="1" applyAlignment="1">
      <alignment horizontal="center"/>
    </xf>
    <xf numFmtId="0" fontId="3" fillId="0" borderId="91" xfId="0" applyFont="1" applyFill="1" applyBorder="1" applyAlignment="1">
      <alignment horizontal="center"/>
    </xf>
    <xf numFmtId="0" fontId="3" fillId="5" borderId="91" xfId="0" applyFont="1" applyFill="1" applyBorder="1" applyAlignment="1">
      <alignment horizontal="center"/>
    </xf>
    <xf numFmtId="0" fontId="3" fillId="4" borderId="91" xfId="0" applyFont="1" applyFill="1" applyBorder="1" applyAlignment="1">
      <alignment horizontal="center"/>
    </xf>
    <xf numFmtId="0" fontId="0" fillId="2" borderId="0" xfId="0" applyFill="1" applyBorder="1"/>
    <xf numFmtId="0" fontId="5" fillId="2" borderId="86" xfId="0" applyFont="1" applyFill="1" applyBorder="1"/>
    <xf numFmtId="0" fontId="3" fillId="2" borderId="86" xfId="0" applyFont="1" applyFill="1" applyBorder="1"/>
    <xf numFmtId="0" fontId="5" fillId="2" borderId="46" xfId="0" applyFont="1" applyFill="1" applyBorder="1"/>
    <xf numFmtId="0" fontId="1" fillId="3" borderId="36" xfId="0" applyFont="1" applyFill="1" applyBorder="1"/>
    <xf numFmtId="14" fontId="0" fillId="3" borderId="36" xfId="0" applyNumberFormat="1" applyFill="1" applyBorder="1"/>
    <xf numFmtId="0" fontId="9" fillId="5" borderId="39" xfId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32" xfId="0" applyBorder="1"/>
    <xf numFmtId="0" fontId="0" fillId="0" borderId="39" xfId="0" applyBorder="1"/>
    <xf numFmtId="0" fontId="0" fillId="0" borderId="88" xfId="0" applyBorder="1"/>
    <xf numFmtId="0" fontId="3" fillId="0" borderId="23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4" fillId="5" borderId="5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5" fillId="0" borderId="94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5" borderId="92" xfId="0" applyFont="1" applyFill="1" applyBorder="1" applyAlignment="1">
      <alignment horizontal="center"/>
    </xf>
    <xf numFmtId="0" fontId="3" fillId="5" borderId="74" xfId="0" applyFont="1" applyFill="1" applyBorder="1" applyAlignment="1">
      <alignment horizontal="center"/>
    </xf>
    <xf numFmtId="0" fontId="3" fillId="5" borderId="88" xfId="0" applyFont="1" applyFill="1" applyBorder="1" applyAlignment="1">
      <alignment horizontal="center"/>
    </xf>
    <xf numFmtId="0" fontId="3" fillId="5" borderId="73" xfId="0" applyFont="1" applyFill="1" applyBorder="1" applyAlignment="1">
      <alignment horizontal="center"/>
    </xf>
    <xf numFmtId="0" fontId="3" fillId="5" borderId="95" xfId="0" applyFont="1" applyFill="1" applyBorder="1" applyAlignment="1">
      <alignment horizontal="center"/>
    </xf>
    <xf numFmtId="0" fontId="3" fillId="5" borderId="96" xfId="0" applyFont="1" applyFill="1" applyBorder="1" applyAlignment="1">
      <alignment horizontal="center"/>
    </xf>
    <xf numFmtId="0" fontId="5" fillId="0" borderId="93" xfId="0" applyFont="1" applyFill="1" applyBorder="1" applyAlignment="1">
      <alignment horizontal="center"/>
    </xf>
    <xf numFmtId="0" fontId="5" fillId="0" borderId="97" xfId="0" applyFont="1" applyFill="1" applyBorder="1" applyAlignment="1">
      <alignment horizontal="center"/>
    </xf>
    <xf numFmtId="0" fontId="5" fillId="0" borderId="94" xfId="0" applyFont="1" applyFill="1" applyBorder="1" applyAlignment="1">
      <alignment horizontal="center"/>
    </xf>
    <xf numFmtId="0" fontId="5" fillId="0" borderId="98" xfId="0" applyFont="1" applyFill="1" applyBorder="1" applyAlignment="1">
      <alignment horizontal="center"/>
    </xf>
    <xf numFmtId="0" fontId="5" fillId="0" borderId="99" xfId="0" applyFont="1" applyFill="1" applyBorder="1" applyAlignment="1">
      <alignment horizontal="center"/>
    </xf>
    <xf numFmtId="0" fontId="3" fillId="5" borderId="36" xfId="0" applyFont="1" applyFill="1" applyBorder="1"/>
    <xf numFmtId="0" fontId="13" fillId="5" borderId="85" xfId="1" applyFont="1" applyFill="1" applyBorder="1" applyAlignment="1">
      <alignment horizontal="center"/>
    </xf>
    <xf numFmtId="0" fontId="5" fillId="2" borderId="92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/>
    </xf>
    <xf numFmtId="0" fontId="5" fillId="2" borderId="93" xfId="0" applyFont="1" applyFill="1" applyBorder="1" applyAlignment="1">
      <alignment horizontal="center"/>
    </xf>
    <xf numFmtId="0" fontId="5" fillId="2" borderId="94" xfId="0" applyFont="1" applyFill="1" applyBorder="1" applyAlignment="1">
      <alignment horizontal="center" vertical="center"/>
    </xf>
    <xf numFmtId="0" fontId="13" fillId="5" borderId="36" xfId="1" applyFont="1" applyFill="1" applyBorder="1" applyAlignment="1">
      <alignment horizontal="center"/>
    </xf>
    <xf numFmtId="0" fontId="5" fillId="2" borderId="36" xfId="0" applyFont="1" applyFill="1" applyBorder="1" applyAlignment="1">
      <alignment horizontal="center" vertical="center"/>
    </xf>
    <xf numFmtId="0" fontId="3" fillId="2" borderId="36" xfId="0" applyFont="1" applyFill="1" applyBorder="1"/>
    <xf numFmtId="0" fontId="5" fillId="5" borderId="25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 vertical="center"/>
    </xf>
    <xf numFmtId="0" fontId="3" fillId="5" borderId="88" xfId="0" applyFont="1" applyFill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3" fillId="0" borderId="99" xfId="0" applyFont="1" applyFill="1" applyBorder="1" applyAlignment="1">
      <alignment horizontal="center" vertical="center"/>
    </xf>
    <xf numFmtId="0" fontId="3" fillId="0" borderId="94" xfId="0" applyFont="1" applyFill="1" applyBorder="1" applyAlignment="1">
      <alignment horizontal="center" vertical="center"/>
    </xf>
    <xf numFmtId="0" fontId="3" fillId="0" borderId="93" xfId="0" applyFont="1" applyFill="1" applyBorder="1" applyAlignment="1">
      <alignment horizontal="center"/>
    </xf>
    <xf numFmtId="0" fontId="3" fillId="0" borderId="97" xfId="0" applyFont="1" applyFill="1" applyBorder="1" applyAlignment="1">
      <alignment horizontal="center"/>
    </xf>
    <xf numFmtId="0" fontId="5" fillId="5" borderId="100" xfId="0" applyFont="1" applyFill="1" applyBorder="1" applyAlignment="1">
      <alignment horizontal="center"/>
    </xf>
    <xf numFmtId="0" fontId="3" fillId="5" borderId="51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/>
    </xf>
    <xf numFmtId="0" fontId="5" fillId="0" borderId="46" xfId="0" applyFont="1" applyFill="1" applyBorder="1" applyAlignment="1">
      <alignment horizontal="center"/>
    </xf>
    <xf numFmtId="0" fontId="8" fillId="5" borderId="36" xfId="0" applyFont="1" applyFill="1" applyBorder="1"/>
    <xf numFmtId="14" fontId="13" fillId="5" borderId="31" xfId="1" applyNumberFormat="1" applyFont="1" applyFill="1" applyBorder="1" applyAlignment="1">
      <alignment horizontal="center"/>
    </xf>
    <xf numFmtId="0" fontId="13" fillId="5" borderId="39" xfId="1" applyFont="1" applyFill="1" applyBorder="1" applyAlignment="1">
      <alignment horizontal="center"/>
    </xf>
    <xf numFmtId="0" fontId="3" fillId="0" borderId="86" xfId="0" applyFont="1" applyFill="1" applyBorder="1"/>
    <xf numFmtId="0" fontId="9" fillId="2" borderId="33" xfId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" fillId="0" borderId="35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/>
    </xf>
    <xf numFmtId="14" fontId="9" fillId="0" borderId="31" xfId="1" applyNumberFormat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3" fillId="3" borderId="86" xfId="0" applyFont="1" applyFill="1" applyBorder="1"/>
    <xf numFmtId="0" fontId="0" fillId="0" borderId="36" xfId="0" applyBorder="1" applyAlignment="1">
      <alignment horizontal="center"/>
    </xf>
    <xf numFmtId="0" fontId="0" fillId="0" borderId="88" xfId="0" applyBorder="1" applyAlignment="1">
      <alignment horizontal="center"/>
    </xf>
    <xf numFmtId="14" fontId="13" fillId="0" borderId="31" xfId="1" applyNumberFormat="1" applyFont="1" applyFill="1" applyBorder="1" applyAlignment="1">
      <alignment horizontal="center"/>
    </xf>
    <xf numFmtId="0" fontId="13" fillId="0" borderId="39" xfId="1" applyFont="1" applyFill="1" applyBorder="1" applyAlignment="1">
      <alignment horizontal="center"/>
    </xf>
    <xf numFmtId="0" fontId="13" fillId="0" borderId="33" xfId="1" applyFont="1" applyFill="1" applyBorder="1" applyAlignment="1">
      <alignment horizontal="center"/>
    </xf>
    <xf numFmtId="0" fontId="3" fillId="5" borderId="86" xfId="0" applyFont="1" applyFill="1" applyBorder="1"/>
    <xf numFmtId="0" fontId="3" fillId="5" borderId="83" xfId="0" applyFont="1" applyFill="1" applyBorder="1" applyAlignment="1">
      <alignment horizontal="center" vertical="center"/>
    </xf>
    <xf numFmtId="0" fontId="5" fillId="5" borderId="37" xfId="0" applyFont="1" applyFill="1" applyBorder="1" applyAlignment="1">
      <alignment horizontal="center"/>
    </xf>
    <xf numFmtId="0" fontId="10" fillId="5" borderId="0" xfId="0" applyFont="1" applyFill="1" applyBorder="1" applyAlignment="1">
      <alignment horizontal="center"/>
    </xf>
    <xf numFmtId="0" fontId="11" fillId="5" borderId="0" xfId="0" applyFont="1" applyFill="1" applyBorder="1" applyAlignment="1">
      <alignment horizontal="center"/>
    </xf>
    <xf numFmtId="0" fontId="4" fillId="0" borderId="79" xfId="0" applyFont="1" applyBorder="1" applyAlignment="1">
      <alignment horizontal="center"/>
    </xf>
    <xf numFmtId="0" fontId="4" fillId="0" borderId="80" xfId="0" applyFont="1" applyBorder="1" applyAlignment="1">
      <alignment horizontal="center"/>
    </xf>
    <xf numFmtId="0" fontId="4" fillId="0" borderId="81" xfId="0" applyFont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76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10" fillId="0" borderId="7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66" xfId="0" applyFont="1" applyBorder="1" applyAlignment="1">
      <alignment horizontal="center"/>
    </xf>
    <xf numFmtId="0" fontId="4" fillId="0" borderId="77" xfId="0" applyFont="1" applyBorder="1" applyAlignment="1">
      <alignment horizontal="center"/>
    </xf>
    <xf numFmtId="0" fontId="14" fillId="0" borderId="0" xfId="0" applyFont="1" applyAlignment="1">
      <alignment vertical="center"/>
    </xf>
  </cellXfs>
  <cellStyles count="2">
    <cellStyle name="Normál" xfId="0" builtinId="0"/>
    <cellStyle name="Normál 2" xfId="1" xr:uid="{406038BE-EE30-44CA-A6F6-86742DA2C3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CC537-0EF6-4353-B5C2-AD9F63D78780}">
  <dimension ref="A1:CT340"/>
  <sheetViews>
    <sheetView workbookViewId="0">
      <pane xSplit="2" ySplit="3" topLeftCell="C9" activePane="bottomRight" state="frozen"/>
      <selection pane="topRight" activeCell="C1" sqref="C1"/>
      <selection pane="bottomLeft" activeCell="A4" sqref="A4"/>
      <selection pane="bottomRight" activeCell="I39" sqref="I39"/>
    </sheetView>
  </sheetViews>
  <sheetFormatPr defaultRowHeight="15" x14ac:dyDescent="0.25"/>
  <cols>
    <col min="1" max="1" width="10.5703125" customWidth="1"/>
    <col min="3" max="4" width="11.5703125" customWidth="1"/>
    <col min="5" max="5" width="10.5703125" style="119" customWidth="1"/>
    <col min="6" max="6" width="9.85546875" style="150" customWidth="1"/>
    <col min="7" max="7" width="9.85546875" style="145" customWidth="1"/>
    <col min="8" max="8" width="9.85546875" style="150" customWidth="1"/>
    <col min="9" max="9" width="11.5703125" customWidth="1"/>
    <col min="10" max="10" width="12.42578125" customWidth="1"/>
    <col min="11" max="11" width="10" style="119" customWidth="1"/>
    <col min="12" max="12" width="11.42578125" style="150" customWidth="1"/>
    <col min="13" max="13" width="10.42578125" style="164" customWidth="1"/>
    <col min="14" max="14" width="11.42578125" style="159" customWidth="1"/>
    <col min="15" max="15" width="12.5703125" customWidth="1"/>
    <col min="16" max="16" width="12" customWidth="1"/>
    <col min="17" max="17" width="10.85546875" style="119" customWidth="1"/>
    <col min="18" max="18" width="9.5703125" style="150" customWidth="1"/>
    <col min="19" max="19" width="9.5703125" style="119" customWidth="1"/>
    <col min="20" max="20" width="9.5703125" style="150" customWidth="1"/>
    <col min="25" max="25" width="10.140625" bestFit="1" customWidth="1"/>
    <col min="27" max="27" width="9.85546875" style="119" customWidth="1"/>
    <col min="28" max="28" width="10.42578125" style="150" customWidth="1"/>
    <col min="29" max="29" width="10.42578125" style="145" customWidth="1"/>
    <col min="30" max="30" width="10.42578125" style="150" customWidth="1"/>
    <col min="31" max="32" width="12.42578125" customWidth="1"/>
    <col min="33" max="33" width="9.85546875" style="119" customWidth="1"/>
    <col min="34" max="34" width="9.5703125" style="122" customWidth="1"/>
    <col min="35" max="35" width="9.5703125" style="134" customWidth="1"/>
    <col min="36" max="36" width="9.5703125" style="176" customWidth="1"/>
    <col min="37" max="37" width="12.85546875" customWidth="1"/>
    <col min="38" max="38" width="12.140625" customWidth="1"/>
    <col min="39" max="39" width="10.5703125" style="119" customWidth="1"/>
    <col min="40" max="40" width="10.42578125" style="150" customWidth="1"/>
    <col min="41" max="41" width="10.42578125" style="119" customWidth="1"/>
    <col min="42" max="42" width="10.42578125" style="150" customWidth="1"/>
    <col min="47" max="47" width="11.85546875" customWidth="1"/>
    <col min="48" max="48" width="11.5703125" customWidth="1"/>
    <col min="49" max="49" width="10.42578125" style="119" customWidth="1"/>
    <col min="50" max="50" width="10.5703125" style="150" customWidth="1"/>
    <col min="51" max="51" width="10.5703125" style="164" customWidth="1"/>
    <col min="52" max="52" width="10.5703125" style="186" customWidth="1"/>
    <col min="53" max="54" width="11.5703125" customWidth="1"/>
    <col min="55" max="55" width="10" style="119" customWidth="1"/>
    <col min="56" max="56" width="9.85546875" style="134" customWidth="1"/>
    <col min="57" max="57" width="9.85546875" style="182" customWidth="1"/>
    <col min="58" max="58" width="9.85546875" style="176" customWidth="1"/>
    <col min="59" max="59" width="12.140625" customWidth="1"/>
    <col min="60" max="60" width="11.85546875" customWidth="1"/>
    <col min="61" max="61" width="10.140625" style="119" customWidth="1"/>
    <col min="62" max="62" width="9.85546875" style="150" customWidth="1"/>
    <col min="63" max="63" width="9.85546875" style="164" customWidth="1"/>
    <col min="64" max="64" width="9.85546875" style="186" customWidth="1"/>
    <col min="69" max="69" width="12.5703125" customWidth="1"/>
    <col min="70" max="70" width="11.85546875" customWidth="1"/>
    <col min="71" max="71" width="10.140625" style="119" customWidth="1"/>
    <col min="72" max="72" width="9.85546875" style="122" customWidth="1"/>
    <col min="73" max="73" width="9.85546875" style="134" customWidth="1"/>
    <col min="74" max="74" width="9.85546875" style="150" customWidth="1"/>
    <col min="75" max="76" width="11.5703125" customWidth="1"/>
    <col min="77" max="77" width="9.5703125" style="119" customWidth="1"/>
    <col min="78" max="78" width="9.85546875" style="122" customWidth="1"/>
    <col min="79" max="79" width="9.85546875" style="134" customWidth="1"/>
    <col min="80" max="80" width="9.85546875" style="150" customWidth="1"/>
    <col min="81" max="81" width="11.5703125" customWidth="1"/>
    <col min="82" max="82" width="11.85546875" customWidth="1"/>
    <col min="83" max="83" width="10.42578125" style="119" customWidth="1"/>
    <col min="84" max="84" width="9.5703125" style="122" customWidth="1"/>
    <col min="85" max="85" width="9.5703125" style="154" customWidth="1"/>
    <col min="86" max="86" width="9.5703125" style="186" customWidth="1"/>
    <col min="93" max="93" width="10" style="119" customWidth="1"/>
    <col min="94" max="94" width="10" style="150" customWidth="1"/>
    <col min="95" max="95" width="10" style="119" customWidth="1"/>
    <col min="96" max="96" width="10" style="150" customWidth="1"/>
    <col min="97" max="98" width="11.5703125" customWidth="1"/>
  </cols>
  <sheetData>
    <row r="1" spans="1:98" ht="26.25" thickBot="1" x14ac:dyDescent="0.35">
      <c r="A1" s="1" t="s">
        <v>0</v>
      </c>
      <c r="B1" s="2"/>
      <c r="C1" s="590" t="s">
        <v>1</v>
      </c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2"/>
      <c r="X1" s="3"/>
      <c r="Y1" s="593" t="s">
        <v>2</v>
      </c>
      <c r="Z1" s="594"/>
      <c r="AA1" s="594"/>
      <c r="AB1" s="594"/>
      <c r="AC1" s="594"/>
      <c r="AD1" s="594"/>
      <c r="AE1" s="594"/>
      <c r="AF1" s="594"/>
      <c r="AG1" s="594"/>
      <c r="AH1" s="594"/>
      <c r="AI1" s="594"/>
      <c r="AJ1" s="594"/>
      <c r="AK1" s="594"/>
      <c r="AL1" s="594"/>
      <c r="AM1" s="594"/>
      <c r="AN1" s="594"/>
      <c r="AO1" s="594"/>
      <c r="AP1" s="594"/>
      <c r="AQ1" s="594"/>
      <c r="AR1" s="594"/>
      <c r="AS1" s="595"/>
      <c r="AT1" s="3"/>
      <c r="AU1" s="593" t="s">
        <v>3</v>
      </c>
      <c r="AV1" s="596"/>
      <c r="AW1" s="596"/>
      <c r="AX1" s="596"/>
      <c r="AY1" s="596"/>
      <c r="AZ1" s="596"/>
      <c r="BA1" s="596"/>
      <c r="BB1" s="596"/>
      <c r="BC1" s="596"/>
      <c r="BD1" s="596"/>
      <c r="BE1" s="596"/>
      <c r="BF1" s="596"/>
      <c r="BG1" s="596"/>
      <c r="BH1" s="596"/>
      <c r="BI1" s="596"/>
      <c r="BJ1" s="596"/>
      <c r="BK1" s="596"/>
      <c r="BL1" s="596"/>
      <c r="BM1" s="596"/>
      <c r="BN1" s="596"/>
      <c r="BO1" s="597"/>
      <c r="BP1" s="3"/>
      <c r="BQ1" s="593" t="s">
        <v>4</v>
      </c>
      <c r="BR1" s="596"/>
      <c r="BS1" s="596"/>
      <c r="BT1" s="596"/>
      <c r="BU1" s="596"/>
      <c r="BV1" s="596"/>
      <c r="BW1" s="596"/>
      <c r="BX1" s="596"/>
      <c r="BY1" s="596"/>
      <c r="BZ1" s="596"/>
      <c r="CA1" s="596"/>
      <c r="CB1" s="596"/>
      <c r="CC1" s="596"/>
      <c r="CD1" s="596"/>
      <c r="CE1" s="596"/>
      <c r="CF1" s="596"/>
      <c r="CG1" s="596"/>
      <c r="CH1" s="596"/>
      <c r="CI1" s="596"/>
      <c r="CJ1" s="596"/>
      <c r="CK1" s="597"/>
      <c r="CL1" s="3"/>
      <c r="CM1" s="4" t="s">
        <v>5</v>
      </c>
      <c r="CN1" s="3"/>
      <c r="CO1" s="578" t="s">
        <v>29</v>
      </c>
      <c r="CP1" s="579"/>
      <c r="CQ1" s="579"/>
      <c r="CR1" s="579"/>
      <c r="CS1" s="579"/>
      <c r="CT1" s="579"/>
    </row>
    <row r="2" spans="1:98" ht="16.5" thickTop="1" thickBot="1" x14ac:dyDescent="0.3">
      <c r="A2" s="5"/>
      <c r="B2" s="6"/>
      <c r="C2" s="598" t="s">
        <v>22</v>
      </c>
      <c r="D2" s="599"/>
      <c r="E2" s="599"/>
      <c r="F2" s="599"/>
      <c r="G2" s="599"/>
      <c r="H2" s="600"/>
      <c r="I2" s="601" t="s">
        <v>7</v>
      </c>
      <c r="J2" s="599"/>
      <c r="K2" s="599"/>
      <c r="L2" s="599"/>
      <c r="M2" s="599"/>
      <c r="N2" s="600"/>
      <c r="O2" s="601" t="s">
        <v>8</v>
      </c>
      <c r="P2" s="599"/>
      <c r="Q2" s="599"/>
      <c r="R2" s="599"/>
      <c r="S2" s="599"/>
      <c r="T2" s="600"/>
      <c r="U2" s="7"/>
      <c r="V2" s="8"/>
      <c r="W2" s="9"/>
      <c r="X2" s="3"/>
      <c r="Y2" s="598" t="s">
        <v>6</v>
      </c>
      <c r="Z2" s="599"/>
      <c r="AA2" s="599"/>
      <c r="AB2" s="599"/>
      <c r="AC2" s="599"/>
      <c r="AD2" s="600"/>
      <c r="AE2" s="601" t="s">
        <v>7</v>
      </c>
      <c r="AF2" s="599"/>
      <c r="AG2" s="599"/>
      <c r="AH2" s="599"/>
      <c r="AI2" s="599"/>
      <c r="AJ2" s="600"/>
      <c r="AK2" s="601" t="s">
        <v>9</v>
      </c>
      <c r="AL2" s="599"/>
      <c r="AM2" s="599"/>
      <c r="AN2" s="599"/>
      <c r="AO2" s="599"/>
      <c r="AP2" s="600"/>
      <c r="AQ2" s="7"/>
      <c r="AR2" s="8"/>
      <c r="AS2" s="9"/>
      <c r="AT2" s="3"/>
      <c r="AU2" s="598" t="s">
        <v>6</v>
      </c>
      <c r="AV2" s="599"/>
      <c r="AW2" s="599"/>
      <c r="AX2" s="599"/>
      <c r="AY2" s="599"/>
      <c r="AZ2" s="600"/>
      <c r="BA2" s="599" t="s">
        <v>7</v>
      </c>
      <c r="BB2" s="599"/>
      <c r="BC2" s="599"/>
      <c r="BD2" s="599"/>
      <c r="BE2" s="599"/>
      <c r="BF2" s="600"/>
      <c r="BG2" s="587" t="s">
        <v>9</v>
      </c>
      <c r="BH2" s="588"/>
      <c r="BI2" s="588"/>
      <c r="BJ2" s="588"/>
      <c r="BK2" s="588"/>
      <c r="BL2" s="589"/>
      <c r="BM2" s="128"/>
      <c r="BN2" s="10"/>
      <c r="BO2" s="9"/>
      <c r="BP2" s="3"/>
      <c r="BQ2" s="586" t="s">
        <v>6</v>
      </c>
      <c r="BR2" s="584"/>
      <c r="BS2" s="584"/>
      <c r="BT2" s="584"/>
      <c r="BU2" s="584"/>
      <c r="BV2" s="585"/>
      <c r="BW2" s="583" t="s">
        <v>7</v>
      </c>
      <c r="BX2" s="584"/>
      <c r="BY2" s="584"/>
      <c r="BZ2" s="584"/>
      <c r="CA2" s="584"/>
      <c r="CB2" s="585"/>
      <c r="CC2" s="580" t="s">
        <v>9</v>
      </c>
      <c r="CD2" s="581"/>
      <c r="CE2" s="581"/>
      <c r="CF2" s="581"/>
      <c r="CG2" s="581"/>
      <c r="CH2" s="582"/>
      <c r="CI2" s="128"/>
      <c r="CJ2" s="11"/>
      <c r="CK2" s="9"/>
      <c r="CL2" s="3"/>
      <c r="CM2" s="12"/>
      <c r="CN2" s="3"/>
      <c r="CO2" s="579"/>
      <c r="CP2" s="579"/>
      <c r="CQ2" s="579"/>
      <c r="CR2" s="579"/>
      <c r="CS2" s="579"/>
      <c r="CT2" s="579"/>
    </row>
    <row r="3" spans="1:98" ht="39" thickBot="1" x14ac:dyDescent="0.3">
      <c r="A3" s="13"/>
      <c r="B3" s="14"/>
      <c r="C3" s="15" t="s">
        <v>23</v>
      </c>
      <c r="D3" s="16" t="s">
        <v>24</v>
      </c>
      <c r="E3" s="111" t="s">
        <v>25</v>
      </c>
      <c r="F3" s="165" t="s">
        <v>26</v>
      </c>
      <c r="G3" s="123" t="s">
        <v>27</v>
      </c>
      <c r="H3" s="146" t="s">
        <v>28</v>
      </c>
      <c r="I3" s="107" t="s">
        <v>23</v>
      </c>
      <c r="J3" s="16" t="s">
        <v>24</v>
      </c>
      <c r="K3" s="111" t="s">
        <v>25</v>
      </c>
      <c r="L3" s="165" t="s">
        <v>26</v>
      </c>
      <c r="M3" s="160" t="s">
        <v>27</v>
      </c>
      <c r="N3" s="155" t="s">
        <v>28</v>
      </c>
      <c r="O3" s="107" t="s">
        <v>23</v>
      </c>
      <c r="P3" s="16" t="s">
        <v>24</v>
      </c>
      <c r="Q3" s="111" t="s">
        <v>25</v>
      </c>
      <c r="R3" s="165" t="s">
        <v>26</v>
      </c>
      <c r="S3" s="123" t="s">
        <v>27</v>
      </c>
      <c r="T3" s="146" t="s">
        <v>28</v>
      </c>
      <c r="U3" s="17" t="s">
        <v>10</v>
      </c>
      <c r="V3" s="18" t="s">
        <v>11</v>
      </c>
      <c r="W3" s="19" t="s">
        <v>12</v>
      </c>
      <c r="X3" s="3"/>
      <c r="Y3" s="15" t="s">
        <v>23</v>
      </c>
      <c r="Z3" s="16" t="s">
        <v>24</v>
      </c>
      <c r="AA3" s="111" t="s">
        <v>25</v>
      </c>
      <c r="AB3" s="165" t="s">
        <v>26</v>
      </c>
      <c r="AC3" s="123" t="s">
        <v>27</v>
      </c>
      <c r="AD3" s="146" t="s">
        <v>28</v>
      </c>
      <c r="AE3" s="107" t="s">
        <v>23</v>
      </c>
      <c r="AF3" s="16" t="s">
        <v>24</v>
      </c>
      <c r="AG3" s="111" t="s">
        <v>25</v>
      </c>
      <c r="AH3" s="112" t="s">
        <v>26</v>
      </c>
      <c r="AI3" s="142" t="s">
        <v>27</v>
      </c>
      <c r="AJ3" s="165" t="s">
        <v>28</v>
      </c>
      <c r="AK3" s="107" t="s">
        <v>23</v>
      </c>
      <c r="AL3" s="16" t="s">
        <v>24</v>
      </c>
      <c r="AM3" s="111" t="s">
        <v>25</v>
      </c>
      <c r="AN3" s="177" t="s">
        <v>26</v>
      </c>
      <c r="AO3" s="123" t="s">
        <v>27</v>
      </c>
      <c r="AP3" s="177" t="s">
        <v>28</v>
      </c>
      <c r="AQ3" s="20" t="s">
        <v>10</v>
      </c>
      <c r="AR3" s="21" t="s">
        <v>11</v>
      </c>
      <c r="AS3" s="19" t="s">
        <v>12</v>
      </c>
      <c r="AT3" s="3"/>
      <c r="AU3" s="15" t="s">
        <v>23</v>
      </c>
      <c r="AV3" s="16" t="s">
        <v>24</v>
      </c>
      <c r="AW3" s="111" t="s">
        <v>25</v>
      </c>
      <c r="AX3" s="177" t="s">
        <v>26</v>
      </c>
      <c r="AY3" s="160" t="s">
        <v>27</v>
      </c>
      <c r="AZ3" s="183" t="s">
        <v>28</v>
      </c>
      <c r="BA3" s="107" t="s">
        <v>23</v>
      </c>
      <c r="BB3" s="16" t="s">
        <v>24</v>
      </c>
      <c r="BC3" s="111" t="s">
        <v>25</v>
      </c>
      <c r="BD3" s="139" t="s">
        <v>26</v>
      </c>
      <c r="BE3" s="178" t="s">
        <v>27</v>
      </c>
      <c r="BF3" s="165" t="s">
        <v>28</v>
      </c>
      <c r="BG3" s="107" t="s">
        <v>23</v>
      </c>
      <c r="BH3" s="16" t="s">
        <v>24</v>
      </c>
      <c r="BI3" s="111" t="s">
        <v>25</v>
      </c>
      <c r="BJ3" s="177" t="s">
        <v>26</v>
      </c>
      <c r="BK3" s="160" t="s">
        <v>27</v>
      </c>
      <c r="BL3" s="183" t="s">
        <v>28</v>
      </c>
      <c r="BM3" s="23" t="s">
        <v>10</v>
      </c>
      <c r="BN3" s="24" t="s">
        <v>11</v>
      </c>
      <c r="BO3" s="19" t="s">
        <v>12</v>
      </c>
      <c r="BP3" s="3"/>
      <c r="BQ3" s="15" t="s">
        <v>23</v>
      </c>
      <c r="BR3" s="16" t="s">
        <v>24</v>
      </c>
      <c r="BS3" s="111" t="s">
        <v>25</v>
      </c>
      <c r="BT3" s="126" t="s">
        <v>26</v>
      </c>
      <c r="BU3" s="110" t="s">
        <v>27</v>
      </c>
      <c r="BV3" s="146" t="s">
        <v>28</v>
      </c>
      <c r="BW3" s="107" t="s">
        <v>23</v>
      </c>
      <c r="BX3" s="16" t="s">
        <v>24</v>
      </c>
      <c r="BY3" s="111" t="s">
        <v>25</v>
      </c>
      <c r="BZ3" s="126" t="s">
        <v>26</v>
      </c>
      <c r="CA3" s="110" t="s">
        <v>27</v>
      </c>
      <c r="CB3" s="146" t="s">
        <v>28</v>
      </c>
      <c r="CC3" s="107" t="s">
        <v>23</v>
      </c>
      <c r="CD3" s="16" t="s">
        <v>24</v>
      </c>
      <c r="CE3" s="111" t="s">
        <v>25</v>
      </c>
      <c r="CF3" s="126" t="s">
        <v>26</v>
      </c>
      <c r="CG3" s="151" t="s">
        <v>27</v>
      </c>
      <c r="CH3" s="183" t="s">
        <v>28</v>
      </c>
      <c r="CI3" s="193" t="s">
        <v>10</v>
      </c>
      <c r="CJ3" s="22" t="s">
        <v>11</v>
      </c>
      <c r="CK3" s="19" t="s">
        <v>12</v>
      </c>
      <c r="CL3" s="3"/>
      <c r="CM3" s="25"/>
      <c r="CN3" s="3"/>
      <c r="CO3" s="111" t="s">
        <v>25</v>
      </c>
      <c r="CP3" s="177" t="s">
        <v>26</v>
      </c>
      <c r="CQ3" s="123" t="s">
        <v>27</v>
      </c>
      <c r="CR3" s="146" t="s">
        <v>28</v>
      </c>
      <c r="CS3" s="107" t="s">
        <v>23</v>
      </c>
      <c r="CT3" s="16" t="s">
        <v>24</v>
      </c>
    </row>
    <row r="4" spans="1:98" ht="15.75" thickBot="1" x14ac:dyDescent="0.3">
      <c r="A4" s="26" t="s">
        <v>13</v>
      </c>
      <c r="B4" s="27"/>
      <c r="C4" s="28">
        <v>121</v>
      </c>
      <c r="D4" s="29">
        <v>236</v>
      </c>
      <c r="E4" s="113"/>
      <c r="F4" s="166"/>
      <c r="G4" s="143"/>
      <c r="H4" s="147"/>
      <c r="I4" s="28">
        <v>57</v>
      </c>
      <c r="J4" s="29">
        <v>333</v>
      </c>
      <c r="K4" s="113"/>
      <c r="L4" s="166"/>
      <c r="M4" s="161"/>
      <c r="N4" s="156"/>
      <c r="O4" s="28">
        <v>210</v>
      </c>
      <c r="P4" s="30"/>
      <c r="Q4" s="113"/>
      <c r="R4" s="166"/>
      <c r="S4" s="118"/>
      <c r="T4" s="171"/>
      <c r="U4" s="109">
        <f>C4+E4+G4+I4+K4+M4+O4+Q4+S4</f>
        <v>388</v>
      </c>
      <c r="V4" s="31">
        <f>D4+F4+H4+J4+L4+N4+P4+R4+T4</f>
        <v>569</v>
      </c>
      <c r="W4" s="32"/>
      <c r="X4" s="33"/>
      <c r="Y4" s="34">
        <v>1083</v>
      </c>
      <c r="Z4" s="35">
        <v>2299</v>
      </c>
      <c r="AA4" s="120"/>
      <c r="AB4" s="167"/>
      <c r="AC4" s="138"/>
      <c r="AD4" s="148"/>
      <c r="AE4" s="89">
        <v>441</v>
      </c>
      <c r="AF4" s="35">
        <v>2489</v>
      </c>
      <c r="AG4" s="120"/>
      <c r="AH4" s="121"/>
      <c r="AI4" s="132"/>
      <c r="AJ4" s="167"/>
      <c r="AK4" s="89">
        <v>537</v>
      </c>
      <c r="AL4" s="36">
        <v>1531</v>
      </c>
      <c r="AM4" s="120"/>
      <c r="AN4" s="167"/>
      <c r="AO4" s="138"/>
      <c r="AP4" s="148"/>
      <c r="AQ4" s="108">
        <f>Y4+AA4+AC4+AE4+AG4+AI4+AK4+AM4+AO4</f>
        <v>2061</v>
      </c>
      <c r="AR4" s="38">
        <f>Z4+AB4+AD4+AF4+AH4+AJ4+AL4+AN4+AP4</f>
        <v>6319</v>
      </c>
      <c r="AS4" s="39"/>
      <c r="AT4" s="33"/>
      <c r="AU4" s="40">
        <v>0</v>
      </c>
      <c r="AV4" s="41">
        <v>0</v>
      </c>
      <c r="AW4" s="117"/>
      <c r="AX4" s="170"/>
      <c r="AY4" s="162"/>
      <c r="AZ4" s="170"/>
      <c r="BA4" s="124">
        <v>0</v>
      </c>
      <c r="BB4" s="41">
        <v>0</v>
      </c>
      <c r="BC4" s="117"/>
      <c r="BD4" s="141"/>
      <c r="BE4" s="179"/>
      <c r="BF4" s="170"/>
      <c r="BG4" s="124">
        <v>259</v>
      </c>
      <c r="BH4" s="42">
        <v>1084</v>
      </c>
      <c r="BI4" s="117"/>
      <c r="BJ4" s="170"/>
      <c r="BK4" s="162"/>
      <c r="BL4" s="170"/>
      <c r="BM4" s="28">
        <f>AU4+AW4+AY4+BA4+BC4+BE4+BG4+BI4+BK4</f>
        <v>259</v>
      </c>
      <c r="BN4" s="44">
        <f>AV4+AX4+AZ4+BB4+BD4+BF4+BH4+BJ4+BL4</f>
        <v>1084</v>
      </c>
      <c r="BO4" s="39"/>
      <c r="BP4" s="33"/>
      <c r="BQ4" s="43">
        <v>4</v>
      </c>
      <c r="BR4" s="29">
        <v>8</v>
      </c>
      <c r="BS4" s="117"/>
      <c r="BT4" s="127"/>
      <c r="BU4" s="152"/>
      <c r="BV4" s="170"/>
      <c r="BW4" s="28">
        <v>0</v>
      </c>
      <c r="BX4" s="29">
        <v>0</v>
      </c>
      <c r="BY4" s="117"/>
      <c r="BZ4" s="127"/>
      <c r="CA4" s="152"/>
      <c r="CB4" s="170"/>
      <c r="CC4" s="28">
        <v>0</v>
      </c>
      <c r="CD4" s="45">
        <v>0</v>
      </c>
      <c r="CE4" s="117"/>
      <c r="CF4" s="127"/>
      <c r="CG4" s="152"/>
      <c r="CH4" s="170"/>
      <c r="CI4" s="28">
        <f>BQ4+BS4+BU4+BW4+BY4+CA4+CC4+CE4+CG4</f>
        <v>4</v>
      </c>
      <c r="CJ4" s="45">
        <f>BR4+BT4+BV4+BX4+BZ4+CB4+CD4+CF4+CH4</f>
        <v>8</v>
      </c>
      <c r="CK4" s="39"/>
      <c r="CL4" s="46"/>
      <c r="CM4" s="32"/>
      <c r="CN4" s="46"/>
      <c r="CO4" s="117"/>
      <c r="CP4" s="170"/>
      <c r="CQ4" s="152"/>
      <c r="CR4" s="170"/>
      <c r="CS4" s="194"/>
      <c r="CT4" s="47"/>
    </row>
    <row r="5" spans="1:98" ht="15.75" thickBot="1" x14ac:dyDescent="0.3">
      <c r="A5" s="48">
        <v>45901</v>
      </c>
      <c r="B5" s="49" t="s">
        <v>14</v>
      </c>
      <c r="C5" s="50"/>
      <c r="D5" s="51"/>
      <c r="E5" s="120"/>
      <c r="F5" s="167"/>
      <c r="G5" s="138"/>
      <c r="H5" s="148"/>
      <c r="I5" s="50"/>
      <c r="J5" s="51"/>
      <c r="K5" s="120"/>
      <c r="L5" s="167"/>
      <c r="M5" s="162"/>
      <c r="N5" s="157"/>
      <c r="O5" s="50"/>
      <c r="P5" s="52"/>
      <c r="Q5" s="115">
        <v>3</v>
      </c>
      <c r="R5" s="168">
        <v>4</v>
      </c>
      <c r="S5" s="135"/>
      <c r="T5" s="172"/>
      <c r="U5" s="109">
        <f t="shared" ref="U5:U36" si="0">C5+E5+G5+I5+K5+M5+O5+Q5+S5</f>
        <v>3</v>
      </c>
      <c r="V5" s="31">
        <f t="shared" ref="V5:V36" si="1">D5+F5+H5+J5+L5+N5+P5+R5+T5</f>
        <v>4</v>
      </c>
      <c r="W5" s="53"/>
      <c r="X5" s="6"/>
      <c r="Y5" s="51"/>
      <c r="Z5" s="51"/>
      <c r="AA5" s="120"/>
      <c r="AB5" s="167"/>
      <c r="AC5" s="138"/>
      <c r="AD5" s="148"/>
      <c r="AE5" s="89">
        <v>441</v>
      </c>
      <c r="AF5" s="35">
        <v>2489</v>
      </c>
      <c r="AG5" s="120"/>
      <c r="AH5" s="121"/>
      <c r="AI5" s="132"/>
      <c r="AJ5" s="167"/>
      <c r="AK5" s="89">
        <v>537</v>
      </c>
      <c r="AL5" s="36">
        <v>1531</v>
      </c>
      <c r="AM5" s="120"/>
      <c r="AN5" s="167"/>
      <c r="AO5" s="138"/>
      <c r="AP5" s="148"/>
      <c r="AQ5" s="108">
        <f t="shared" ref="AQ5:AQ36" si="2">Y5+AA5+AC5+AE5+AG5+AI5+AK5+AM5+AO5</f>
        <v>978</v>
      </c>
      <c r="AR5" s="38">
        <f t="shared" ref="AR5:AR36" si="3">Z5+AB5+AD5+AF5+AH5+AJ5+AL5+AN5+AP5</f>
        <v>4020</v>
      </c>
      <c r="AS5" s="53"/>
      <c r="AT5" s="6"/>
      <c r="AU5" s="54">
        <v>0</v>
      </c>
      <c r="AV5" s="51">
        <v>0</v>
      </c>
      <c r="AW5" s="120"/>
      <c r="AX5" s="167"/>
      <c r="AY5" s="162">
        <v>1</v>
      </c>
      <c r="AZ5" s="170">
        <v>1</v>
      </c>
      <c r="BA5" s="50">
        <v>0</v>
      </c>
      <c r="BB5" s="51">
        <v>0</v>
      </c>
      <c r="BC5" s="120"/>
      <c r="BD5" s="140"/>
      <c r="BE5" s="180">
        <v>1</v>
      </c>
      <c r="BF5" s="167">
        <v>148</v>
      </c>
      <c r="BG5" s="50">
        <v>239</v>
      </c>
      <c r="BH5" s="55">
        <v>1049</v>
      </c>
      <c r="BI5" s="120"/>
      <c r="BJ5" s="167"/>
      <c r="BK5" s="162">
        <v>1</v>
      </c>
      <c r="BL5" s="170">
        <v>1</v>
      </c>
      <c r="BM5" s="28">
        <f t="shared" ref="BM5:BM36" si="4">AU5+AW5+AY5+BA5+BC5+BE5+BG5+BI5+BK5</f>
        <v>242</v>
      </c>
      <c r="BN5" s="44">
        <f t="shared" ref="BN5:BN36" si="5">AV5+AX5+AZ5+BB5+BD5+BF5+BH5+BJ5+BL5</f>
        <v>1199</v>
      </c>
      <c r="BO5" s="53"/>
      <c r="BP5" s="6"/>
      <c r="BQ5" s="56">
        <v>6</v>
      </c>
      <c r="BR5" s="57">
        <v>10</v>
      </c>
      <c r="BS5" s="120">
        <v>2</v>
      </c>
      <c r="BT5" s="121">
        <v>2</v>
      </c>
      <c r="BU5" s="140"/>
      <c r="BV5" s="167"/>
      <c r="BW5" s="187">
        <v>0</v>
      </c>
      <c r="BX5" s="57">
        <v>0</v>
      </c>
      <c r="BY5" s="120"/>
      <c r="BZ5" s="121"/>
      <c r="CA5" s="152"/>
      <c r="CB5" s="170"/>
      <c r="CC5" s="187">
        <v>0</v>
      </c>
      <c r="CD5" s="58">
        <v>0</v>
      </c>
      <c r="CE5" s="120"/>
      <c r="CF5" s="121"/>
      <c r="CG5" s="152"/>
      <c r="CH5" s="170"/>
      <c r="CI5" s="28">
        <f t="shared" ref="CI5:CI36" si="6">BQ5+BS5+BU5+BW5+BY5+CA5+CC5+CE5+CG5</f>
        <v>8</v>
      </c>
      <c r="CJ5" s="45">
        <f t="shared" ref="CJ5:CJ36" si="7">BR5+BT5+BV5+BX5+BZ5+CB5+CD5+CF5+CH5</f>
        <v>12</v>
      </c>
      <c r="CK5" s="59"/>
      <c r="CL5" s="60"/>
      <c r="CM5" s="61">
        <f t="shared" ref="CM5:CM34" si="8">C5+Y5+AU5+BQ5</f>
        <v>6</v>
      </c>
      <c r="CN5" s="60"/>
      <c r="CO5" s="120">
        <v>144</v>
      </c>
      <c r="CP5" s="167">
        <v>321</v>
      </c>
      <c r="CQ5" s="152"/>
      <c r="CR5" s="170"/>
      <c r="CS5" s="207"/>
      <c r="CT5" s="208"/>
    </row>
    <row r="6" spans="1:98" ht="15.75" thickBot="1" x14ac:dyDescent="0.3">
      <c r="A6" s="62">
        <v>45902</v>
      </c>
      <c r="B6" s="63" t="s">
        <v>15</v>
      </c>
      <c r="C6" s="50"/>
      <c r="D6" s="51"/>
      <c r="E6" s="120"/>
      <c r="F6" s="167"/>
      <c r="G6" s="138"/>
      <c r="H6" s="148"/>
      <c r="I6" s="50"/>
      <c r="J6" s="51"/>
      <c r="K6" s="120"/>
      <c r="L6" s="167"/>
      <c r="M6" s="162"/>
      <c r="N6" s="157"/>
      <c r="O6" s="50"/>
      <c r="P6" s="52"/>
      <c r="Q6" s="116">
        <v>4</v>
      </c>
      <c r="R6" s="169">
        <v>5</v>
      </c>
      <c r="S6" s="136"/>
      <c r="T6" s="173"/>
      <c r="U6" s="109">
        <f t="shared" si="0"/>
        <v>4</v>
      </c>
      <c r="V6" s="31">
        <f t="shared" si="1"/>
        <v>5</v>
      </c>
      <c r="W6" s="64"/>
      <c r="X6" s="6"/>
      <c r="Y6" s="54"/>
      <c r="Z6" s="51"/>
      <c r="AA6" s="120"/>
      <c r="AB6" s="167"/>
      <c r="AC6" s="138"/>
      <c r="AD6" s="148"/>
      <c r="AE6" s="89">
        <v>441</v>
      </c>
      <c r="AF6" s="35">
        <v>2489</v>
      </c>
      <c r="AG6" s="120"/>
      <c r="AH6" s="121"/>
      <c r="AI6" s="132"/>
      <c r="AJ6" s="167"/>
      <c r="AK6" s="50">
        <v>494</v>
      </c>
      <c r="AL6" s="65">
        <v>1412</v>
      </c>
      <c r="AM6" s="120"/>
      <c r="AN6" s="167"/>
      <c r="AO6" s="138"/>
      <c r="AP6" s="148"/>
      <c r="AQ6" s="108">
        <f t="shared" si="2"/>
        <v>935</v>
      </c>
      <c r="AR6" s="38">
        <f t="shared" si="3"/>
        <v>3901</v>
      </c>
      <c r="AS6" s="64"/>
      <c r="AT6" s="6"/>
      <c r="AU6" s="40">
        <v>0</v>
      </c>
      <c r="AV6" s="41">
        <v>0</v>
      </c>
      <c r="AW6" s="117"/>
      <c r="AX6" s="170"/>
      <c r="AY6" s="162"/>
      <c r="AZ6" s="170"/>
      <c r="BA6" s="124">
        <v>0</v>
      </c>
      <c r="BB6" s="41">
        <v>0</v>
      </c>
      <c r="BC6" s="117"/>
      <c r="BD6" s="141"/>
      <c r="BE6" s="179">
        <v>1</v>
      </c>
      <c r="BF6" s="170">
        <v>9</v>
      </c>
      <c r="BG6" s="124">
        <v>225</v>
      </c>
      <c r="BH6" s="42">
        <v>961</v>
      </c>
      <c r="BI6" s="117"/>
      <c r="BJ6" s="170"/>
      <c r="BK6" s="162"/>
      <c r="BL6" s="170"/>
      <c r="BM6" s="28">
        <f t="shared" si="4"/>
        <v>226</v>
      </c>
      <c r="BN6" s="44">
        <f t="shared" si="5"/>
        <v>970</v>
      </c>
      <c r="BO6" s="64"/>
      <c r="BP6" s="6"/>
      <c r="BQ6" s="56">
        <v>6</v>
      </c>
      <c r="BR6" s="57">
        <v>10</v>
      </c>
      <c r="BS6" s="117"/>
      <c r="BT6" s="127"/>
      <c r="BU6" s="140"/>
      <c r="BV6" s="167"/>
      <c r="BW6" s="187">
        <v>0</v>
      </c>
      <c r="BX6" s="57">
        <v>0</v>
      </c>
      <c r="BY6" s="117"/>
      <c r="BZ6" s="127"/>
      <c r="CA6" s="140"/>
      <c r="CB6" s="167"/>
      <c r="CC6" s="187">
        <v>0</v>
      </c>
      <c r="CD6" s="58">
        <v>0</v>
      </c>
      <c r="CE6" s="117"/>
      <c r="CF6" s="127"/>
      <c r="CG6" s="152"/>
      <c r="CH6" s="170"/>
      <c r="CI6" s="28">
        <f t="shared" si="6"/>
        <v>6</v>
      </c>
      <c r="CJ6" s="45">
        <f t="shared" si="7"/>
        <v>10</v>
      </c>
      <c r="CK6" s="64"/>
      <c r="CL6" s="60"/>
      <c r="CM6" s="66">
        <f t="shared" si="8"/>
        <v>6</v>
      </c>
      <c r="CN6" s="60"/>
      <c r="CO6" s="117"/>
      <c r="CP6" s="170"/>
      <c r="CQ6" s="138"/>
      <c r="CR6" s="167"/>
      <c r="CS6" s="187"/>
      <c r="CT6" s="67"/>
    </row>
    <row r="7" spans="1:98" ht="15.75" thickBot="1" x14ac:dyDescent="0.3">
      <c r="A7" s="48">
        <v>45903</v>
      </c>
      <c r="B7" s="63" t="s">
        <v>16</v>
      </c>
      <c r="C7" s="28">
        <v>121</v>
      </c>
      <c r="D7" s="29">
        <v>236</v>
      </c>
      <c r="E7" s="113"/>
      <c r="F7" s="166"/>
      <c r="G7" s="143"/>
      <c r="H7" s="147"/>
      <c r="I7" s="28">
        <v>57</v>
      </c>
      <c r="J7" s="29">
        <v>333</v>
      </c>
      <c r="K7" s="113"/>
      <c r="L7" s="166"/>
      <c r="M7" s="161"/>
      <c r="N7" s="156"/>
      <c r="O7" s="28">
        <v>222</v>
      </c>
      <c r="P7" s="52">
        <v>396</v>
      </c>
      <c r="Q7" s="116">
        <v>7</v>
      </c>
      <c r="R7" s="169">
        <v>8</v>
      </c>
      <c r="S7" s="136"/>
      <c r="T7" s="173"/>
      <c r="U7" s="109">
        <f t="shared" si="0"/>
        <v>407</v>
      </c>
      <c r="V7" s="31">
        <f t="shared" si="1"/>
        <v>973</v>
      </c>
      <c r="W7" s="64"/>
      <c r="X7" s="6"/>
      <c r="Y7" s="54"/>
      <c r="Z7" s="51"/>
      <c r="AA7" s="120"/>
      <c r="AB7" s="167"/>
      <c r="AC7" s="138"/>
      <c r="AD7" s="148"/>
      <c r="AE7" s="50">
        <v>416</v>
      </c>
      <c r="AF7" s="51">
        <v>2395</v>
      </c>
      <c r="AG7" s="120"/>
      <c r="AH7" s="121"/>
      <c r="AI7" s="132"/>
      <c r="AJ7" s="167"/>
      <c r="AK7" s="50">
        <v>482</v>
      </c>
      <c r="AL7" s="65">
        <v>1311</v>
      </c>
      <c r="AM7" s="120"/>
      <c r="AN7" s="167"/>
      <c r="AO7" s="138"/>
      <c r="AP7" s="148"/>
      <c r="AQ7" s="108">
        <f t="shared" si="2"/>
        <v>898</v>
      </c>
      <c r="AR7" s="38">
        <f t="shared" si="3"/>
        <v>3706</v>
      </c>
      <c r="AS7" s="64"/>
      <c r="AT7" s="6"/>
      <c r="AU7" s="40">
        <v>0</v>
      </c>
      <c r="AV7" s="41">
        <v>0</v>
      </c>
      <c r="AW7" s="117"/>
      <c r="AX7" s="170"/>
      <c r="AY7" s="162"/>
      <c r="AZ7" s="170"/>
      <c r="BA7" s="124">
        <v>0</v>
      </c>
      <c r="BB7" s="41">
        <v>0</v>
      </c>
      <c r="BC7" s="117"/>
      <c r="BD7" s="141"/>
      <c r="BE7" s="179"/>
      <c r="BF7" s="170"/>
      <c r="BG7" s="124">
        <v>209</v>
      </c>
      <c r="BH7" s="42">
        <v>810</v>
      </c>
      <c r="BI7" s="117"/>
      <c r="BJ7" s="170"/>
      <c r="BK7" s="162">
        <v>2</v>
      </c>
      <c r="BL7" s="170">
        <v>2</v>
      </c>
      <c r="BM7" s="28">
        <f t="shared" si="4"/>
        <v>211</v>
      </c>
      <c r="BN7" s="44">
        <f t="shared" si="5"/>
        <v>812</v>
      </c>
      <c r="BO7" s="64"/>
      <c r="BP7" s="6"/>
      <c r="BQ7" s="56">
        <v>6</v>
      </c>
      <c r="BR7" s="57">
        <v>10</v>
      </c>
      <c r="BS7" s="117"/>
      <c r="BT7" s="127"/>
      <c r="BU7" s="140"/>
      <c r="BV7" s="167"/>
      <c r="BW7" s="187">
        <v>0</v>
      </c>
      <c r="BX7" s="57">
        <v>0</v>
      </c>
      <c r="BY7" s="117"/>
      <c r="BZ7" s="127"/>
      <c r="CA7" s="140"/>
      <c r="CB7" s="167"/>
      <c r="CC7" s="187">
        <v>0</v>
      </c>
      <c r="CD7" s="58">
        <v>0</v>
      </c>
      <c r="CE7" s="117"/>
      <c r="CF7" s="127"/>
      <c r="CG7" s="152"/>
      <c r="CH7" s="170"/>
      <c r="CI7" s="28">
        <f t="shared" si="6"/>
        <v>6</v>
      </c>
      <c r="CJ7" s="45">
        <f t="shared" si="7"/>
        <v>10</v>
      </c>
      <c r="CK7" s="64"/>
      <c r="CL7" s="60"/>
      <c r="CM7" s="66">
        <f t="shared" si="8"/>
        <v>127</v>
      </c>
      <c r="CN7" s="60"/>
      <c r="CO7" s="117"/>
      <c r="CP7" s="170"/>
      <c r="CQ7" s="138"/>
      <c r="CR7" s="167"/>
      <c r="CS7" s="187"/>
      <c r="CT7" s="57"/>
    </row>
    <row r="8" spans="1:98" ht="15.75" thickBot="1" x14ac:dyDescent="0.3">
      <c r="A8" s="62">
        <v>45904</v>
      </c>
      <c r="B8" s="68" t="s">
        <v>17</v>
      </c>
      <c r="C8" s="69">
        <v>121</v>
      </c>
      <c r="D8" s="70">
        <v>236</v>
      </c>
      <c r="E8" s="113"/>
      <c r="F8" s="166"/>
      <c r="G8" s="143"/>
      <c r="H8" s="147"/>
      <c r="I8" s="69">
        <v>57</v>
      </c>
      <c r="J8" s="70">
        <v>333</v>
      </c>
      <c r="K8" s="113"/>
      <c r="L8" s="166"/>
      <c r="M8" s="161"/>
      <c r="N8" s="156"/>
      <c r="O8" s="69">
        <v>222</v>
      </c>
      <c r="P8" s="71">
        <v>396</v>
      </c>
      <c r="Q8" s="116">
        <v>4</v>
      </c>
      <c r="R8" s="169">
        <v>8</v>
      </c>
      <c r="S8" s="136"/>
      <c r="T8" s="173"/>
      <c r="U8" s="109">
        <f t="shared" si="0"/>
        <v>404</v>
      </c>
      <c r="V8" s="31">
        <f t="shared" si="1"/>
        <v>973</v>
      </c>
      <c r="W8" s="72"/>
      <c r="X8" s="6"/>
      <c r="Y8" s="73">
        <v>965</v>
      </c>
      <c r="Z8" s="74">
        <v>2063</v>
      </c>
      <c r="AA8" s="120"/>
      <c r="AB8" s="167"/>
      <c r="AC8" s="138"/>
      <c r="AD8" s="148"/>
      <c r="AE8" s="99">
        <v>375</v>
      </c>
      <c r="AF8" s="74">
        <v>2075</v>
      </c>
      <c r="AG8" s="120">
        <v>166</v>
      </c>
      <c r="AH8" s="121">
        <v>710</v>
      </c>
      <c r="AI8" s="132"/>
      <c r="AJ8" s="167"/>
      <c r="AK8" s="99">
        <v>482</v>
      </c>
      <c r="AL8" s="75">
        <v>1311</v>
      </c>
      <c r="AM8" s="120">
        <v>167</v>
      </c>
      <c r="AN8" s="167">
        <v>393</v>
      </c>
      <c r="AO8" s="138"/>
      <c r="AP8" s="148"/>
      <c r="AQ8" s="108">
        <f t="shared" si="2"/>
        <v>2155</v>
      </c>
      <c r="AR8" s="38">
        <f t="shared" si="3"/>
        <v>6552</v>
      </c>
      <c r="AS8" s="72"/>
      <c r="AT8" s="6"/>
      <c r="AU8" s="76">
        <v>0</v>
      </c>
      <c r="AV8" s="77">
        <v>0</v>
      </c>
      <c r="AW8" s="117"/>
      <c r="AX8" s="170"/>
      <c r="AY8" s="162">
        <v>1</v>
      </c>
      <c r="AZ8" s="170">
        <v>2</v>
      </c>
      <c r="BA8" s="125">
        <v>0</v>
      </c>
      <c r="BB8" s="77">
        <v>0</v>
      </c>
      <c r="BC8" s="117"/>
      <c r="BD8" s="141"/>
      <c r="BE8" s="179">
        <v>1</v>
      </c>
      <c r="BF8" s="170">
        <v>9</v>
      </c>
      <c r="BG8" s="125">
        <v>209</v>
      </c>
      <c r="BH8" s="78">
        <v>810</v>
      </c>
      <c r="BI8" s="117"/>
      <c r="BJ8" s="170"/>
      <c r="BK8" s="162">
        <v>1</v>
      </c>
      <c r="BL8" s="170">
        <v>2</v>
      </c>
      <c r="BM8" s="28">
        <f t="shared" si="4"/>
        <v>212</v>
      </c>
      <c r="BN8" s="44">
        <f t="shared" si="5"/>
        <v>823</v>
      </c>
      <c r="BO8" s="79"/>
      <c r="BP8" s="6"/>
      <c r="BQ8" s="80">
        <v>6</v>
      </c>
      <c r="BR8" s="81">
        <v>10</v>
      </c>
      <c r="BS8" s="117"/>
      <c r="BT8" s="127"/>
      <c r="BU8" s="140"/>
      <c r="BV8" s="167"/>
      <c r="BW8" s="188">
        <v>0</v>
      </c>
      <c r="BX8" s="81">
        <v>0</v>
      </c>
      <c r="BY8" s="117"/>
      <c r="BZ8" s="127"/>
      <c r="CA8" s="140"/>
      <c r="CB8" s="167"/>
      <c r="CC8" s="188">
        <v>0</v>
      </c>
      <c r="CD8" s="82">
        <v>0</v>
      </c>
      <c r="CE8" s="117"/>
      <c r="CF8" s="127"/>
      <c r="CG8" s="152"/>
      <c r="CH8" s="170"/>
      <c r="CI8" s="28">
        <f t="shared" si="6"/>
        <v>6</v>
      </c>
      <c r="CJ8" s="45">
        <f t="shared" si="7"/>
        <v>10</v>
      </c>
      <c r="CK8" s="83"/>
      <c r="CL8" s="60"/>
      <c r="CM8" s="61">
        <f t="shared" si="8"/>
        <v>1092</v>
      </c>
      <c r="CN8" s="60"/>
      <c r="CO8" s="117"/>
      <c r="CP8" s="170"/>
      <c r="CQ8" s="138"/>
      <c r="CR8" s="167"/>
      <c r="CS8" s="188">
        <v>150</v>
      </c>
      <c r="CT8" s="81">
        <v>479</v>
      </c>
    </row>
    <row r="9" spans="1:98" ht="15.75" thickBot="1" x14ac:dyDescent="0.3">
      <c r="A9" s="48">
        <v>45905</v>
      </c>
      <c r="B9" s="68" t="s">
        <v>18</v>
      </c>
      <c r="C9" s="50"/>
      <c r="D9" s="51"/>
      <c r="E9" s="120"/>
      <c r="F9" s="167"/>
      <c r="G9" s="138"/>
      <c r="H9" s="148"/>
      <c r="I9" s="50"/>
      <c r="J9" s="51"/>
      <c r="K9" s="120"/>
      <c r="L9" s="167"/>
      <c r="M9" s="162"/>
      <c r="N9" s="157"/>
      <c r="O9" s="50"/>
      <c r="P9" s="84"/>
      <c r="Q9" s="116"/>
      <c r="R9" s="169"/>
      <c r="S9" s="136"/>
      <c r="T9" s="173"/>
      <c r="U9" s="109">
        <f t="shared" si="0"/>
        <v>0</v>
      </c>
      <c r="V9" s="31">
        <f t="shared" si="1"/>
        <v>0</v>
      </c>
      <c r="W9" s="53"/>
      <c r="X9" s="6"/>
      <c r="Y9" s="54"/>
      <c r="Z9" s="51"/>
      <c r="AA9" s="120"/>
      <c r="AB9" s="167"/>
      <c r="AC9" s="138"/>
      <c r="AD9" s="148"/>
      <c r="AE9" s="50">
        <v>336</v>
      </c>
      <c r="AF9" s="51">
        <v>1970</v>
      </c>
      <c r="AG9" s="120"/>
      <c r="AH9" s="121"/>
      <c r="AI9" s="132"/>
      <c r="AJ9" s="167"/>
      <c r="AK9" s="50">
        <v>482</v>
      </c>
      <c r="AL9" s="65">
        <v>1311</v>
      </c>
      <c r="AM9" s="120"/>
      <c r="AN9" s="167"/>
      <c r="AO9" s="138"/>
      <c r="AP9" s="148"/>
      <c r="AQ9" s="108">
        <f t="shared" si="2"/>
        <v>818</v>
      </c>
      <c r="AR9" s="38">
        <f t="shared" si="3"/>
        <v>3281</v>
      </c>
      <c r="AS9" s="53"/>
      <c r="AT9" s="6"/>
      <c r="AU9" s="40">
        <v>0</v>
      </c>
      <c r="AV9" s="41">
        <v>0</v>
      </c>
      <c r="AW9" s="117"/>
      <c r="AX9" s="170"/>
      <c r="AY9" s="162"/>
      <c r="AZ9" s="170"/>
      <c r="BA9" s="124">
        <v>0</v>
      </c>
      <c r="BB9" s="41">
        <v>0</v>
      </c>
      <c r="BC9" s="117"/>
      <c r="BD9" s="141"/>
      <c r="BE9" s="179">
        <v>1</v>
      </c>
      <c r="BF9" s="170">
        <v>9</v>
      </c>
      <c r="BG9" s="124">
        <v>201</v>
      </c>
      <c r="BH9" s="42">
        <v>762</v>
      </c>
      <c r="BI9" s="117"/>
      <c r="BJ9" s="170"/>
      <c r="BK9" s="162">
        <v>1</v>
      </c>
      <c r="BL9" s="170">
        <v>3</v>
      </c>
      <c r="BM9" s="28">
        <f t="shared" si="4"/>
        <v>203</v>
      </c>
      <c r="BN9" s="44">
        <f t="shared" si="5"/>
        <v>774</v>
      </c>
      <c r="BO9" s="64"/>
      <c r="BP9" s="6"/>
      <c r="BQ9" s="56">
        <v>6</v>
      </c>
      <c r="BR9" s="57">
        <v>10</v>
      </c>
      <c r="BS9" s="117"/>
      <c r="BT9" s="127"/>
      <c r="BU9" s="140"/>
      <c r="BV9" s="167"/>
      <c r="BW9" s="187">
        <v>0</v>
      </c>
      <c r="BX9" s="57">
        <v>0</v>
      </c>
      <c r="BY9" s="117"/>
      <c r="BZ9" s="127"/>
      <c r="CA9" s="140"/>
      <c r="CB9" s="167"/>
      <c r="CC9" s="187">
        <v>0</v>
      </c>
      <c r="CD9" s="58">
        <v>0</v>
      </c>
      <c r="CE9" s="117"/>
      <c r="CF9" s="127"/>
      <c r="CG9" s="152"/>
      <c r="CH9" s="170"/>
      <c r="CI9" s="28">
        <f t="shared" si="6"/>
        <v>6</v>
      </c>
      <c r="CJ9" s="45">
        <f t="shared" si="7"/>
        <v>10</v>
      </c>
      <c r="CK9" s="59"/>
      <c r="CL9" s="60"/>
      <c r="CM9" s="61">
        <f t="shared" si="8"/>
        <v>6</v>
      </c>
      <c r="CN9" s="60"/>
      <c r="CO9" s="117"/>
      <c r="CP9" s="170"/>
      <c r="CQ9" s="138"/>
      <c r="CR9" s="167"/>
      <c r="CS9" s="187"/>
      <c r="CT9" s="57"/>
    </row>
    <row r="10" spans="1:98" ht="15.75" thickBot="1" x14ac:dyDescent="0.3">
      <c r="A10" s="85">
        <v>45906</v>
      </c>
      <c r="B10" s="86" t="s">
        <v>19</v>
      </c>
      <c r="C10" s="50"/>
      <c r="D10" s="51"/>
      <c r="E10" s="120"/>
      <c r="F10" s="167"/>
      <c r="G10" s="138"/>
      <c r="H10" s="148"/>
      <c r="I10" s="50"/>
      <c r="J10" s="51"/>
      <c r="K10" s="120"/>
      <c r="L10" s="167"/>
      <c r="M10" s="162"/>
      <c r="N10" s="157"/>
      <c r="O10" s="50"/>
      <c r="P10" s="84"/>
      <c r="Q10" s="116"/>
      <c r="R10" s="169"/>
      <c r="S10" s="136"/>
      <c r="T10" s="173"/>
      <c r="U10" s="109">
        <f t="shared" si="0"/>
        <v>0</v>
      </c>
      <c r="V10" s="31">
        <f t="shared" si="1"/>
        <v>0</v>
      </c>
      <c r="W10" s="64"/>
      <c r="X10" s="6"/>
      <c r="Y10" s="54"/>
      <c r="Z10" s="51"/>
      <c r="AA10" s="120"/>
      <c r="AB10" s="167"/>
      <c r="AC10" s="138"/>
      <c r="AD10" s="148"/>
      <c r="AE10" s="50">
        <v>336</v>
      </c>
      <c r="AF10" s="51">
        <v>1970</v>
      </c>
      <c r="AG10" s="120"/>
      <c r="AH10" s="121"/>
      <c r="AI10" s="132"/>
      <c r="AJ10" s="167"/>
      <c r="AK10" s="50">
        <v>482</v>
      </c>
      <c r="AL10" s="65">
        <v>1311</v>
      </c>
      <c r="AM10" s="120"/>
      <c r="AN10" s="167"/>
      <c r="AO10" s="138"/>
      <c r="AP10" s="148"/>
      <c r="AQ10" s="108">
        <f t="shared" si="2"/>
        <v>818</v>
      </c>
      <c r="AR10" s="38">
        <f t="shared" si="3"/>
        <v>3281</v>
      </c>
      <c r="AS10" s="64"/>
      <c r="AT10" s="6"/>
      <c r="AU10" s="40"/>
      <c r="AV10" s="41"/>
      <c r="AW10" s="117"/>
      <c r="AX10" s="170"/>
      <c r="AY10" s="162"/>
      <c r="AZ10" s="170"/>
      <c r="BA10" s="124"/>
      <c r="BB10" s="41"/>
      <c r="BC10" s="117"/>
      <c r="BD10" s="141"/>
      <c r="BE10" s="179"/>
      <c r="BF10" s="170"/>
      <c r="BG10" s="124"/>
      <c r="BH10" s="42"/>
      <c r="BI10" s="117"/>
      <c r="BJ10" s="170"/>
      <c r="BK10" s="162"/>
      <c r="BL10" s="170"/>
      <c r="BM10" s="28">
        <f t="shared" si="4"/>
        <v>0</v>
      </c>
      <c r="BN10" s="44">
        <f t="shared" si="5"/>
        <v>0</v>
      </c>
      <c r="BO10" s="64"/>
      <c r="BP10" s="6"/>
      <c r="BQ10" s="56">
        <v>6</v>
      </c>
      <c r="BR10" s="57">
        <v>10</v>
      </c>
      <c r="BS10" s="117"/>
      <c r="BT10" s="127"/>
      <c r="BU10" s="140"/>
      <c r="BV10" s="167"/>
      <c r="BW10" s="187">
        <v>0</v>
      </c>
      <c r="BX10" s="57">
        <v>0</v>
      </c>
      <c r="BY10" s="117"/>
      <c r="BZ10" s="127"/>
      <c r="CA10" s="140"/>
      <c r="CB10" s="167"/>
      <c r="CC10" s="187">
        <v>0</v>
      </c>
      <c r="CD10" s="58">
        <v>0</v>
      </c>
      <c r="CE10" s="117"/>
      <c r="CF10" s="127"/>
      <c r="CG10" s="152"/>
      <c r="CH10" s="170"/>
      <c r="CI10" s="28">
        <f t="shared" si="6"/>
        <v>6</v>
      </c>
      <c r="CJ10" s="45">
        <f t="shared" si="7"/>
        <v>10</v>
      </c>
      <c r="CK10" s="64"/>
      <c r="CL10" s="60"/>
      <c r="CM10" s="66">
        <f t="shared" si="8"/>
        <v>6</v>
      </c>
      <c r="CN10" s="60"/>
      <c r="CO10" s="117"/>
      <c r="CP10" s="170"/>
      <c r="CQ10" s="138"/>
      <c r="CR10" s="167"/>
      <c r="CS10" s="187"/>
      <c r="CT10" s="67"/>
    </row>
    <row r="11" spans="1:98" ht="15.75" thickBot="1" x14ac:dyDescent="0.3">
      <c r="A11" s="87">
        <v>45907</v>
      </c>
      <c r="B11" s="88" t="s">
        <v>20</v>
      </c>
      <c r="C11" s="89"/>
      <c r="D11" s="35"/>
      <c r="E11" s="120"/>
      <c r="F11" s="167"/>
      <c r="G11" s="138"/>
      <c r="H11" s="148"/>
      <c r="I11" s="89"/>
      <c r="J11" s="35"/>
      <c r="K11" s="120"/>
      <c r="L11" s="167"/>
      <c r="M11" s="162"/>
      <c r="N11" s="157"/>
      <c r="O11" s="89"/>
      <c r="P11" s="90"/>
      <c r="Q11" s="117"/>
      <c r="R11" s="170"/>
      <c r="S11" s="137"/>
      <c r="T11" s="174"/>
      <c r="U11" s="109">
        <f t="shared" si="0"/>
        <v>0</v>
      </c>
      <c r="V11" s="31">
        <f t="shared" si="1"/>
        <v>0</v>
      </c>
      <c r="W11" s="91"/>
      <c r="X11" s="6"/>
      <c r="Y11" s="34"/>
      <c r="Z11" s="35"/>
      <c r="AA11" s="120"/>
      <c r="AB11" s="167"/>
      <c r="AC11" s="138"/>
      <c r="AD11" s="148"/>
      <c r="AE11" s="50">
        <v>336</v>
      </c>
      <c r="AF11" s="51">
        <v>1970</v>
      </c>
      <c r="AG11" s="120"/>
      <c r="AH11" s="121"/>
      <c r="AI11" s="132"/>
      <c r="AJ11" s="167"/>
      <c r="AK11" s="50">
        <v>482</v>
      </c>
      <c r="AL11" s="65">
        <v>1311</v>
      </c>
      <c r="AM11" s="120"/>
      <c r="AN11" s="167"/>
      <c r="AO11" s="138"/>
      <c r="AP11" s="148"/>
      <c r="AQ11" s="108">
        <f t="shared" si="2"/>
        <v>818</v>
      </c>
      <c r="AR11" s="38">
        <f t="shared" si="3"/>
        <v>3281</v>
      </c>
      <c r="AS11" s="91"/>
      <c r="AT11" s="6"/>
      <c r="AU11" s="37"/>
      <c r="AV11" s="92"/>
      <c r="AW11" s="117"/>
      <c r="AX11" s="170"/>
      <c r="AY11" s="162"/>
      <c r="AZ11" s="170"/>
      <c r="BA11" s="108"/>
      <c r="BB11" s="92"/>
      <c r="BC11" s="117"/>
      <c r="BD11" s="141"/>
      <c r="BE11" s="179"/>
      <c r="BF11" s="170"/>
      <c r="BG11" s="108"/>
      <c r="BH11" s="93"/>
      <c r="BI11" s="117"/>
      <c r="BJ11" s="170"/>
      <c r="BK11" s="162"/>
      <c r="BL11" s="170"/>
      <c r="BM11" s="28">
        <f t="shared" si="4"/>
        <v>0</v>
      </c>
      <c r="BN11" s="44">
        <f t="shared" si="5"/>
        <v>0</v>
      </c>
      <c r="BO11" s="91"/>
      <c r="BP11" s="6"/>
      <c r="BQ11" s="94">
        <v>6</v>
      </c>
      <c r="BR11" s="95">
        <v>10</v>
      </c>
      <c r="BS11" s="117"/>
      <c r="BT11" s="127"/>
      <c r="BU11" s="140"/>
      <c r="BV11" s="167"/>
      <c r="BW11" s="189">
        <v>0</v>
      </c>
      <c r="BX11" s="96">
        <v>0</v>
      </c>
      <c r="BY11" s="117"/>
      <c r="BZ11" s="127"/>
      <c r="CA11" s="141"/>
      <c r="CB11" s="170"/>
      <c r="CC11" s="191">
        <v>0</v>
      </c>
      <c r="CD11" s="97">
        <v>0</v>
      </c>
      <c r="CE11" s="117"/>
      <c r="CF11" s="127"/>
      <c r="CG11" s="152"/>
      <c r="CH11" s="170"/>
      <c r="CI11" s="28">
        <f t="shared" si="6"/>
        <v>6</v>
      </c>
      <c r="CJ11" s="45">
        <f t="shared" si="7"/>
        <v>10</v>
      </c>
      <c r="CK11" s="91"/>
      <c r="CL11" s="60"/>
      <c r="CM11" s="98">
        <f t="shared" si="8"/>
        <v>6</v>
      </c>
      <c r="CN11" s="60"/>
      <c r="CO11" s="117"/>
      <c r="CP11" s="170"/>
      <c r="CQ11" s="138"/>
      <c r="CR11" s="167"/>
      <c r="CS11" s="189"/>
      <c r="CT11" s="96"/>
    </row>
    <row r="12" spans="1:98" ht="15.75" thickBot="1" x14ac:dyDescent="0.3">
      <c r="A12" s="62">
        <v>45908</v>
      </c>
      <c r="B12" s="68" t="s">
        <v>14</v>
      </c>
      <c r="C12" s="50">
        <v>142</v>
      </c>
      <c r="D12" s="51">
        <v>267</v>
      </c>
      <c r="E12" s="120">
        <v>18</v>
      </c>
      <c r="F12" s="167">
        <v>28</v>
      </c>
      <c r="G12" s="138"/>
      <c r="H12" s="148"/>
      <c r="I12" s="50">
        <v>62</v>
      </c>
      <c r="J12" s="51">
        <v>354</v>
      </c>
      <c r="K12" s="120">
        <v>5</v>
      </c>
      <c r="L12" s="167">
        <v>21</v>
      </c>
      <c r="M12" s="162"/>
      <c r="N12" s="157"/>
      <c r="O12" s="50">
        <v>222</v>
      </c>
      <c r="P12" s="42">
        <v>396</v>
      </c>
      <c r="Q12" s="117"/>
      <c r="R12" s="170"/>
      <c r="S12" s="137"/>
      <c r="T12" s="174"/>
      <c r="U12" s="109">
        <f t="shared" si="0"/>
        <v>449</v>
      </c>
      <c r="V12" s="31">
        <f t="shared" si="1"/>
        <v>1066</v>
      </c>
      <c r="W12" s="64"/>
      <c r="X12" s="6"/>
      <c r="Y12" s="54"/>
      <c r="Z12" s="51"/>
      <c r="AA12" s="120">
        <v>178</v>
      </c>
      <c r="AB12" s="167">
        <v>388</v>
      </c>
      <c r="AC12" s="138"/>
      <c r="AD12" s="148"/>
      <c r="AE12" s="50">
        <v>336</v>
      </c>
      <c r="AF12" s="51">
        <v>1970</v>
      </c>
      <c r="AG12" s="120"/>
      <c r="AH12" s="121"/>
      <c r="AI12" s="132"/>
      <c r="AJ12" s="167"/>
      <c r="AK12" s="50">
        <v>482</v>
      </c>
      <c r="AL12" s="65">
        <v>1311</v>
      </c>
      <c r="AM12" s="120"/>
      <c r="AN12" s="167"/>
      <c r="AO12" s="138"/>
      <c r="AP12" s="148"/>
      <c r="AQ12" s="108">
        <f t="shared" si="2"/>
        <v>996</v>
      </c>
      <c r="AR12" s="38">
        <f t="shared" si="3"/>
        <v>3669</v>
      </c>
      <c r="AS12" s="64"/>
      <c r="AT12" s="6"/>
      <c r="AU12" s="40"/>
      <c r="AV12" s="41"/>
      <c r="AW12" s="117"/>
      <c r="AX12" s="170"/>
      <c r="AY12" s="162">
        <v>1</v>
      </c>
      <c r="AZ12" s="170">
        <v>2</v>
      </c>
      <c r="BA12" s="124"/>
      <c r="BB12" s="41"/>
      <c r="BC12" s="117"/>
      <c r="BD12" s="141"/>
      <c r="BE12" s="179"/>
      <c r="BF12" s="170"/>
      <c r="BG12" s="124"/>
      <c r="BH12" s="42"/>
      <c r="BI12" s="117"/>
      <c r="BJ12" s="170"/>
      <c r="BK12" s="162">
        <v>1</v>
      </c>
      <c r="BL12" s="170">
        <v>1</v>
      </c>
      <c r="BM12" s="28">
        <f t="shared" si="4"/>
        <v>2</v>
      </c>
      <c r="BN12" s="44">
        <f t="shared" si="5"/>
        <v>3</v>
      </c>
      <c r="BO12" s="64"/>
      <c r="BP12" s="6"/>
      <c r="BQ12" s="56">
        <v>6</v>
      </c>
      <c r="BR12" s="57">
        <v>10</v>
      </c>
      <c r="BS12" s="117"/>
      <c r="BT12" s="127"/>
      <c r="BU12" s="140"/>
      <c r="BV12" s="167"/>
      <c r="BW12" s="187"/>
      <c r="BX12" s="67"/>
      <c r="BY12" s="117"/>
      <c r="BZ12" s="127"/>
      <c r="CA12" s="141"/>
      <c r="CB12" s="170"/>
      <c r="CC12" s="190"/>
      <c r="CD12" s="58"/>
      <c r="CE12" s="117"/>
      <c r="CF12" s="127"/>
      <c r="CG12" s="152"/>
      <c r="CH12" s="170"/>
      <c r="CI12" s="28">
        <f t="shared" si="6"/>
        <v>6</v>
      </c>
      <c r="CJ12" s="45">
        <f t="shared" si="7"/>
        <v>10</v>
      </c>
      <c r="CK12" s="64"/>
      <c r="CL12" s="60"/>
      <c r="CM12" s="66">
        <f t="shared" si="8"/>
        <v>148</v>
      </c>
      <c r="CN12" s="60"/>
      <c r="CO12" s="117"/>
      <c r="CP12" s="170"/>
      <c r="CQ12" s="138"/>
      <c r="CR12" s="167"/>
      <c r="CS12" s="187"/>
      <c r="CT12" s="67"/>
    </row>
    <row r="13" spans="1:98" ht="15.75" thickBot="1" x14ac:dyDescent="0.3">
      <c r="A13" s="48">
        <v>45909</v>
      </c>
      <c r="B13" s="63" t="s">
        <v>15</v>
      </c>
      <c r="C13" s="50"/>
      <c r="D13" s="51"/>
      <c r="E13" s="120"/>
      <c r="F13" s="167"/>
      <c r="G13" s="138"/>
      <c r="H13" s="148"/>
      <c r="I13" s="50"/>
      <c r="J13" s="51"/>
      <c r="K13" s="120"/>
      <c r="L13" s="167"/>
      <c r="M13" s="162"/>
      <c r="N13" s="157"/>
      <c r="O13" s="50"/>
      <c r="P13" s="42"/>
      <c r="Q13" s="117"/>
      <c r="R13" s="170"/>
      <c r="S13" s="137"/>
      <c r="T13" s="174"/>
      <c r="U13" s="109">
        <f t="shared" si="0"/>
        <v>0</v>
      </c>
      <c r="V13" s="31">
        <f t="shared" si="1"/>
        <v>0</v>
      </c>
      <c r="W13" s="64"/>
      <c r="X13" s="6"/>
      <c r="Y13" s="54"/>
      <c r="Z13" s="51"/>
      <c r="AA13" s="120"/>
      <c r="AB13" s="167"/>
      <c r="AC13" s="138"/>
      <c r="AD13" s="148"/>
      <c r="AE13" s="50">
        <v>336</v>
      </c>
      <c r="AF13" s="51">
        <v>1970</v>
      </c>
      <c r="AG13" s="120"/>
      <c r="AH13" s="121"/>
      <c r="AI13" s="132"/>
      <c r="AJ13" s="167"/>
      <c r="AK13" s="50">
        <v>482</v>
      </c>
      <c r="AL13" s="65">
        <v>1311</v>
      </c>
      <c r="AM13" s="120"/>
      <c r="AN13" s="167"/>
      <c r="AO13" s="138"/>
      <c r="AP13" s="148"/>
      <c r="AQ13" s="108">
        <f t="shared" si="2"/>
        <v>818</v>
      </c>
      <c r="AR13" s="38">
        <f t="shared" si="3"/>
        <v>3281</v>
      </c>
      <c r="AS13" s="64"/>
      <c r="AT13" s="6"/>
      <c r="AU13" s="40">
        <v>0</v>
      </c>
      <c r="AV13" s="41">
        <v>0</v>
      </c>
      <c r="AW13" s="117"/>
      <c r="AX13" s="170"/>
      <c r="AY13" s="162">
        <v>1</v>
      </c>
      <c r="AZ13" s="170">
        <v>1</v>
      </c>
      <c r="BA13" s="124">
        <v>0</v>
      </c>
      <c r="BB13" s="41">
        <v>0</v>
      </c>
      <c r="BC13" s="117"/>
      <c r="BD13" s="141"/>
      <c r="BE13" s="179"/>
      <c r="BF13" s="170"/>
      <c r="BG13" s="124">
        <v>191</v>
      </c>
      <c r="BH13" s="42">
        <v>558</v>
      </c>
      <c r="BI13" s="117"/>
      <c r="BJ13" s="170"/>
      <c r="BK13" s="162">
        <v>1</v>
      </c>
      <c r="BL13" s="170">
        <v>2</v>
      </c>
      <c r="BM13" s="28">
        <f t="shared" si="4"/>
        <v>193</v>
      </c>
      <c r="BN13" s="44">
        <f t="shared" si="5"/>
        <v>561</v>
      </c>
      <c r="BO13" s="64"/>
      <c r="BP13" s="6"/>
      <c r="BQ13" s="56">
        <v>6</v>
      </c>
      <c r="BR13" s="57">
        <v>10</v>
      </c>
      <c r="BS13" s="117">
        <v>3</v>
      </c>
      <c r="BT13" s="127">
        <v>6</v>
      </c>
      <c r="BU13" s="140"/>
      <c r="BV13" s="167"/>
      <c r="BW13" s="187"/>
      <c r="BX13" s="67"/>
      <c r="BY13" s="117"/>
      <c r="BZ13" s="127"/>
      <c r="CA13" s="141"/>
      <c r="CB13" s="170"/>
      <c r="CC13" s="190"/>
      <c r="CD13" s="58"/>
      <c r="CE13" s="117"/>
      <c r="CF13" s="127"/>
      <c r="CG13" s="152"/>
      <c r="CH13" s="170"/>
      <c r="CI13" s="28">
        <f t="shared" si="6"/>
        <v>9</v>
      </c>
      <c r="CJ13" s="45">
        <f t="shared" si="7"/>
        <v>16</v>
      </c>
      <c r="CK13" s="64"/>
      <c r="CL13" s="60"/>
      <c r="CM13" s="66">
        <f t="shared" si="8"/>
        <v>6</v>
      </c>
      <c r="CN13" s="60"/>
      <c r="CO13" s="117"/>
      <c r="CP13" s="170"/>
      <c r="CQ13" s="138"/>
      <c r="CR13" s="167"/>
      <c r="CS13" s="187"/>
      <c r="CT13" s="67"/>
    </row>
    <row r="14" spans="1:98" ht="15.75" thickBot="1" x14ac:dyDescent="0.3">
      <c r="A14" s="62">
        <v>45910</v>
      </c>
      <c r="B14" s="63" t="s">
        <v>16</v>
      </c>
      <c r="C14" s="50"/>
      <c r="D14" s="51"/>
      <c r="E14" s="120"/>
      <c r="F14" s="167"/>
      <c r="G14" s="138"/>
      <c r="H14" s="148"/>
      <c r="I14" s="50"/>
      <c r="J14" s="51"/>
      <c r="K14" s="120"/>
      <c r="L14" s="167"/>
      <c r="M14" s="162"/>
      <c r="N14" s="157"/>
      <c r="O14" s="50"/>
      <c r="P14" s="42"/>
      <c r="Q14" s="117"/>
      <c r="R14" s="170"/>
      <c r="S14" s="137"/>
      <c r="T14" s="174"/>
      <c r="U14" s="109">
        <f t="shared" si="0"/>
        <v>0</v>
      </c>
      <c r="V14" s="31">
        <f t="shared" si="1"/>
        <v>0</v>
      </c>
      <c r="W14" s="64"/>
      <c r="X14" s="6"/>
      <c r="Y14" s="54"/>
      <c r="Z14" s="51"/>
      <c r="AA14" s="120"/>
      <c r="AB14" s="167"/>
      <c r="AC14" s="138"/>
      <c r="AD14" s="148"/>
      <c r="AE14" s="50">
        <v>305</v>
      </c>
      <c r="AF14" s="51">
        <v>1870</v>
      </c>
      <c r="AG14" s="120"/>
      <c r="AH14" s="121"/>
      <c r="AI14" s="132"/>
      <c r="AJ14" s="167"/>
      <c r="AK14" s="50">
        <v>482</v>
      </c>
      <c r="AL14" s="65">
        <v>1311</v>
      </c>
      <c r="AM14" s="120"/>
      <c r="AN14" s="167"/>
      <c r="AO14" s="138"/>
      <c r="AP14" s="148"/>
      <c r="AQ14" s="108">
        <f t="shared" si="2"/>
        <v>787</v>
      </c>
      <c r="AR14" s="38">
        <f t="shared" si="3"/>
        <v>3181</v>
      </c>
      <c r="AS14" s="64"/>
      <c r="AT14" s="6"/>
      <c r="AU14" s="40">
        <v>0</v>
      </c>
      <c r="AV14" s="41">
        <v>0</v>
      </c>
      <c r="AW14" s="117"/>
      <c r="AX14" s="170"/>
      <c r="AY14" s="162"/>
      <c r="AZ14" s="170"/>
      <c r="BA14" s="124">
        <v>0</v>
      </c>
      <c r="BB14" s="41">
        <v>0</v>
      </c>
      <c r="BC14" s="117"/>
      <c r="BD14" s="141"/>
      <c r="BE14" s="179"/>
      <c r="BF14" s="170"/>
      <c r="BG14" s="124">
        <v>156</v>
      </c>
      <c r="BH14" s="42">
        <v>532</v>
      </c>
      <c r="BI14" s="117"/>
      <c r="BJ14" s="170"/>
      <c r="BK14" s="162">
        <v>3</v>
      </c>
      <c r="BL14" s="170">
        <v>5</v>
      </c>
      <c r="BM14" s="28">
        <f t="shared" si="4"/>
        <v>159</v>
      </c>
      <c r="BN14" s="44">
        <f t="shared" si="5"/>
        <v>537</v>
      </c>
      <c r="BO14" s="64"/>
      <c r="BP14" s="6"/>
      <c r="BQ14" s="56">
        <v>6</v>
      </c>
      <c r="BR14" s="57">
        <v>10</v>
      </c>
      <c r="BS14" s="117"/>
      <c r="BT14" s="127"/>
      <c r="BU14" s="140"/>
      <c r="BV14" s="167"/>
      <c r="BW14" s="187"/>
      <c r="BX14" s="67"/>
      <c r="BY14" s="117"/>
      <c r="BZ14" s="127"/>
      <c r="CA14" s="141"/>
      <c r="CB14" s="170"/>
      <c r="CC14" s="190"/>
      <c r="CD14" s="58"/>
      <c r="CE14" s="117"/>
      <c r="CF14" s="127"/>
      <c r="CG14" s="152"/>
      <c r="CH14" s="170"/>
      <c r="CI14" s="28">
        <f t="shared" si="6"/>
        <v>6</v>
      </c>
      <c r="CJ14" s="45">
        <f t="shared" si="7"/>
        <v>10</v>
      </c>
      <c r="CK14" s="64"/>
      <c r="CL14" s="60"/>
      <c r="CM14" s="66">
        <f t="shared" si="8"/>
        <v>6</v>
      </c>
      <c r="CN14" s="60"/>
      <c r="CO14" s="117"/>
      <c r="CP14" s="170"/>
      <c r="CQ14" s="138"/>
      <c r="CR14" s="167"/>
      <c r="CS14" s="187"/>
      <c r="CT14" s="57"/>
    </row>
    <row r="15" spans="1:98" ht="15.75" thickBot="1" x14ac:dyDescent="0.3">
      <c r="A15" s="48">
        <v>45911</v>
      </c>
      <c r="B15" s="68" t="s">
        <v>17</v>
      </c>
      <c r="C15" s="99">
        <v>142</v>
      </c>
      <c r="D15" s="74">
        <v>267</v>
      </c>
      <c r="E15" s="120"/>
      <c r="F15" s="167"/>
      <c r="G15" s="138"/>
      <c r="H15" s="148"/>
      <c r="I15" s="99">
        <v>62</v>
      </c>
      <c r="J15" s="74">
        <v>354</v>
      </c>
      <c r="K15" s="120"/>
      <c r="L15" s="167"/>
      <c r="M15" s="162"/>
      <c r="N15" s="157"/>
      <c r="O15" s="99">
        <v>250</v>
      </c>
      <c r="P15" s="100">
        <v>446</v>
      </c>
      <c r="Q15" s="117">
        <v>1</v>
      </c>
      <c r="R15" s="170">
        <v>2</v>
      </c>
      <c r="S15" s="137"/>
      <c r="T15" s="174"/>
      <c r="U15" s="109">
        <f t="shared" si="0"/>
        <v>455</v>
      </c>
      <c r="V15" s="31">
        <f t="shared" si="1"/>
        <v>1069</v>
      </c>
      <c r="W15" s="72"/>
      <c r="X15" s="6"/>
      <c r="Y15" s="73">
        <v>1116</v>
      </c>
      <c r="Z15" s="74">
        <v>2395</v>
      </c>
      <c r="AA15" s="120"/>
      <c r="AB15" s="167"/>
      <c r="AC15" s="138"/>
      <c r="AD15" s="148"/>
      <c r="AE15" s="99">
        <v>471</v>
      </c>
      <c r="AF15" s="74">
        <v>2182</v>
      </c>
      <c r="AG15" s="120"/>
      <c r="AH15" s="121"/>
      <c r="AI15" s="132"/>
      <c r="AJ15" s="167"/>
      <c r="AK15" s="99">
        <v>516</v>
      </c>
      <c r="AL15" s="75">
        <v>1431</v>
      </c>
      <c r="AM15" s="120"/>
      <c r="AN15" s="167"/>
      <c r="AO15" s="138"/>
      <c r="AP15" s="148"/>
      <c r="AQ15" s="108">
        <f t="shared" si="2"/>
        <v>2103</v>
      </c>
      <c r="AR15" s="38">
        <f t="shared" si="3"/>
        <v>6008</v>
      </c>
      <c r="AS15" s="72"/>
      <c r="AT15" s="6"/>
      <c r="AU15" s="76">
        <v>0</v>
      </c>
      <c r="AV15" s="77">
        <v>0</v>
      </c>
      <c r="AW15" s="117"/>
      <c r="AX15" s="170"/>
      <c r="AY15" s="162"/>
      <c r="AZ15" s="170"/>
      <c r="BA15" s="125">
        <v>0</v>
      </c>
      <c r="BB15" s="77">
        <v>0</v>
      </c>
      <c r="BC15" s="117"/>
      <c r="BD15" s="141"/>
      <c r="BE15" s="179"/>
      <c r="BF15" s="170"/>
      <c r="BG15" s="125">
        <v>156</v>
      </c>
      <c r="BH15" s="78">
        <v>532</v>
      </c>
      <c r="BI15" s="117"/>
      <c r="BJ15" s="170"/>
      <c r="BK15" s="162"/>
      <c r="BL15" s="170"/>
      <c r="BM15" s="28">
        <f t="shared" si="4"/>
        <v>156</v>
      </c>
      <c r="BN15" s="44">
        <f t="shared" si="5"/>
        <v>532</v>
      </c>
      <c r="BO15" s="79"/>
      <c r="BP15" s="6"/>
      <c r="BQ15" s="80">
        <v>6</v>
      </c>
      <c r="BR15" s="81">
        <v>10</v>
      </c>
      <c r="BS15" s="117"/>
      <c r="BT15" s="127"/>
      <c r="BU15" s="140"/>
      <c r="BV15" s="167"/>
      <c r="BW15" s="188">
        <v>0</v>
      </c>
      <c r="BX15" s="101">
        <v>0</v>
      </c>
      <c r="BY15" s="117"/>
      <c r="BZ15" s="127"/>
      <c r="CA15" s="141"/>
      <c r="CB15" s="170"/>
      <c r="CC15" s="192">
        <v>0</v>
      </c>
      <c r="CD15" s="82">
        <v>0</v>
      </c>
      <c r="CE15" s="117"/>
      <c r="CF15" s="127"/>
      <c r="CG15" s="152"/>
      <c r="CH15" s="170"/>
      <c r="CI15" s="28">
        <f t="shared" si="6"/>
        <v>6</v>
      </c>
      <c r="CJ15" s="45">
        <f t="shared" si="7"/>
        <v>10</v>
      </c>
      <c r="CK15" s="83"/>
      <c r="CL15" s="60"/>
      <c r="CM15" s="61">
        <f t="shared" si="8"/>
        <v>1264</v>
      </c>
      <c r="CN15" s="60"/>
      <c r="CO15" s="117"/>
      <c r="CP15" s="170"/>
      <c r="CQ15" s="138"/>
      <c r="CR15" s="167"/>
      <c r="CS15" s="188">
        <v>66</v>
      </c>
      <c r="CT15" s="81">
        <v>167</v>
      </c>
    </row>
    <row r="16" spans="1:98" ht="15.75" thickBot="1" x14ac:dyDescent="0.3">
      <c r="A16" s="62">
        <v>45912</v>
      </c>
      <c r="B16" s="68" t="s">
        <v>18</v>
      </c>
      <c r="C16" s="50"/>
      <c r="D16" s="51"/>
      <c r="E16" s="120"/>
      <c r="F16" s="167"/>
      <c r="G16" s="138"/>
      <c r="H16" s="148"/>
      <c r="I16" s="50"/>
      <c r="J16" s="51"/>
      <c r="K16" s="120"/>
      <c r="L16" s="167"/>
      <c r="M16" s="162"/>
      <c r="N16" s="157"/>
      <c r="O16" s="50"/>
      <c r="P16" s="42"/>
      <c r="Q16" s="117"/>
      <c r="R16" s="170"/>
      <c r="S16" s="137"/>
      <c r="T16" s="174"/>
      <c r="U16" s="109">
        <f t="shared" si="0"/>
        <v>0</v>
      </c>
      <c r="V16" s="31">
        <f t="shared" si="1"/>
        <v>0</v>
      </c>
      <c r="W16" s="53"/>
      <c r="X16" s="6"/>
      <c r="Y16" s="54"/>
      <c r="Z16" s="51"/>
      <c r="AA16" s="120"/>
      <c r="AB16" s="167"/>
      <c r="AC16" s="138"/>
      <c r="AD16" s="148"/>
      <c r="AE16" s="50"/>
      <c r="AF16" s="51"/>
      <c r="AG16" s="120">
        <v>92</v>
      </c>
      <c r="AH16" s="121">
        <v>414</v>
      </c>
      <c r="AI16" s="132"/>
      <c r="AJ16" s="167"/>
      <c r="AK16" s="50"/>
      <c r="AL16" s="65"/>
      <c r="AM16" s="120">
        <v>182</v>
      </c>
      <c r="AN16" s="167">
        <v>476</v>
      </c>
      <c r="AO16" s="138"/>
      <c r="AP16" s="148"/>
      <c r="AQ16" s="108">
        <f t="shared" si="2"/>
        <v>274</v>
      </c>
      <c r="AR16" s="38">
        <f t="shared" si="3"/>
        <v>890</v>
      </c>
      <c r="AS16" s="53"/>
      <c r="AT16" s="6"/>
      <c r="AU16" s="40"/>
      <c r="AV16" s="41"/>
      <c r="AW16" s="117"/>
      <c r="AX16" s="170"/>
      <c r="AY16" s="162"/>
      <c r="AZ16" s="170"/>
      <c r="BA16" s="124"/>
      <c r="BB16" s="41"/>
      <c r="BC16" s="117"/>
      <c r="BD16" s="141"/>
      <c r="BE16" s="179"/>
      <c r="BF16" s="170"/>
      <c r="BG16" s="124"/>
      <c r="BH16" s="42"/>
      <c r="BI16" s="117"/>
      <c r="BJ16" s="170"/>
      <c r="BK16" s="162"/>
      <c r="BL16" s="170"/>
      <c r="BM16" s="28">
        <f t="shared" si="4"/>
        <v>0</v>
      </c>
      <c r="BN16" s="44">
        <f t="shared" si="5"/>
        <v>0</v>
      </c>
      <c r="BO16" s="64"/>
      <c r="BP16" s="6"/>
      <c r="BQ16" s="56">
        <v>6</v>
      </c>
      <c r="BR16" s="57">
        <v>10</v>
      </c>
      <c r="BS16" s="117"/>
      <c r="BT16" s="127"/>
      <c r="BU16" s="140"/>
      <c r="BV16" s="167"/>
      <c r="BW16" s="187"/>
      <c r="BX16" s="67"/>
      <c r="BY16" s="117"/>
      <c r="BZ16" s="127"/>
      <c r="CA16" s="141"/>
      <c r="CB16" s="170"/>
      <c r="CC16" s="190"/>
      <c r="CD16" s="58"/>
      <c r="CE16" s="117"/>
      <c r="CF16" s="127"/>
      <c r="CG16" s="152"/>
      <c r="CH16" s="170"/>
      <c r="CI16" s="28">
        <f t="shared" si="6"/>
        <v>6</v>
      </c>
      <c r="CJ16" s="45">
        <f t="shared" si="7"/>
        <v>10</v>
      </c>
      <c r="CK16" s="59"/>
      <c r="CL16" s="60"/>
      <c r="CM16" s="61">
        <f t="shared" si="8"/>
        <v>6</v>
      </c>
      <c r="CN16" s="60"/>
      <c r="CO16" s="117"/>
      <c r="CP16" s="170"/>
      <c r="CQ16" s="138"/>
      <c r="CR16" s="167"/>
      <c r="CS16" s="187"/>
      <c r="CT16" s="57"/>
    </row>
    <row r="17" spans="1:98" ht="15.75" thickBot="1" x14ac:dyDescent="0.3">
      <c r="A17" s="87">
        <v>45913</v>
      </c>
      <c r="B17" s="86" t="s">
        <v>19</v>
      </c>
      <c r="C17" s="50"/>
      <c r="D17" s="51"/>
      <c r="E17" s="120"/>
      <c r="F17" s="167"/>
      <c r="G17" s="138"/>
      <c r="H17" s="148"/>
      <c r="I17" s="50"/>
      <c r="J17" s="51"/>
      <c r="K17" s="120"/>
      <c r="L17" s="167"/>
      <c r="M17" s="162"/>
      <c r="N17" s="157"/>
      <c r="O17" s="50"/>
      <c r="P17" s="42"/>
      <c r="Q17" s="117"/>
      <c r="R17" s="170"/>
      <c r="S17" s="137"/>
      <c r="T17" s="174"/>
      <c r="U17" s="109">
        <f t="shared" si="0"/>
        <v>0</v>
      </c>
      <c r="V17" s="31">
        <f t="shared" si="1"/>
        <v>0</v>
      </c>
      <c r="W17" s="64"/>
      <c r="X17" s="6"/>
      <c r="Y17" s="54"/>
      <c r="Z17" s="51"/>
      <c r="AA17" s="120"/>
      <c r="AB17" s="167"/>
      <c r="AC17" s="138"/>
      <c r="AD17" s="148"/>
      <c r="AE17" s="50"/>
      <c r="AF17" s="51"/>
      <c r="AG17" s="120"/>
      <c r="AH17" s="121"/>
      <c r="AI17" s="132"/>
      <c r="AJ17" s="167"/>
      <c r="AK17" s="50"/>
      <c r="AL17" s="65"/>
      <c r="AM17" s="120"/>
      <c r="AN17" s="167"/>
      <c r="AO17" s="138"/>
      <c r="AP17" s="148"/>
      <c r="AQ17" s="108">
        <f t="shared" si="2"/>
        <v>0</v>
      </c>
      <c r="AR17" s="38">
        <f t="shared" si="3"/>
        <v>0</v>
      </c>
      <c r="AS17" s="64"/>
      <c r="AT17" s="6"/>
      <c r="AU17" s="40"/>
      <c r="AV17" s="41"/>
      <c r="AW17" s="117"/>
      <c r="AX17" s="170"/>
      <c r="AY17" s="162"/>
      <c r="AZ17" s="170"/>
      <c r="BA17" s="124"/>
      <c r="BB17" s="41"/>
      <c r="BC17" s="117"/>
      <c r="BD17" s="141"/>
      <c r="BE17" s="179"/>
      <c r="BF17" s="170"/>
      <c r="BG17" s="124"/>
      <c r="BH17" s="42"/>
      <c r="BI17" s="117"/>
      <c r="BJ17" s="170"/>
      <c r="BK17" s="162"/>
      <c r="BL17" s="170"/>
      <c r="BM17" s="28">
        <f t="shared" si="4"/>
        <v>0</v>
      </c>
      <c r="BN17" s="44">
        <f t="shared" si="5"/>
        <v>0</v>
      </c>
      <c r="BO17" s="64"/>
      <c r="BP17" s="6"/>
      <c r="BQ17" s="56">
        <v>6</v>
      </c>
      <c r="BR17" s="57">
        <v>10</v>
      </c>
      <c r="BS17" s="117"/>
      <c r="BT17" s="127"/>
      <c r="BU17" s="140"/>
      <c r="BV17" s="167"/>
      <c r="BW17" s="187"/>
      <c r="BX17" s="67"/>
      <c r="BY17" s="117"/>
      <c r="BZ17" s="127"/>
      <c r="CA17" s="141"/>
      <c r="CB17" s="170"/>
      <c r="CC17" s="190"/>
      <c r="CD17" s="58"/>
      <c r="CE17" s="117"/>
      <c r="CF17" s="127"/>
      <c r="CG17" s="152"/>
      <c r="CH17" s="170"/>
      <c r="CI17" s="28">
        <f t="shared" si="6"/>
        <v>6</v>
      </c>
      <c r="CJ17" s="45">
        <f t="shared" si="7"/>
        <v>10</v>
      </c>
      <c r="CK17" s="64"/>
      <c r="CL17" s="60"/>
      <c r="CM17" s="66">
        <f t="shared" si="8"/>
        <v>6</v>
      </c>
      <c r="CN17" s="60"/>
      <c r="CO17" s="117"/>
      <c r="CP17" s="170"/>
      <c r="CQ17" s="138"/>
      <c r="CR17" s="167"/>
      <c r="CS17" s="187"/>
      <c r="CT17" s="67"/>
    </row>
    <row r="18" spans="1:98" ht="15.75" thickBot="1" x14ac:dyDescent="0.3">
      <c r="A18" s="85">
        <v>45914</v>
      </c>
      <c r="B18" s="88" t="s">
        <v>20</v>
      </c>
      <c r="C18" s="89"/>
      <c r="D18" s="35"/>
      <c r="E18" s="120"/>
      <c r="F18" s="167"/>
      <c r="G18" s="138"/>
      <c r="H18" s="148"/>
      <c r="I18" s="89"/>
      <c r="J18" s="35"/>
      <c r="K18" s="120"/>
      <c r="L18" s="167"/>
      <c r="M18" s="162"/>
      <c r="N18" s="157"/>
      <c r="O18" s="89"/>
      <c r="P18" s="93"/>
      <c r="Q18" s="117">
        <v>1</v>
      </c>
      <c r="R18" s="170">
        <v>3</v>
      </c>
      <c r="S18" s="137"/>
      <c r="T18" s="174"/>
      <c r="U18" s="109">
        <f t="shared" si="0"/>
        <v>1</v>
      </c>
      <c r="V18" s="31">
        <f t="shared" si="1"/>
        <v>3</v>
      </c>
      <c r="W18" s="91"/>
      <c r="X18" s="6"/>
      <c r="Y18" s="34"/>
      <c r="Z18" s="35"/>
      <c r="AA18" s="120"/>
      <c r="AB18" s="167"/>
      <c r="AC18" s="138"/>
      <c r="AD18" s="148"/>
      <c r="AE18" s="89"/>
      <c r="AF18" s="35"/>
      <c r="AG18" s="120"/>
      <c r="AH18" s="121"/>
      <c r="AI18" s="132"/>
      <c r="AJ18" s="167"/>
      <c r="AK18" s="89"/>
      <c r="AL18" s="36"/>
      <c r="AM18" s="120"/>
      <c r="AN18" s="167"/>
      <c r="AO18" s="138"/>
      <c r="AP18" s="148"/>
      <c r="AQ18" s="108">
        <f t="shared" si="2"/>
        <v>0</v>
      </c>
      <c r="AR18" s="38">
        <f t="shared" si="3"/>
        <v>0</v>
      </c>
      <c r="AS18" s="91"/>
      <c r="AT18" s="6"/>
      <c r="AU18" s="37"/>
      <c r="AV18" s="92"/>
      <c r="AW18" s="117"/>
      <c r="AX18" s="170"/>
      <c r="AY18" s="162"/>
      <c r="AZ18" s="170"/>
      <c r="BA18" s="108"/>
      <c r="BB18" s="92"/>
      <c r="BC18" s="117"/>
      <c r="BD18" s="141"/>
      <c r="BE18" s="179"/>
      <c r="BF18" s="170"/>
      <c r="BG18" s="108"/>
      <c r="BH18" s="93"/>
      <c r="BI18" s="117"/>
      <c r="BJ18" s="170"/>
      <c r="BK18" s="162"/>
      <c r="BL18" s="170"/>
      <c r="BM18" s="28">
        <f t="shared" si="4"/>
        <v>0</v>
      </c>
      <c r="BN18" s="44">
        <f t="shared" si="5"/>
        <v>0</v>
      </c>
      <c r="BO18" s="91"/>
      <c r="BP18" s="6"/>
      <c r="BQ18" s="94">
        <v>6</v>
      </c>
      <c r="BR18" s="95">
        <v>10</v>
      </c>
      <c r="BS18" s="117"/>
      <c r="BT18" s="127"/>
      <c r="BU18" s="140"/>
      <c r="BV18" s="167"/>
      <c r="BW18" s="189"/>
      <c r="BX18" s="96"/>
      <c r="BY18" s="117"/>
      <c r="BZ18" s="127"/>
      <c r="CA18" s="141"/>
      <c r="CB18" s="170"/>
      <c r="CC18" s="191"/>
      <c r="CD18" s="97"/>
      <c r="CE18" s="117"/>
      <c r="CF18" s="127"/>
      <c r="CG18" s="152"/>
      <c r="CH18" s="170"/>
      <c r="CI18" s="28">
        <f t="shared" si="6"/>
        <v>6</v>
      </c>
      <c r="CJ18" s="45">
        <f t="shared" si="7"/>
        <v>10</v>
      </c>
      <c r="CK18" s="91"/>
      <c r="CL18" s="60"/>
      <c r="CM18" s="98">
        <f t="shared" si="8"/>
        <v>6</v>
      </c>
      <c r="CN18" s="60"/>
      <c r="CO18" s="117"/>
      <c r="CP18" s="170"/>
      <c r="CQ18" s="138"/>
      <c r="CR18" s="167"/>
      <c r="CS18" s="189"/>
      <c r="CT18" s="96"/>
    </row>
    <row r="19" spans="1:98" ht="15.75" thickBot="1" x14ac:dyDescent="0.3">
      <c r="A19" s="48">
        <v>45915</v>
      </c>
      <c r="B19" s="68" t="s">
        <v>14</v>
      </c>
      <c r="C19" s="50"/>
      <c r="D19" s="51"/>
      <c r="E19" s="120">
        <v>8</v>
      </c>
      <c r="F19" s="167">
        <v>16</v>
      </c>
      <c r="G19" s="138"/>
      <c r="H19" s="148"/>
      <c r="I19" s="50"/>
      <c r="J19" s="51"/>
      <c r="K19" s="120">
        <v>10</v>
      </c>
      <c r="L19" s="167">
        <v>77</v>
      </c>
      <c r="M19" s="162"/>
      <c r="N19" s="157"/>
      <c r="O19" s="50"/>
      <c r="P19" s="42"/>
      <c r="Q19" s="117">
        <v>1</v>
      </c>
      <c r="R19" s="170">
        <v>1</v>
      </c>
      <c r="S19" s="137"/>
      <c r="T19" s="174"/>
      <c r="U19" s="109">
        <f t="shared" si="0"/>
        <v>19</v>
      </c>
      <c r="V19" s="31">
        <f t="shared" si="1"/>
        <v>94</v>
      </c>
      <c r="W19" s="64"/>
      <c r="X19" s="6"/>
      <c r="Y19" s="54"/>
      <c r="Z19" s="51"/>
      <c r="AA19" s="120">
        <v>185</v>
      </c>
      <c r="AB19" s="167">
        <v>360</v>
      </c>
      <c r="AC19" s="138"/>
      <c r="AD19" s="148"/>
      <c r="AE19" s="50"/>
      <c r="AF19" s="51"/>
      <c r="AG19" s="120"/>
      <c r="AH19" s="121"/>
      <c r="AI19" s="132"/>
      <c r="AJ19" s="167"/>
      <c r="AK19" s="50"/>
      <c r="AL19" s="65"/>
      <c r="AM19" s="120"/>
      <c r="AN19" s="167"/>
      <c r="AO19" s="138"/>
      <c r="AP19" s="148"/>
      <c r="AQ19" s="108">
        <f t="shared" si="2"/>
        <v>185</v>
      </c>
      <c r="AR19" s="38">
        <f t="shared" si="3"/>
        <v>360</v>
      </c>
      <c r="AS19" s="64"/>
      <c r="AT19" s="6"/>
      <c r="AU19" s="40"/>
      <c r="AV19" s="41"/>
      <c r="AW19" s="117"/>
      <c r="AX19" s="170"/>
      <c r="AY19" s="162"/>
      <c r="AZ19" s="170"/>
      <c r="BA19" s="124"/>
      <c r="BB19" s="41"/>
      <c r="BC19" s="117"/>
      <c r="BD19" s="141"/>
      <c r="BE19" s="179"/>
      <c r="BF19" s="170"/>
      <c r="BG19" s="124"/>
      <c r="BH19" s="42"/>
      <c r="BI19" s="117"/>
      <c r="BJ19" s="170"/>
      <c r="BK19" s="162"/>
      <c r="BL19" s="170"/>
      <c r="BM19" s="28">
        <f t="shared" si="4"/>
        <v>0</v>
      </c>
      <c r="BN19" s="44">
        <f t="shared" si="5"/>
        <v>0</v>
      </c>
      <c r="BO19" s="64"/>
      <c r="BP19" s="6"/>
      <c r="BQ19" s="56">
        <v>9</v>
      </c>
      <c r="BR19" s="57">
        <v>16</v>
      </c>
      <c r="BS19" s="117">
        <v>6</v>
      </c>
      <c r="BT19" s="127">
        <v>9</v>
      </c>
      <c r="BU19" s="140"/>
      <c r="BV19" s="167"/>
      <c r="BW19" s="187">
        <v>21</v>
      </c>
      <c r="BX19" s="67">
        <v>258</v>
      </c>
      <c r="BY19" s="117">
        <v>21</v>
      </c>
      <c r="BZ19" s="127">
        <v>258</v>
      </c>
      <c r="CA19" s="141"/>
      <c r="CB19" s="170"/>
      <c r="CC19" s="190"/>
      <c r="CD19" s="58"/>
      <c r="CE19" s="117">
        <v>78</v>
      </c>
      <c r="CF19" s="127">
        <v>177</v>
      </c>
      <c r="CG19" s="152">
        <v>3</v>
      </c>
      <c r="CH19" s="170">
        <v>5</v>
      </c>
      <c r="CI19" s="28">
        <f t="shared" si="6"/>
        <v>138</v>
      </c>
      <c r="CJ19" s="45">
        <f t="shared" si="7"/>
        <v>723</v>
      </c>
      <c r="CK19" s="64"/>
      <c r="CL19" s="60"/>
      <c r="CM19" s="66">
        <f t="shared" si="8"/>
        <v>9</v>
      </c>
      <c r="CN19" s="60"/>
      <c r="CO19" s="117"/>
      <c r="CP19" s="170"/>
      <c r="CQ19" s="138"/>
      <c r="CR19" s="167"/>
      <c r="CS19" s="187"/>
      <c r="CT19" s="67"/>
    </row>
    <row r="20" spans="1:98" ht="15.75" thickBot="1" x14ac:dyDescent="0.3">
      <c r="A20" s="62">
        <v>45916</v>
      </c>
      <c r="B20" s="63" t="s">
        <v>15</v>
      </c>
      <c r="C20" s="50"/>
      <c r="D20" s="51"/>
      <c r="E20" s="120"/>
      <c r="F20" s="167"/>
      <c r="G20" s="138"/>
      <c r="H20" s="148"/>
      <c r="I20" s="50"/>
      <c r="J20" s="51"/>
      <c r="K20" s="120"/>
      <c r="L20" s="167"/>
      <c r="M20" s="162"/>
      <c r="N20" s="157"/>
      <c r="O20" s="50"/>
      <c r="P20" s="42"/>
      <c r="Q20" s="117">
        <v>2</v>
      </c>
      <c r="R20" s="170">
        <v>2</v>
      </c>
      <c r="S20" s="137"/>
      <c r="T20" s="174"/>
      <c r="U20" s="109">
        <f t="shared" si="0"/>
        <v>2</v>
      </c>
      <c r="V20" s="31">
        <f t="shared" si="1"/>
        <v>2</v>
      </c>
      <c r="W20" s="64"/>
      <c r="X20" s="6"/>
      <c r="Y20" s="54"/>
      <c r="Z20" s="51"/>
      <c r="AA20" s="120"/>
      <c r="AB20" s="167"/>
      <c r="AC20" s="138"/>
      <c r="AD20" s="148"/>
      <c r="AE20" s="50"/>
      <c r="AF20" s="51"/>
      <c r="AG20" s="120"/>
      <c r="AH20" s="121"/>
      <c r="AI20" s="132"/>
      <c r="AJ20" s="167"/>
      <c r="AK20" s="50"/>
      <c r="AL20" s="65"/>
      <c r="AM20" s="120"/>
      <c r="AN20" s="167"/>
      <c r="AO20" s="138"/>
      <c r="AP20" s="148"/>
      <c r="AQ20" s="108">
        <f t="shared" si="2"/>
        <v>0</v>
      </c>
      <c r="AR20" s="38">
        <f t="shared" si="3"/>
        <v>0</v>
      </c>
      <c r="AS20" s="64"/>
      <c r="AT20" s="6"/>
      <c r="AU20" s="40"/>
      <c r="AV20" s="41"/>
      <c r="AW20" s="117"/>
      <c r="AX20" s="170"/>
      <c r="AY20" s="162"/>
      <c r="AZ20" s="170"/>
      <c r="BA20" s="124"/>
      <c r="BB20" s="41"/>
      <c r="BC20" s="117"/>
      <c r="BD20" s="141"/>
      <c r="BE20" s="179"/>
      <c r="BF20" s="170"/>
      <c r="BG20" s="124"/>
      <c r="BH20" s="42"/>
      <c r="BI20" s="117"/>
      <c r="BJ20" s="170"/>
      <c r="BK20" s="162"/>
      <c r="BL20" s="170"/>
      <c r="BM20" s="28">
        <f t="shared" si="4"/>
        <v>0</v>
      </c>
      <c r="BN20" s="44">
        <f t="shared" si="5"/>
        <v>0</v>
      </c>
      <c r="BO20" s="64"/>
      <c r="BP20" s="6"/>
      <c r="BQ20" s="56">
        <v>6</v>
      </c>
      <c r="BR20" s="57">
        <v>9</v>
      </c>
      <c r="BS20" s="117"/>
      <c r="BT20" s="127"/>
      <c r="BU20" s="140"/>
      <c r="BV20" s="167"/>
      <c r="BW20" s="187">
        <v>21</v>
      </c>
      <c r="BX20" s="67">
        <v>258</v>
      </c>
      <c r="BY20" s="117"/>
      <c r="BZ20" s="127"/>
      <c r="CA20" s="141"/>
      <c r="CB20" s="170"/>
      <c r="CC20" s="190">
        <v>69</v>
      </c>
      <c r="CD20" s="58">
        <v>141</v>
      </c>
      <c r="CE20" s="117"/>
      <c r="CF20" s="127"/>
      <c r="CG20" s="152"/>
      <c r="CH20" s="170"/>
      <c r="CI20" s="28">
        <f t="shared" si="6"/>
        <v>96</v>
      </c>
      <c r="CJ20" s="45">
        <f t="shared" si="7"/>
        <v>408</v>
      </c>
      <c r="CK20" s="64"/>
      <c r="CL20" s="60"/>
      <c r="CM20" s="66">
        <f t="shared" si="8"/>
        <v>6</v>
      </c>
      <c r="CN20" s="60"/>
      <c r="CO20" s="117"/>
      <c r="CP20" s="170"/>
      <c r="CQ20" s="138"/>
      <c r="CR20" s="167"/>
      <c r="CS20" s="187"/>
      <c r="CT20" s="67"/>
    </row>
    <row r="21" spans="1:98" ht="15.75" thickBot="1" x14ac:dyDescent="0.3">
      <c r="A21" s="48">
        <v>45917</v>
      </c>
      <c r="B21" s="63" t="s">
        <v>16</v>
      </c>
      <c r="C21" s="50"/>
      <c r="D21" s="51"/>
      <c r="E21" s="120"/>
      <c r="F21" s="167"/>
      <c r="G21" s="138"/>
      <c r="H21" s="148"/>
      <c r="I21" s="50"/>
      <c r="J21" s="51"/>
      <c r="K21" s="120"/>
      <c r="L21" s="167"/>
      <c r="M21" s="162"/>
      <c r="N21" s="157"/>
      <c r="O21" s="50"/>
      <c r="P21" s="42"/>
      <c r="Q21" s="117"/>
      <c r="R21" s="170"/>
      <c r="S21" s="137"/>
      <c r="T21" s="174"/>
      <c r="U21" s="109">
        <f t="shared" si="0"/>
        <v>0</v>
      </c>
      <c r="V21" s="31">
        <f t="shared" si="1"/>
        <v>0</v>
      </c>
      <c r="W21" s="64"/>
      <c r="X21" s="6"/>
      <c r="Y21" s="54"/>
      <c r="Z21" s="51"/>
      <c r="AA21" s="120"/>
      <c r="AB21" s="167"/>
      <c r="AC21" s="138"/>
      <c r="AD21" s="148"/>
      <c r="AE21" s="50"/>
      <c r="AF21" s="51"/>
      <c r="AG21" s="120"/>
      <c r="AH21" s="121"/>
      <c r="AI21" s="132"/>
      <c r="AJ21" s="167"/>
      <c r="AK21" s="50"/>
      <c r="AL21" s="65"/>
      <c r="AM21" s="120"/>
      <c r="AN21" s="167"/>
      <c r="AO21" s="138"/>
      <c r="AP21" s="148"/>
      <c r="AQ21" s="108">
        <f t="shared" si="2"/>
        <v>0</v>
      </c>
      <c r="AR21" s="38">
        <f t="shared" si="3"/>
        <v>0</v>
      </c>
      <c r="AS21" s="64"/>
      <c r="AT21" s="6"/>
      <c r="AU21" s="40"/>
      <c r="AV21" s="41"/>
      <c r="AW21" s="117"/>
      <c r="AX21" s="170"/>
      <c r="AY21" s="162"/>
      <c r="AZ21" s="170"/>
      <c r="BA21" s="124"/>
      <c r="BB21" s="41"/>
      <c r="BC21" s="117"/>
      <c r="BD21" s="141"/>
      <c r="BE21" s="179"/>
      <c r="BF21" s="170"/>
      <c r="BG21" s="124"/>
      <c r="BH21" s="42"/>
      <c r="BI21" s="117"/>
      <c r="BJ21" s="170"/>
      <c r="BK21" s="162"/>
      <c r="BL21" s="170"/>
      <c r="BM21" s="28">
        <f t="shared" si="4"/>
        <v>0</v>
      </c>
      <c r="BN21" s="44">
        <f t="shared" si="5"/>
        <v>0</v>
      </c>
      <c r="BO21" s="64"/>
      <c r="BP21" s="6"/>
      <c r="BQ21" s="56">
        <v>6</v>
      </c>
      <c r="BR21" s="57">
        <v>9</v>
      </c>
      <c r="BS21" s="117"/>
      <c r="BT21" s="127"/>
      <c r="BU21" s="140">
        <v>1</v>
      </c>
      <c r="BV21" s="167">
        <v>1</v>
      </c>
      <c r="BW21" s="187">
        <v>21</v>
      </c>
      <c r="BX21" s="67">
        <v>258</v>
      </c>
      <c r="BY21" s="117"/>
      <c r="BZ21" s="127"/>
      <c r="CA21" s="141"/>
      <c r="CB21" s="170"/>
      <c r="CC21" s="190">
        <v>48</v>
      </c>
      <c r="CD21" s="58">
        <v>129</v>
      </c>
      <c r="CE21" s="117"/>
      <c r="CF21" s="127"/>
      <c r="CG21" s="152"/>
      <c r="CH21" s="170"/>
      <c r="CI21" s="28">
        <f t="shared" si="6"/>
        <v>76</v>
      </c>
      <c r="CJ21" s="45">
        <f t="shared" si="7"/>
        <v>397</v>
      </c>
      <c r="CK21" s="64"/>
      <c r="CL21" s="60"/>
      <c r="CM21" s="66">
        <f t="shared" si="8"/>
        <v>6</v>
      </c>
      <c r="CN21" s="60"/>
      <c r="CO21" s="117"/>
      <c r="CP21" s="170"/>
      <c r="CQ21" s="138"/>
      <c r="CR21" s="167"/>
      <c r="CS21" s="187"/>
      <c r="CT21" s="57"/>
    </row>
    <row r="22" spans="1:98" ht="15.75" thickBot="1" x14ac:dyDescent="0.3">
      <c r="A22" s="62">
        <v>45918</v>
      </c>
      <c r="B22" s="68" t="s">
        <v>17</v>
      </c>
      <c r="C22" s="99">
        <v>160</v>
      </c>
      <c r="D22" s="74">
        <v>295</v>
      </c>
      <c r="E22" s="120"/>
      <c r="F22" s="167"/>
      <c r="G22" s="138"/>
      <c r="H22" s="148"/>
      <c r="I22" s="99">
        <v>72</v>
      </c>
      <c r="J22" s="74">
        <v>139</v>
      </c>
      <c r="K22" s="120"/>
      <c r="L22" s="167"/>
      <c r="M22" s="162"/>
      <c r="N22" s="157"/>
      <c r="O22" s="99">
        <v>227</v>
      </c>
      <c r="P22" s="100"/>
      <c r="Q22" s="117"/>
      <c r="R22" s="170"/>
      <c r="S22" s="137"/>
      <c r="T22" s="174"/>
      <c r="U22" s="109">
        <f t="shared" si="0"/>
        <v>459</v>
      </c>
      <c r="V22" s="31">
        <f t="shared" si="1"/>
        <v>434</v>
      </c>
      <c r="W22" s="72"/>
      <c r="X22" s="6"/>
      <c r="Y22" s="73">
        <v>1226</v>
      </c>
      <c r="Z22" s="74">
        <v>2611</v>
      </c>
      <c r="AA22" s="120"/>
      <c r="AB22" s="167"/>
      <c r="AC22" s="138"/>
      <c r="AD22" s="148"/>
      <c r="AE22" s="99">
        <v>532</v>
      </c>
      <c r="AF22" s="74">
        <v>2731</v>
      </c>
      <c r="AG22" s="120"/>
      <c r="AH22" s="121"/>
      <c r="AI22" s="132"/>
      <c r="AJ22" s="167"/>
      <c r="AK22" s="99">
        <v>546</v>
      </c>
      <c r="AL22" s="75">
        <v>1448</v>
      </c>
      <c r="AM22" s="120"/>
      <c r="AN22" s="167"/>
      <c r="AO22" s="138"/>
      <c r="AP22" s="148"/>
      <c r="AQ22" s="108">
        <f t="shared" si="2"/>
        <v>2304</v>
      </c>
      <c r="AR22" s="38">
        <f t="shared" si="3"/>
        <v>6790</v>
      </c>
      <c r="AS22" s="72"/>
      <c r="AT22" s="6"/>
      <c r="AU22" s="76"/>
      <c r="AV22" s="77"/>
      <c r="AW22" s="117"/>
      <c r="AX22" s="170"/>
      <c r="AY22" s="162"/>
      <c r="AZ22" s="170"/>
      <c r="BA22" s="125"/>
      <c r="BB22" s="77"/>
      <c r="BC22" s="117"/>
      <c r="BD22" s="141"/>
      <c r="BE22" s="179"/>
      <c r="BF22" s="170"/>
      <c r="BG22" s="125"/>
      <c r="BH22" s="78"/>
      <c r="BI22" s="117"/>
      <c r="BJ22" s="170"/>
      <c r="BK22" s="162"/>
      <c r="BL22" s="170"/>
      <c r="BM22" s="28">
        <f t="shared" si="4"/>
        <v>0</v>
      </c>
      <c r="BN22" s="44">
        <f t="shared" si="5"/>
        <v>0</v>
      </c>
      <c r="BO22" s="79"/>
      <c r="BP22" s="6"/>
      <c r="BQ22" s="80">
        <v>6</v>
      </c>
      <c r="BR22" s="81">
        <v>9</v>
      </c>
      <c r="BS22" s="117"/>
      <c r="BT22" s="127"/>
      <c r="BU22" s="140"/>
      <c r="BV22" s="167"/>
      <c r="BW22" s="188">
        <v>21</v>
      </c>
      <c r="BX22" s="101">
        <v>258</v>
      </c>
      <c r="BY22" s="117"/>
      <c r="BZ22" s="127"/>
      <c r="CA22" s="141"/>
      <c r="CB22" s="170"/>
      <c r="CC22" s="192">
        <v>48</v>
      </c>
      <c r="CD22" s="82">
        <v>129</v>
      </c>
      <c r="CE22" s="117"/>
      <c r="CF22" s="127"/>
      <c r="CG22" s="152"/>
      <c r="CH22" s="170"/>
      <c r="CI22" s="28">
        <f t="shared" si="6"/>
        <v>75</v>
      </c>
      <c r="CJ22" s="45">
        <f t="shared" si="7"/>
        <v>396</v>
      </c>
      <c r="CK22" s="83"/>
      <c r="CL22" s="60"/>
      <c r="CM22" s="61">
        <f t="shared" si="8"/>
        <v>1392</v>
      </c>
      <c r="CN22" s="60"/>
      <c r="CO22" s="117"/>
      <c r="CP22" s="170"/>
      <c r="CQ22" s="138"/>
      <c r="CR22" s="167"/>
      <c r="CS22" s="188">
        <v>0</v>
      </c>
      <c r="CT22" s="81">
        <v>0</v>
      </c>
    </row>
    <row r="23" spans="1:98" ht="15.75" thickBot="1" x14ac:dyDescent="0.3">
      <c r="A23" s="48">
        <v>45919</v>
      </c>
      <c r="B23" s="68" t="s">
        <v>18</v>
      </c>
      <c r="C23" s="50"/>
      <c r="D23" s="51"/>
      <c r="E23" s="120"/>
      <c r="F23" s="167"/>
      <c r="G23" s="138"/>
      <c r="H23" s="148"/>
      <c r="I23" s="50"/>
      <c r="J23" s="51"/>
      <c r="K23" s="120"/>
      <c r="L23" s="167"/>
      <c r="M23" s="162"/>
      <c r="N23" s="157"/>
      <c r="O23" s="50"/>
      <c r="P23" s="42"/>
      <c r="Q23" s="117"/>
      <c r="R23" s="170"/>
      <c r="S23" s="137"/>
      <c r="T23" s="174"/>
      <c r="U23" s="109">
        <f t="shared" si="0"/>
        <v>0</v>
      </c>
      <c r="V23" s="31">
        <f t="shared" si="1"/>
        <v>0</v>
      </c>
      <c r="W23" s="53"/>
      <c r="X23" s="6"/>
      <c r="Y23" s="54"/>
      <c r="Z23" s="51"/>
      <c r="AA23" s="120"/>
      <c r="AB23" s="167"/>
      <c r="AC23" s="138"/>
      <c r="AD23" s="148"/>
      <c r="AE23" s="50"/>
      <c r="AF23" s="51"/>
      <c r="AG23" s="120"/>
      <c r="AH23" s="121"/>
      <c r="AI23" s="132"/>
      <c r="AJ23" s="167"/>
      <c r="AK23" s="50"/>
      <c r="AL23" s="65"/>
      <c r="AM23" s="120"/>
      <c r="AN23" s="167"/>
      <c r="AO23" s="138"/>
      <c r="AP23" s="148"/>
      <c r="AQ23" s="108">
        <f t="shared" si="2"/>
        <v>0</v>
      </c>
      <c r="AR23" s="38">
        <f t="shared" si="3"/>
        <v>0</v>
      </c>
      <c r="AS23" s="53"/>
      <c r="AT23" s="6"/>
      <c r="AU23" s="40"/>
      <c r="AV23" s="41"/>
      <c r="AW23" s="117"/>
      <c r="AX23" s="170"/>
      <c r="AY23" s="162"/>
      <c r="AZ23" s="170"/>
      <c r="BA23" s="124"/>
      <c r="BB23" s="41"/>
      <c r="BC23" s="117"/>
      <c r="BD23" s="141"/>
      <c r="BE23" s="179"/>
      <c r="BF23" s="170"/>
      <c r="BG23" s="124"/>
      <c r="BH23" s="42"/>
      <c r="BI23" s="117"/>
      <c r="BJ23" s="170"/>
      <c r="BK23" s="162"/>
      <c r="BL23" s="170"/>
      <c r="BM23" s="28">
        <f t="shared" si="4"/>
        <v>0</v>
      </c>
      <c r="BN23" s="44">
        <f t="shared" si="5"/>
        <v>0</v>
      </c>
      <c r="BO23" s="64"/>
      <c r="BP23" s="6"/>
      <c r="BQ23" s="56">
        <v>6</v>
      </c>
      <c r="BR23" s="57">
        <v>9</v>
      </c>
      <c r="BS23" s="117"/>
      <c r="BT23" s="127"/>
      <c r="BU23" s="140"/>
      <c r="BV23" s="167"/>
      <c r="BW23" s="187">
        <v>21</v>
      </c>
      <c r="BX23" s="67">
        <v>258</v>
      </c>
      <c r="BY23" s="117"/>
      <c r="BZ23" s="127"/>
      <c r="CA23" s="141"/>
      <c r="CB23" s="170"/>
      <c r="CC23" s="190">
        <v>32</v>
      </c>
      <c r="CD23" s="58">
        <v>68</v>
      </c>
      <c r="CE23" s="117"/>
      <c r="CF23" s="127"/>
      <c r="CG23" s="152"/>
      <c r="CH23" s="170"/>
      <c r="CI23" s="28">
        <f t="shared" si="6"/>
        <v>59</v>
      </c>
      <c r="CJ23" s="45">
        <f t="shared" si="7"/>
        <v>335</v>
      </c>
      <c r="CK23" s="59"/>
      <c r="CL23" s="60"/>
      <c r="CM23" s="61">
        <f t="shared" si="8"/>
        <v>6</v>
      </c>
      <c r="CN23" s="60"/>
      <c r="CO23" s="117"/>
      <c r="CP23" s="170"/>
      <c r="CQ23" s="138"/>
      <c r="CR23" s="167"/>
      <c r="CS23" s="187"/>
      <c r="CT23" s="57"/>
    </row>
    <row r="24" spans="1:98" ht="15.75" thickBot="1" x14ac:dyDescent="0.3">
      <c r="A24" s="85">
        <v>45920</v>
      </c>
      <c r="B24" s="102" t="s">
        <v>19</v>
      </c>
      <c r="C24" s="50"/>
      <c r="D24" s="51"/>
      <c r="E24" s="120"/>
      <c r="F24" s="167"/>
      <c r="G24" s="138"/>
      <c r="H24" s="148"/>
      <c r="I24" s="50"/>
      <c r="J24" s="51"/>
      <c r="K24" s="120"/>
      <c r="L24" s="167"/>
      <c r="M24" s="162"/>
      <c r="N24" s="157"/>
      <c r="O24" s="50"/>
      <c r="P24" s="42"/>
      <c r="Q24" s="117"/>
      <c r="R24" s="170"/>
      <c r="S24" s="137"/>
      <c r="T24" s="174"/>
      <c r="U24" s="109">
        <f t="shared" si="0"/>
        <v>0</v>
      </c>
      <c r="V24" s="31">
        <f t="shared" si="1"/>
        <v>0</v>
      </c>
      <c r="W24" s="64"/>
      <c r="X24" s="6"/>
      <c r="Y24" s="54"/>
      <c r="Z24" s="51"/>
      <c r="AA24" s="120"/>
      <c r="AB24" s="167"/>
      <c r="AC24" s="138"/>
      <c r="AD24" s="148"/>
      <c r="AE24" s="50"/>
      <c r="AF24" s="51"/>
      <c r="AG24" s="120"/>
      <c r="AH24" s="121"/>
      <c r="AI24" s="132"/>
      <c r="AJ24" s="167"/>
      <c r="AK24" s="50"/>
      <c r="AL24" s="65"/>
      <c r="AM24" s="120"/>
      <c r="AN24" s="167"/>
      <c r="AO24" s="138"/>
      <c r="AP24" s="148"/>
      <c r="AQ24" s="108">
        <f t="shared" si="2"/>
        <v>0</v>
      </c>
      <c r="AR24" s="38">
        <f t="shared" si="3"/>
        <v>0</v>
      </c>
      <c r="AS24" s="64"/>
      <c r="AT24" s="6"/>
      <c r="AU24" s="40"/>
      <c r="AV24" s="41"/>
      <c r="AW24" s="117"/>
      <c r="AX24" s="170"/>
      <c r="AY24" s="162"/>
      <c r="AZ24" s="170"/>
      <c r="BA24" s="124"/>
      <c r="BB24" s="41"/>
      <c r="BC24" s="117"/>
      <c r="BD24" s="141"/>
      <c r="BE24" s="179"/>
      <c r="BF24" s="170"/>
      <c r="BG24" s="124"/>
      <c r="BH24" s="42"/>
      <c r="BI24" s="117"/>
      <c r="BJ24" s="170"/>
      <c r="BK24" s="162"/>
      <c r="BL24" s="170"/>
      <c r="BM24" s="28">
        <f t="shared" si="4"/>
        <v>0</v>
      </c>
      <c r="BN24" s="44">
        <f t="shared" si="5"/>
        <v>0</v>
      </c>
      <c r="BO24" s="64"/>
      <c r="BP24" s="6"/>
      <c r="BQ24" s="56">
        <v>6</v>
      </c>
      <c r="BR24" s="57">
        <v>9</v>
      </c>
      <c r="BS24" s="117"/>
      <c r="BT24" s="127"/>
      <c r="BU24" s="140"/>
      <c r="BV24" s="167"/>
      <c r="BW24" s="187">
        <v>21</v>
      </c>
      <c r="BX24" s="67">
        <v>258</v>
      </c>
      <c r="BY24" s="117"/>
      <c r="BZ24" s="127"/>
      <c r="CA24" s="141"/>
      <c r="CB24" s="170"/>
      <c r="CC24" s="190">
        <v>32</v>
      </c>
      <c r="CD24" s="58">
        <v>68</v>
      </c>
      <c r="CE24" s="117"/>
      <c r="CF24" s="127"/>
      <c r="CG24" s="152"/>
      <c r="CH24" s="170"/>
      <c r="CI24" s="28">
        <f t="shared" si="6"/>
        <v>59</v>
      </c>
      <c r="CJ24" s="45">
        <f t="shared" si="7"/>
        <v>335</v>
      </c>
      <c r="CK24" s="64"/>
      <c r="CL24" s="60"/>
      <c r="CM24" s="66">
        <f t="shared" si="8"/>
        <v>6</v>
      </c>
      <c r="CN24" s="60"/>
      <c r="CO24" s="117"/>
      <c r="CP24" s="170"/>
      <c r="CQ24" s="138"/>
      <c r="CR24" s="167"/>
      <c r="CS24" s="187"/>
      <c r="CT24" s="67"/>
    </row>
    <row r="25" spans="1:98" ht="15.75" thickBot="1" x14ac:dyDescent="0.3">
      <c r="A25" s="87">
        <v>45921</v>
      </c>
      <c r="B25" s="88" t="s">
        <v>20</v>
      </c>
      <c r="C25" s="89"/>
      <c r="D25" s="35"/>
      <c r="E25" s="120"/>
      <c r="F25" s="167"/>
      <c r="G25" s="138"/>
      <c r="H25" s="148"/>
      <c r="I25" s="89"/>
      <c r="J25" s="35"/>
      <c r="K25" s="120"/>
      <c r="L25" s="167"/>
      <c r="M25" s="162"/>
      <c r="N25" s="157"/>
      <c r="O25" s="108"/>
      <c r="P25" s="93"/>
      <c r="Q25" s="117"/>
      <c r="R25" s="170"/>
      <c r="S25" s="137"/>
      <c r="T25" s="174"/>
      <c r="U25" s="109">
        <f t="shared" si="0"/>
        <v>0</v>
      </c>
      <c r="V25" s="31">
        <f t="shared" si="1"/>
        <v>0</v>
      </c>
      <c r="W25" s="91"/>
      <c r="X25" s="6"/>
      <c r="Y25" s="34"/>
      <c r="Z25" s="35"/>
      <c r="AA25" s="120"/>
      <c r="AB25" s="167"/>
      <c r="AC25" s="138"/>
      <c r="AD25" s="148"/>
      <c r="AE25" s="89"/>
      <c r="AF25" s="35"/>
      <c r="AG25" s="120"/>
      <c r="AH25" s="121"/>
      <c r="AI25" s="132"/>
      <c r="AJ25" s="167"/>
      <c r="AK25" s="89"/>
      <c r="AL25" s="36"/>
      <c r="AM25" s="120"/>
      <c r="AN25" s="167"/>
      <c r="AO25" s="138"/>
      <c r="AP25" s="148"/>
      <c r="AQ25" s="108">
        <f t="shared" si="2"/>
        <v>0</v>
      </c>
      <c r="AR25" s="38">
        <f t="shared" si="3"/>
        <v>0</v>
      </c>
      <c r="AS25" s="91"/>
      <c r="AT25" s="6"/>
      <c r="AU25" s="40"/>
      <c r="AV25" s="41"/>
      <c r="AW25" s="117"/>
      <c r="AX25" s="170"/>
      <c r="AY25" s="162"/>
      <c r="AZ25" s="170"/>
      <c r="BA25" s="124"/>
      <c r="BB25" s="41"/>
      <c r="BC25" s="117"/>
      <c r="BD25" s="141"/>
      <c r="BE25" s="179"/>
      <c r="BF25" s="170"/>
      <c r="BG25" s="124"/>
      <c r="BH25" s="42"/>
      <c r="BI25" s="117"/>
      <c r="BJ25" s="170"/>
      <c r="BK25" s="162"/>
      <c r="BL25" s="170"/>
      <c r="BM25" s="28">
        <f t="shared" si="4"/>
        <v>0</v>
      </c>
      <c r="BN25" s="44">
        <f t="shared" si="5"/>
        <v>0</v>
      </c>
      <c r="BO25" s="91"/>
      <c r="BP25" s="6"/>
      <c r="BQ25" s="94">
        <v>6</v>
      </c>
      <c r="BR25" s="95">
        <v>9</v>
      </c>
      <c r="BS25" s="117"/>
      <c r="BT25" s="127"/>
      <c r="BU25" s="140"/>
      <c r="BV25" s="167"/>
      <c r="BW25" s="189">
        <v>21</v>
      </c>
      <c r="BX25" s="96">
        <v>258</v>
      </c>
      <c r="BY25" s="117"/>
      <c r="BZ25" s="127"/>
      <c r="CA25" s="141"/>
      <c r="CB25" s="170"/>
      <c r="CC25" s="191">
        <v>32</v>
      </c>
      <c r="CD25" s="97">
        <v>68</v>
      </c>
      <c r="CE25" s="117"/>
      <c r="CF25" s="127"/>
      <c r="CG25" s="152"/>
      <c r="CH25" s="170"/>
      <c r="CI25" s="28">
        <f t="shared" si="6"/>
        <v>59</v>
      </c>
      <c r="CJ25" s="45">
        <f t="shared" si="7"/>
        <v>335</v>
      </c>
      <c r="CK25" s="91"/>
      <c r="CL25" s="60"/>
      <c r="CM25" s="98">
        <f t="shared" si="8"/>
        <v>6</v>
      </c>
      <c r="CN25" s="60"/>
      <c r="CO25" s="117"/>
      <c r="CP25" s="170"/>
      <c r="CQ25" s="138"/>
      <c r="CR25" s="167"/>
      <c r="CS25" s="189"/>
      <c r="CT25" s="96"/>
    </row>
    <row r="26" spans="1:98" ht="15.75" thickBot="1" x14ac:dyDescent="0.3">
      <c r="A26" s="62">
        <v>45922</v>
      </c>
      <c r="B26" s="68" t="s">
        <v>14</v>
      </c>
      <c r="C26" s="120">
        <v>168</v>
      </c>
      <c r="D26" s="167">
        <v>309</v>
      </c>
      <c r="E26" s="120">
        <v>1</v>
      </c>
      <c r="F26" s="167">
        <v>1</v>
      </c>
      <c r="G26" s="138"/>
      <c r="H26" s="148"/>
      <c r="I26" s="120">
        <v>61</v>
      </c>
      <c r="J26" s="167">
        <v>344</v>
      </c>
      <c r="K26" s="120">
        <v>10</v>
      </c>
      <c r="L26" s="167">
        <v>39</v>
      </c>
      <c r="M26" s="162"/>
      <c r="N26" s="157"/>
      <c r="O26" s="50">
        <v>245</v>
      </c>
      <c r="P26" s="42"/>
      <c r="Q26" s="117"/>
      <c r="R26" s="170"/>
      <c r="S26" s="137"/>
      <c r="T26" s="174"/>
      <c r="U26" s="109">
        <f t="shared" si="0"/>
        <v>485</v>
      </c>
      <c r="V26" s="31">
        <f t="shared" si="1"/>
        <v>693</v>
      </c>
      <c r="W26" s="64"/>
      <c r="X26" s="6"/>
      <c r="Y26" s="54">
        <v>1319</v>
      </c>
      <c r="Z26" s="51">
        <v>2757</v>
      </c>
      <c r="AA26" s="120">
        <v>134</v>
      </c>
      <c r="AB26" s="167">
        <v>237</v>
      </c>
      <c r="AC26" s="138"/>
      <c r="AD26" s="148"/>
      <c r="AE26" s="50">
        <v>537</v>
      </c>
      <c r="AF26" s="51">
        <v>2984</v>
      </c>
      <c r="AG26" s="120">
        <v>92</v>
      </c>
      <c r="AH26" s="121">
        <v>667</v>
      </c>
      <c r="AI26" s="132"/>
      <c r="AJ26" s="167"/>
      <c r="AK26" s="50">
        <v>781</v>
      </c>
      <c r="AL26" s="65">
        <v>1983</v>
      </c>
      <c r="AM26" s="120">
        <v>235</v>
      </c>
      <c r="AN26" s="167">
        <v>535</v>
      </c>
      <c r="AO26" s="138"/>
      <c r="AP26" s="148"/>
      <c r="AQ26" s="108">
        <f t="shared" si="2"/>
        <v>3098</v>
      </c>
      <c r="AR26" s="38">
        <f t="shared" si="3"/>
        <v>9163</v>
      </c>
      <c r="AS26" s="64"/>
      <c r="AT26" s="6"/>
      <c r="AU26" s="40"/>
      <c r="AV26" s="41"/>
      <c r="AW26" s="117"/>
      <c r="AX26" s="170"/>
      <c r="AY26" s="162"/>
      <c r="AZ26" s="170"/>
      <c r="BA26" s="124"/>
      <c r="BB26" s="41"/>
      <c r="BC26" s="117"/>
      <c r="BD26" s="141"/>
      <c r="BE26" s="179"/>
      <c r="BF26" s="170"/>
      <c r="BG26" s="124"/>
      <c r="BH26" s="42"/>
      <c r="BI26" s="117"/>
      <c r="BJ26" s="170"/>
      <c r="BK26" s="162">
        <v>2</v>
      </c>
      <c r="BL26" s="170">
        <v>3</v>
      </c>
      <c r="BM26" s="28">
        <f t="shared" si="4"/>
        <v>2</v>
      </c>
      <c r="BN26" s="44">
        <f t="shared" si="5"/>
        <v>3</v>
      </c>
      <c r="BO26" s="64"/>
      <c r="BP26" s="6"/>
      <c r="BQ26" s="56">
        <v>6</v>
      </c>
      <c r="BR26" s="57">
        <v>9</v>
      </c>
      <c r="BS26" s="117">
        <v>12</v>
      </c>
      <c r="BT26" s="127">
        <v>21</v>
      </c>
      <c r="BU26" s="140"/>
      <c r="BV26" s="167"/>
      <c r="BW26" s="187">
        <v>21</v>
      </c>
      <c r="BX26" s="67">
        <v>258</v>
      </c>
      <c r="BY26" s="117"/>
      <c r="BZ26" s="127"/>
      <c r="CA26" s="141"/>
      <c r="CB26" s="170"/>
      <c r="CC26" s="190">
        <v>5</v>
      </c>
      <c r="CD26" s="58">
        <v>6</v>
      </c>
      <c r="CE26" s="117"/>
      <c r="CF26" s="127"/>
      <c r="CG26" s="152"/>
      <c r="CH26" s="170"/>
      <c r="CI26" s="28">
        <f t="shared" si="6"/>
        <v>44</v>
      </c>
      <c r="CJ26" s="45">
        <f t="shared" si="7"/>
        <v>294</v>
      </c>
      <c r="CK26" s="64"/>
      <c r="CL26" s="60"/>
      <c r="CM26" s="66">
        <f t="shared" si="8"/>
        <v>1493</v>
      </c>
      <c r="CN26" s="60"/>
      <c r="CO26" s="117">
        <v>84</v>
      </c>
      <c r="CP26" s="170">
        <v>190</v>
      </c>
      <c r="CQ26" s="138"/>
      <c r="CR26" s="167"/>
      <c r="CS26" s="187">
        <v>84</v>
      </c>
      <c r="CT26" s="67">
        <v>190</v>
      </c>
    </row>
    <row r="27" spans="1:98" ht="15.75" thickBot="1" x14ac:dyDescent="0.3">
      <c r="A27" s="48">
        <v>45923</v>
      </c>
      <c r="B27" s="63" t="s">
        <v>15</v>
      </c>
      <c r="C27" s="50">
        <v>156</v>
      </c>
      <c r="D27" s="51">
        <v>287</v>
      </c>
      <c r="E27" s="120"/>
      <c r="F27" s="167"/>
      <c r="G27" s="138"/>
      <c r="H27" s="148"/>
      <c r="I27" s="50"/>
      <c r="J27" s="51"/>
      <c r="K27" s="120"/>
      <c r="L27" s="167"/>
      <c r="M27" s="162"/>
      <c r="N27" s="157"/>
      <c r="O27" s="50"/>
      <c r="P27" s="42"/>
      <c r="Q27" s="117">
        <v>1</v>
      </c>
      <c r="R27" s="170">
        <v>4</v>
      </c>
      <c r="S27" s="137"/>
      <c r="T27" s="174"/>
      <c r="U27" s="109">
        <f t="shared" si="0"/>
        <v>157</v>
      </c>
      <c r="V27" s="31">
        <f t="shared" si="1"/>
        <v>291</v>
      </c>
      <c r="W27" s="64"/>
      <c r="X27" s="6"/>
      <c r="Y27" s="54"/>
      <c r="Z27" s="51"/>
      <c r="AA27" s="120"/>
      <c r="AB27" s="167"/>
      <c r="AC27" s="138"/>
      <c r="AD27" s="148"/>
      <c r="AE27" s="50">
        <v>532</v>
      </c>
      <c r="AF27" s="51">
        <v>2959</v>
      </c>
      <c r="AG27" s="120"/>
      <c r="AH27" s="121"/>
      <c r="AI27" s="132"/>
      <c r="AJ27" s="167"/>
      <c r="AK27" s="50">
        <v>731</v>
      </c>
      <c r="AL27" s="65">
        <v>1815</v>
      </c>
      <c r="AM27" s="120"/>
      <c r="AN27" s="167"/>
      <c r="AO27" s="138"/>
      <c r="AP27" s="148"/>
      <c r="AQ27" s="108">
        <f t="shared" si="2"/>
        <v>1263</v>
      </c>
      <c r="AR27" s="38">
        <f t="shared" si="3"/>
        <v>4774</v>
      </c>
      <c r="AS27" s="64"/>
      <c r="AT27" s="6"/>
      <c r="AU27" s="40"/>
      <c r="AV27" s="41"/>
      <c r="AW27" s="117"/>
      <c r="AX27" s="170"/>
      <c r="AY27" s="162"/>
      <c r="AZ27" s="170"/>
      <c r="BA27" s="124"/>
      <c r="BB27" s="41"/>
      <c r="BC27" s="117"/>
      <c r="BD27" s="141"/>
      <c r="BE27" s="179"/>
      <c r="BF27" s="170"/>
      <c r="BG27" s="124"/>
      <c r="BH27" s="42"/>
      <c r="BI27" s="117"/>
      <c r="BJ27" s="170"/>
      <c r="BK27" s="162"/>
      <c r="BL27" s="170"/>
      <c r="BM27" s="28">
        <f t="shared" si="4"/>
        <v>0</v>
      </c>
      <c r="BN27" s="44">
        <f t="shared" si="5"/>
        <v>0</v>
      </c>
      <c r="BO27" s="64"/>
      <c r="BP27" s="6"/>
      <c r="BQ27" s="56">
        <v>18</v>
      </c>
      <c r="BR27" s="57">
        <v>30</v>
      </c>
      <c r="BS27" s="117"/>
      <c r="BT27" s="127"/>
      <c r="BU27" s="140"/>
      <c r="BV27" s="167"/>
      <c r="BW27" s="187">
        <v>13</v>
      </c>
      <c r="BX27" s="67">
        <v>170</v>
      </c>
      <c r="BY27" s="117"/>
      <c r="BZ27" s="127"/>
      <c r="CA27" s="141"/>
      <c r="CB27" s="170"/>
      <c r="CC27" s="190">
        <v>0</v>
      </c>
      <c r="CD27" s="58">
        <v>0</v>
      </c>
      <c r="CE27" s="117"/>
      <c r="CF27" s="127"/>
      <c r="CG27" s="152"/>
      <c r="CH27" s="170"/>
      <c r="CI27" s="28">
        <f t="shared" si="6"/>
        <v>31</v>
      </c>
      <c r="CJ27" s="45">
        <f t="shared" si="7"/>
        <v>200</v>
      </c>
      <c r="CK27" s="64"/>
      <c r="CL27" s="60"/>
      <c r="CM27" s="66">
        <f t="shared" si="8"/>
        <v>174</v>
      </c>
      <c r="CN27" s="60"/>
      <c r="CO27" s="117"/>
      <c r="CP27" s="170"/>
      <c r="CQ27" s="138"/>
      <c r="CR27" s="167"/>
      <c r="CS27" s="187">
        <v>59</v>
      </c>
      <c r="CT27" s="67">
        <v>106</v>
      </c>
    </row>
    <row r="28" spans="1:98" ht="15.75" thickBot="1" x14ac:dyDescent="0.3">
      <c r="A28" s="62">
        <v>45924</v>
      </c>
      <c r="B28" s="63" t="s">
        <v>16</v>
      </c>
      <c r="C28" s="50">
        <v>134</v>
      </c>
      <c r="D28" s="51">
        <v>247</v>
      </c>
      <c r="E28" s="120"/>
      <c r="F28" s="167"/>
      <c r="G28" s="138"/>
      <c r="H28" s="148"/>
      <c r="I28" s="50">
        <v>61</v>
      </c>
      <c r="J28" s="51">
        <v>344</v>
      </c>
      <c r="K28" s="120"/>
      <c r="L28" s="167"/>
      <c r="M28" s="162"/>
      <c r="N28" s="157"/>
      <c r="O28" s="50"/>
      <c r="P28" s="42"/>
      <c r="Q28" s="117">
        <v>2</v>
      </c>
      <c r="R28" s="170">
        <v>7</v>
      </c>
      <c r="S28" s="137"/>
      <c r="T28" s="174"/>
      <c r="U28" s="109">
        <f t="shared" si="0"/>
        <v>197</v>
      </c>
      <c r="V28" s="31">
        <f t="shared" si="1"/>
        <v>598</v>
      </c>
      <c r="W28" s="64"/>
      <c r="X28" s="6"/>
      <c r="Y28" s="54"/>
      <c r="Z28" s="51"/>
      <c r="AA28" s="120"/>
      <c r="AB28" s="167"/>
      <c r="AC28" s="138"/>
      <c r="AD28" s="148"/>
      <c r="AE28" s="50">
        <v>532</v>
      </c>
      <c r="AF28" s="51">
        <v>2959</v>
      </c>
      <c r="AG28" s="120"/>
      <c r="AH28" s="121"/>
      <c r="AI28" s="132"/>
      <c r="AJ28" s="167"/>
      <c r="AK28" s="50">
        <v>691</v>
      </c>
      <c r="AL28" s="65">
        <v>1739</v>
      </c>
      <c r="AM28" s="120"/>
      <c r="AN28" s="167"/>
      <c r="AO28" s="138"/>
      <c r="AP28" s="148"/>
      <c r="AQ28" s="108">
        <f t="shared" si="2"/>
        <v>1223</v>
      </c>
      <c r="AR28" s="38">
        <f t="shared" si="3"/>
        <v>4698</v>
      </c>
      <c r="AS28" s="64"/>
      <c r="AT28" s="6"/>
      <c r="AU28" s="40"/>
      <c r="AV28" s="41"/>
      <c r="AW28" s="117"/>
      <c r="AX28" s="170"/>
      <c r="AY28" s="162"/>
      <c r="AZ28" s="170"/>
      <c r="BA28" s="124"/>
      <c r="BB28" s="41"/>
      <c r="BC28" s="117"/>
      <c r="BD28" s="141"/>
      <c r="BE28" s="179"/>
      <c r="BF28" s="170"/>
      <c r="BG28" s="124"/>
      <c r="BH28" s="42"/>
      <c r="BI28" s="117"/>
      <c r="BJ28" s="170"/>
      <c r="BK28" s="162">
        <v>1</v>
      </c>
      <c r="BL28" s="170">
        <v>1</v>
      </c>
      <c r="BM28" s="28">
        <f t="shared" si="4"/>
        <v>1</v>
      </c>
      <c r="BN28" s="44">
        <f t="shared" si="5"/>
        <v>1</v>
      </c>
      <c r="BO28" s="64"/>
      <c r="BP28" s="6"/>
      <c r="BQ28" s="56">
        <v>18</v>
      </c>
      <c r="BR28" s="57">
        <v>30</v>
      </c>
      <c r="BS28" s="117"/>
      <c r="BT28" s="127"/>
      <c r="BU28" s="140"/>
      <c r="BV28" s="167"/>
      <c r="BW28" s="187"/>
      <c r="BX28" s="67"/>
      <c r="BY28" s="117"/>
      <c r="BZ28" s="127"/>
      <c r="CA28" s="141"/>
      <c r="CB28" s="170"/>
      <c r="CC28" s="190">
        <v>0</v>
      </c>
      <c r="CD28" s="58">
        <v>0</v>
      </c>
      <c r="CE28" s="117"/>
      <c r="CF28" s="127"/>
      <c r="CG28" s="152"/>
      <c r="CH28" s="170"/>
      <c r="CI28" s="28">
        <f t="shared" si="6"/>
        <v>18</v>
      </c>
      <c r="CJ28" s="45">
        <f t="shared" si="7"/>
        <v>30</v>
      </c>
      <c r="CK28" s="64"/>
      <c r="CL28" s="60"/>
      <c r="CM28" s="66">
        <f t="shared" si="8"/>
        <v>152</v>
      </c>
      <c r="CN28" s="60"/>
      <c r="CO28" s="117"/>
      <c r="CP28" s="170"/>
      <c r="CQ28" s="138"/>
      <c r="CR28" s="167"/>
      <c r="CS28" s="187"/>
      <c r="CT28" s="57"/>
    </row>
    <row r="29" spans="1:98" ht="15.75" thickBot="1" x14ac:dyDescent="0.3">
      <c r="A29" s="48">
        <v>45925</v>
      </c>
      <c r="B29" s="68" t="s">
        <v>17</v>
      </c>
      <c r="C29" s="99">
        <v>128</v>
      </c>
      <c r="D29" s="74">
        <v>229</v>
      </c>
      <c r="E29" s="120"/>
      <c r="F29" s="167"/>
      <c r="G29" s="138">
        <v>2</v>
      </c>
      <c r="H29" s="148">
        <v>19</v>
      </c>
      <c r="I29" s="99">
        <v>61</v>
      </c>
      <c r="J29" s="74">
        <v>344</v>
      </c>
      <c r="K29" s="120"/>
      <c r="L29" s="167"/>
      <c r="M29" s="162"/>
      <c r="N29" s="157"/>
      <c r="O29" s="99">
        <v>264</v>
      </c>
      <c r="P29" s="100">
        <v>411</v>
      </c>
      <c r="Q29" s="117"/>
      <c r="R29" s="170"/>
      <c r="S29" s="137">
        <v>1</v>
      </c>
      <c r="T29" s="174">
        <v>1</v>
      </c>
      <c r="U29" s="211">
        <f t="shared" si="0"/>
        <v>456</v>
      </c>
      <c r="V29" s="212">
        <f t="shared" si="1"/>
        <v>1004</v>
      </c>
      <c r="W29" s="72"/>
      <c r="X29" s="6"/>
      <c r="Y29" s="99">
        <v>1279</v>
      </c>
      <c r="Z29" s="74">
        <v>2662</v>
      </c>
      <c r="AA29" s="120"/>
      <c r="AB29" s="167"/>
      <c r="AC29" s="138"/>
      <c r="AD29" s="148"/>
      <c r="AE29" s="99">
        <v>532</v>
      </c>
      <c r="AF29" s="74">
        <v>2959</v>
      </c>
      <c r="AG29" s="120"/>
      <c r="AH29" s="121"/>
      <c r="AI29" s="132"/>
      <c r="AJ29" s="167"/>
      <c r="AK29" s="99">
        <v>691</v>
      </c>
      <c r="AL29" s="75">
        <v>1739</v>
      </c>
      <c r="AM29" s="120"/>
      <c r="AN29" s="167"/>
      <c r="AO29" s="138"/>
      <c r="AP29" s="148"/>
      <c r="AQ29" s="125">
        <f t="shared" si="2"/>
        <v>2502</v>
      </c>
      <c r="AR29" s="210">
        <f t="shared" si="3"/>
        <v>7360</v>
      </c>
      <c r="AS29" s="72"/>
      <c r="AT29" s="6"/>
      <c r="AU29" s="76">
        <v>0</v>
      </c>
      <c r="AV29" s="77">
        <v>0</v>
      </c>
      <c r="AW29" s="117"/>
      <c r="AX29" s="170"/>
      <c r="AY29" s="162"/>
      <c r="AZ29" s="170"/>
      <c r="BA29" s="125">
        <v>0</v>
      </c>
      <c r="BB29" s="77">
        <v>0</v>
      </c>
      <c r="BC29" s="117"/>
      <c r="BD29" s="141"/>
      <c r="BE29" s="179"/>
      <c r="BF29" s="170"/>
      <c r="BG29" s="125">
        <v>110</v>
      </c>
      <c r="BH29" s="78">
        <v>359</v>
      </c>
      <c r="BI29" s="117"/>
      <c r="BJ29" s="170"/>
      <c r="BK29" s="162"/>
      <c r="BL29" s="170"/>
      <c r="BM29" s="69">
        <f t="shared" si="4"/>
        <v>110</v>
      </c>
      <c r="BN29" s="209">
        <f t="shared" si="5"/>
        <v>359</v>
      </c>
      <c r="BO29" s="79"/>
      <c r="BP29" s="6"/>
      <c r="BQ29" s="80">
        <v>16</v>
      </c>
      <c r="BR29" s="81">
        <v>27</v>
      </c>
      <c r="BS29" s="117"/>
      <c r="BT29" s="127"/>
      <c r="BU29" s="140"/>
      <c r="BV29" s="167"/>
      <c r="BW29" s="188">
        <v>0</v>
      </c>
      <c r="BX29" s="101">
        <v>0</v>
      </c>
      <c r="BY29" s="117"/>
      <c r="BZ29" s="127"/>
      <c r="CA29" s="141"/>
      <c r="CB29" s="170"/>
      <c r="CC29" s="192">
        <v>0</v>
      </c>
      <c r="CD29" s="82">
        <v>0</v>
      </c>
      <c r="CE29" s="117"/>
      <c r="CF29" s="127"/>
      <c r="CG29" s="152">
        <v>1</v>
      </c>
      <c r="CH29" s="170">
        <v>1</v>
      </c>
      <c r="CI29" s="69">
        <f t="shared" si="6"/>
        <v>17</v>
      </c>
      <c r="CJ29" s="213">
        <f t="shared" si="7"/>
        <v>28</v>
      </c>
      <c r="CK29" s="83"/>
      <c r="CL29" s="60"/>
      <c r="CM29" s="61">
        <f t="shared" si="8"/>
        <v>1423</v>
      </c>
      <c r="CN29" s="60"/>
      <c r="CO29" s="117"/>
      <c r="CP29" s="170"/>
      <c r="CQ29" s="138"/>
      <c r="CR29" s="167"/>
      <c r="CS29" s="188">
        <v>35</v>
      </c>
      <c r="CT29" s="81">
        <v>80</v>
      </c>
    </row>
    <row r="30" spans="1:98" ht="15.75" thickBot="1" x14ac:dyDescent="0.3">
      <c r="A30" s="62">
        <v>45926</v>
      </c>
      <c r="B30" s="68" t="s">
        <v>18</v>
      </c>
      <c r="C30" s="50">
        <v>108</v>
      </c>
      <c r="D30" s="51">
        <v>181</v>
      </c>
      <c r="E30" s="120"/>
      <c r="F30" s="167"/>
      <c r="G30" s="138"/>
      <c r="H30" s="148"/>
      <c r="I30" s="50"/>
      <c r="J30" s="51"/>
      <c r="K30" s="120"/>
      <c r="L30" s="167"/>
      <c r="M30" s="162"/>
      <c r="N30" s="157"/>
      <c r="O30" s="50">
        <v>240</v>
      </c>
      <c r="P30" s="42"/>
      <c r="Q30" s="117"/>
      <c r="R30" s="170"/>
      <c r="S30" s="137"/>
      <c r="T30" s="174"/>
      <c r="U30" s="109">
        <f t="shared" si="0"/>
        <v>348</v>
      </c>
      <c r="V30" s="31">
        <f t="shared" si="1"/>
        <v>181</v>
      </c>
      <c r="W30" s="53"/>
      <c r="X30" s="6"/>
      <c r="Y30" s="54"/>
      <c r="Z30" s="51"/>
      <c r="AA30" s="120"/>
      <c r="AB30" s="167"/>
      <c r="AC30" s="138"/>
      <c r="AD30" s="148"/>
      <c r="AE30" s="50">
        <v>486</v>
      </c>
      <c r="AF30" s="51">
        <v>2689</v>
      </c>
      <c r="AG30" s="120"/>
      <c r="AH30" s="121"/>
      <c r="AI30" s="132"/>
      <c r="AJ30" s="167"/>
      <c r="AK30" s="50">
        <v>691</v>
      </c>
      <c r="AL30" s="65">
        <v>1739</v>
      </c>
      <c r="AM30" s="120"/>
      <c r="AN30" s="167"/>
      <c r="AO30" s="138"/>
      <c r="AP30" s="148"/>
      <c r="AQ30" s="108">
        <f t="shared" si="2"/>
        <v>1177</v>
      </c>
      <c r="AR30" s="38">
        <f t="shared" si="3"/>
        <v>4428</v>
      </c>
      <c r="AS30" s="53"/>
      <c r="AT30" s="6"/>
      <c r="AU30" s="40"/>
      <c r="AV30" s="41"/>
      <c r="AW30" s="117"/>
      <c r="AX30" s="170"/>
      <c r="AY30" s="162"/>
      <c r="AZ30" s="170"/>
      <c r="BA30" s="124"/>
      <c r="BB30" s="41"/>
      <c r="BC30" s="117"/>
      <c r="BD30" s="141"/>
      <c r="BE30" s="179"/>
      <c r="BF30" s="170"/>
      <c r="BG30" s="124"/>
      <c r="BH30" s="42"/>
      <c r="BI30" s="117"/>
      <c r="BJ30" s="170"/>
      <c r="BK30" s="162"/>
      <c r="BL30" s="170"/>
      <c r="BM30" s="28">
        <f t="shared" si="4"/>
        <v>0</v>
      </c>
      <c r="BN30" s="44">
        <f t="shared" si="5"/>
        <v>0</v>
      </c>
      <c r="BO30" s="64"/>
      <c r="BP30" s="6"/>
      <c r="BQ30" s="56">
        <v>0</v>
      </c>
      <c r="BR30" s="57">
        <v>0</v>
      </c>
      <c r="BS30" s="117"/>
      <c r="BT30" s="127"/>
      <c r="BU30" s="140"/>
      <c r="BV30" s="167"/>
      <c r="BW30" s="187">
        <v>0</v>
      </c>
      <c r="BX30" s="67">
        <v>0</v>
      </c>
      <c r="BY30" s="117">
        <v>7</v>
      </c>
      <c r="BZ30" s="127">
        <v>41</v>
      </c>
      <c r="CA30" s="141"/>
      <c r="CB30" s="170"/>
      <c r="CC30" s="190">
        <v>0</v>
      </c>
      <c r="CD30" s="58">
        <v>0</v>
      </c>
      <c r="CE30" s="117">
        <v>26</v>
      </c>
      <c r="CF30" s="127">
        <v>107</v>
      </c>
      <c r="CG30" s="152"/>
      <c r="CH30" s="170"/>
      <c r="CI30" s="28">
        <f t="shared" si="6"/>
        <v>33</v>
      </c>
      <c r="CJ30" s="45">
        <f t="shared" si="7"/>
        <v>148</v>
      </c>
      <c r="CK30" s="59"/>
      <c r="CL30" s="60"/>
      <c r="CM30" s="61">
        <f t="shared" si="8"/>
        <v>108</v>
      </c>
      <c r="CN30" s="60"/>
      <c r="CO30" s="117"/>
      <c r="CP30" s="170"/>
      <c r="CQ30" s="138"/>
      <c r="CR30" s="167"/>
      <c r="CS30" s="187">
        <v>35</v>
      </c>
      <c r="CT30" s="57">
        <v>80</v>
      </c>
    </row>
    <row r="31" spans="1:98" ht="15.75" thickBot="1" x14ac:dyDescent="0.3">
      <c r="A31" s="87">
        <v>45927</v>
      </c>
      <c r="B31" s="86" t="s">
        <v>19</v>
      </c>
      <c r="C31" s="50"/>
      <c r="D31" s="51"/>
      <c r="E31" s="120"/>
      <c r="F31" s="167"/>
      <c r="G31" s="138"/>
      <c r="H31" s="148"/>
      <c r="I31" s="50"/>
      <c r="J31" s="51"/>
      <c r="K31" s="120"/>
      <c r="L31" s="167"/>
      <c r="M31" s="162"/>
      <c r="N31" s="157"/>
      <c r="O31" s="50"/>
      <c r="P31" s="42"/>
      <c r="Q31" s="117"/>
      <c r="R31" s="170"/>
      <c r="S31" s="137"/>
      <c r="T31" s="174"/>
      <c r="U31" s="109">
        <f t="shared" si="0"/>
        <v>0</v>
      </c>
      <c r="V31" s="31">
        <f t="shared" si="1"/>
        <v>0</v>
      </c>
      <c r="W31" s="64"/>
      <c r="X31" s="6"/>
      <c r="Y31" s="54"/>
      <c r="Z31" s="51"/>
      <c r="AA31" s="120"/>
      <c r="AB31" s="167"/>
      <c r="AC31" s="138"/>
      <c r="AD31" s="148"/>
      <c r="AE31" s="50">
        <v>486</v>
      </c>
      <c r="AF31" s="51">
        <v>2689</v>
      </c>
      <c r="AG31" s="120"/>
      <c r="AH31" s="121"/>
      <c r="AI31" s="132"/>
      <c r="AJ31" s="167"/>
      <c r="AK31" s="50">
        <v>691</v>
      </c>
      <c r="AL31" s="65">
        <v>1739</v>
      </c>
      <c r="AM31" s="120"/>
      <c r="AN31" s="167"/>
      <c r="AO31" s="138"/>
      <c r="AP31" s="148"/>
      <c r="AQ31" s="108">
        <f t="shared" si="2"/>
        <v>1177</v>
      </c>
      <c r="AR31" s="38">
        <f t="shared" si="3"/>
        <v>4428</v>
      </c>
      <c r="AS31" s="64"/>
      <c r="AT31" s="6"/>
      <c r="AU31" s="40"/>
      <c r="AV31" s="41"/>
      <c r="AW31" s="117"/>
      <c r="AX31" s="170"/>
      <c r="AY31" s="162"/>
      <c r="AZ31" s="170"/>
      <c r="BA31" s="124"/>
      <c r="BB31" s="41"/>
      <c r="BC31" s="117"/>
      <c r="BD31" s="141"/>
      <c r="BE31" s="179"/>
      <c r="BF31" s="170"/>
      <c r="BG31" s="124"/>
      <c r="BH31" s="42"/>
      <c r="BI31" s="117"/>
      <c r="BJ31" s="170"/>
      <c r="BK31" s="162"/>
      <c r="BL31" s="170"/>
      <c r="BM31" s="28">
        <f t="shared" si="4"/>
        <v>0</v>
      </c>
      <c r="BN31" s="44">
        <f t="shared" si="5"/>
        <v>0</v>
      </c>
      <c r="BO31" s="64"/>
      <c r="BP31" s="6"/>
      <c r="BQ31" s="56">
        <v>0</v>
      </c>
      <c r="BR31" s="57">
        <v>0</v>
      </c>
      <c r="BS31" s="117"/>
      <c r="BT31" s="127"/>
      <c r="BU31" s="140"/>
      <c r="BV31" s="167"/>
      <c r="BW31" s="187">
        <v>7</v>
      </c>
      <c r="BX31" s="67">
        <v>41</v>
      </c>
      <c r="BY31" s="117"/>
      <c r="BZ31" s="127"/>
      <c r="CA31" s="141"/>
      <c r="CB31" s="170"/>
      <c r="CC31" s="190">
        <v>26</v>
      </c>
      <c r="CD31" s="58">
        <v>107</v>
      </c>
      <c r="CE31" s="117"/>
      <c r="CF31" s="127"/>
      <c r="CG31" s="152"/>
      <c r="CH31" s="170"/>
      <c r="CI31" s="28">
        <f t="shared" si="6"/>
        <v>33</v>
      </c>
      <c r="CJ31" s="45">
        <f t="shared" si="7"/>
        <v>148</v>
      </c>
      <c r="CK31" s="64"/>
      <c r="CL31" s="60"/>
      <c r="CM31" s="66">
        <f t="shared" si="8"/>
        <v>0</v>
      </c>
      <c r="CN31" s="60"/>
      <c r="CO31" s="117"/>
      <c r="CP31" s="170"/>
      <c r="CQ31" s="138"/>
      <c r="CR31" s="167"/>
      <c r="CS31" s="187"/>
      <c r="CT31" s="67"/>
    </row>
    <row r="32" spans="1:98" ht="15.75" thickBot="1" x14ac:dyDescent="0.3">
      <c r="A32" s="85">
        <v>45928</v>
      </c>
      <c r="B32" s="88" t="s">
        <v>20</v>
      </c>
      <c r="C32" s="89"/>
      <c r="D32" s="35"/>
      <c r="E32" s="120"/>
      <c r="F32" s="167"/>
      <c r="G32" s="138"/>
      <c r="H32" s="148"/>
      <c r="I32" s="89"/>
      <c r="J32" s="35"/>
      <c r="K32" s="120"/>
      <c r="L32" s="167"/>
      <c r="M32" s="162"/>
      <c r="N32" s="157"/>
      <c r="O32" s="89"/>
      <c r="P32" s="93"/>
      <c r="Q32" s="117"/>
      <c r="R32" s="170"/>
      <c r="S32" s="137"/>
      <c r="T32" s="174"/>
      <c r="U32" s="109">
        <f t="shared" si="0"/>
        <v>0</v>
      </c>
      <c r="V32" s="31">
        <f t="shared" si="1"/>
        <v>0</v>
      </c>
      <c r="W32" s="91"/>
      <c r="X32" s="6"/>
      <c r="Y32" s="34"/>
      <c r="Z32" s="35"/>
      <c r="AA32" s="120"/>
      <c r="AB32" s="167"/>
      <c r="AC32" s="138"/>
      <c r="AD32" s="148"/>
      <c r="AE32" s="50">
        <v>486</v>
      </c>
      <c r="AF32" s="51">
        <v>2689</v>
      </c>
      <c r="AG32" s="120"/>
      <c r="AH32" s="121"/>
      <c r="AI32" s="132"/>
      <c r="AJ32" s="167"/>
      <c r="AK32" s="50">
        <v>691</v>
      </c>
      <c r="AL32" s="65">
        <v>1739</v>
      </c>
      <c r="AM32" s="120"/>
      <c r="AN32" s="167"/>
      <c r="AO32" s="138"/>
      <c r="AP32" s="148"/>
      <c r="AQ32" s="108">
        <f t="shared" si="2"/>
        <v>1177</v>
      </c>
      <c r="AR32" s="38">
        <f t="shared" si="3"/>
        <v>4428</v>
      </c>
      <c r="AS32" s="91"/>
      <c r="AT32" s="6"/>
      <c r="AU32" s="37"/>
      <c r="AV32" s="92"/>
      <c r="AW32" s="117"/>
      <c r="AX32" s="170"/>
      <c r="AY32" s="162"/>
      <c r="AZ32" s="170"/>
      <c r="BA32" s="108"/>
      <c r="BB32" s="92"/>
      <c r="BC32" s="117"/>
      <c r="BD32" s="141"/>
      <c r="BE32" s="179"/>
      <c r="BF32" s="170"/>
      <c r="BG32" s="108"/>
      <c r="BH32" s="93"/>
      <c r="BI32" s="117"/>
      <c r="BJ32" s="170"/>
      <c r="BK32" s="162"/>
      <c r="BL32" s="170"/>
      <c r="BM32" s="28">
        <f t="shared" si="4"/>
        <v>0</v>
      </c>
      <c r="BN32" s="44">
        <f t="shared" si="5"/>
        <v>0</v>
      </c>
      <c r="BO32" s="91"/>
      <c r="BP32" s="6"/>
      <c r="BQ32" s="94">
        <v>0</v>
      </c>
      <c r="BR32" s="95">
        <v>0</v>
      </c>
      <c r="BS32" s="117"/>
      <c r="BT32" s="127"/>
      <c r="BU32" s="140"/>
      <c r="BV32" s="167"/>
      <c r="BW32" s="189">
        <v>7</v>
      </c>
      <c r="BX32" s="96">
        <v>41</v>
      </c>
      <c r="BY32" s="117"/>
      <c r="BZ32" s="127"/>
      <c r="CA32" s="141"/>
      <c r="CB32" s="170"/>
      <c r="CC32" s="191">
        <v>26</v>
      </c>
      <c r="CD32" s="97">
        <v>107</v>
      </c>
      <c r="CE32" s="117"/>
      <c r="CF32" s="127"/>
      <c r="CG32" s="152"/>
      <c r="CH32" s="170"/>
      <c r="CI32" s="28">
        <f t="shared" si="6"/>
        <v>33</v>
      </c>
      <c r="CJ32" s="45">
        <f t="shared" si="7"/>
        <v>148</v>
      </c>
      <c r="CK32" s="91"/>
      <c r="CL32" s="60"/>
      <c r="CM32" s="98">
        <f t="shared" si="8"/>
        <v>0</v>
      </c>
      <c r="CN32" s="60"/>
      <c r="CO32" s="117"/>
      <c r="CP32" s="170"/>
      <c r="CQ32" s="138"/>
      <c r="CR32" s="167"/>
      <c r="CS32" s="189"/>
      <c r="CT32" s="96"/>
    </row>
    <row r="33" spans="1:98" ht="15.75" thickBot="1" x14ac:dyDescent="0.3">
      <c r="A33" s="48">
        <v>45929</v>
      </c>
      <c r="B33" s="68" t="s">
        <v>14</v>
      </c>
      <c r="C33" s="50">
        <v>128</v>
      </c>
      <c r="D33" s="51">
        <v>233</v>
      </c>
      <c r="E33" s="120">
        <v>20</v>
      </c>
      <c r="F33" s="167">
        <v>52</v>
      </c>
      <c r="G33" s="138"/>
      <c r="H33" s="148"/>
      <c r="I33" s="50">
        <v>65</v>
      </c>
      <c r="J33" s="51">
        <v>360</v>
      </c>
      <c r="K33" s="120">
        <v>4</v>
      </c>
      <c r="L33" s="167">
        <v>16</v>
      </c>
      <c r="M33" s="162"/>
      <c r="N33" s="157"/>
      <c r="O33" s="50">
        <v>245</v>
      </c>
      <c r="P33" s="42"/>
      <c r="Q33" s="117"/>
      <c r="R33" s="170"/>
      <c r="S33" s="117">
        <v>2</v>
      </c>
      <c r="T33" s="170">
        <v>6</v>
      </c>
      <c r="U33" s="109">
        <f t="shared" si="0"/>
        <v>464</v>
      </c>
      <c r="V33" s="31">
        <f t="shared" si="1"/>
        <v>667</v>
      </c>
      <c r="W33" s="64"/>
      <c r="X33" s="6"/>
      <c r="Y33" s="54"/>
      <c r="Z33" s="51"/>
      <c r="AA33" s="120">
        <v>124</v>
      </c>
      <c r="AB33" s="167">
        <v>225</v>
      </c>
      <c r="AC33" s="138">
        <v>1</v>
      </c>
      <c r="AD33" s="148">
        <v>4</v>
      </c>
      <c r="AE33" s="50">
        <v>436</v>
      </c>
      <c r="AF33" s="51">
        <v>2375</v>
      </c>
      <c r="AG33" s="120">
        <v>56</v>
      </c>
      <c r="AH33" s="121">
        <v>484</v>
      </c>
      <c r="AI33" s="132"/>
      <c r="AJ33" s="167"/>
      <c r="AK33" s="50">
        <v>691</v>
      </c>
      <c r="AL33" s="65">
        <v>1739</v>
      </c>
      <c r="AM33" s="120">
        <v>139</v>
      </c>
      <c r="AN33" s="167">
        <v>577</v>
      </c>
      <c r="AO33" s="138"/>
      <c r="AP33" s="148"/>
      <c r="AQ33" s="108">
        <f t="shared" si="2"/>
        <v>1447</v>
      </c>
      <c r="AR33" s="38">
        <f t="shared" si="3"/>
        <v>5404</v>
      </c>
      <c r="AS33" s="64"/>
      <c r="AT33" s="6"/>
      <c r="AU33" s="40">
        <v>0</v>
      </c>
      <c r="AV33" s="41">
        <v>0</v>
      </c>
      <c r="AW33" s="117"/>
      <c r="AX33" s="170"/>
      <c r="AY33" s="162">
        <v>2</v>
      </c>
      <c r="AZ33" s="170">
        <v>2</v>
      </c>
      <c r="BA33" s="124">
        <v>0</v>
      </c>
      <c r="BB33" s="41">
        <v>0</v>
      </c>
      <c r="BC33" s="117"/>
      <c r="BD33" s="141"/>
      <c r="BE33" s="179">
        <v>1</v>
      </c>
      <c r="BF33" s="170">
        <v>5</v>
      </c>
      <c r="BG33" s="124">
        <v>74</v>
      </c>
      <c r="BH33" s="42">
        <v>125</v>
      </c>
      <c r="BI33" s="117"/>
      <c r="BJ33" s="170"/>
      <c r="BK33" s="162">
        <v>2</v>
      </c>
      <c r="BL33" s="170">
        <v>2</v>
      </c>
      <c r="BM33" s="28">
        <f t="shared" si="4"/>
        <v>79</v>
      </c>
      <c r="BN33" s="44">
        <f t="shared" si="5"/>
        <v>134</v>
      </c>
      <c r="BO33" s="64"/>
      <c r="BP33" s="6"/>
      <c r="BQ33" s="67">
        <v>0</v>
      </c>
      <c r="BR33" s="67">
        <v>0</v>
      </c>
      <c r="BS33" s="117">
        <v>19</v>
      </c>
      <c r="BT33" s="127">
        <v>35</v>
      </c>
      <c r="BU33" s="141"/>
      <c r="BV33" s="170"/>
      <c r="BW33" s="190">
        <v>7</v>
      </c>
      <c r="BX33" s="67">
        <v>41</v>
      </c>
      <c r="BY33" s="117"/>
      <c r="BZ33" s="127"/>
      <c r="CA33" s="141"/>
      <c r="CB33" s="170"/>
      <c r="CC33" s="190">
        <v>26</v>
      </c>
      <c r="CD33" s="67">
        <v>107</v>
      </c>
      <c r="CE33" s="117"/>
      <c r="CF33" s="127"/>
      <c r="CG33" s="152"/>
      <c r="CH33" s="170"/>
      <c r="CI33" s="28">
        <f t="shared" si="6"/>
        <v>52</v>
      </c>
      <c r="CJ33" s="45">
        <f t="shared" si="7"/>
        <v>183</v>
      </c>
      <c r="CK33" s="64"/>
      <c r="CL33" s="60"/>
      <c r="CM33" s="66">
        <f t="shared" si="8"/>
        <v>128</v>
      </c>
      <c r="CN33" s="60"/>
      <c r="CO33" s="117"/>
      <c r="CP33" s="170"/>
      <c r="CQ33" s="138"/>
      <c r="CR33" s="167"/>
      <c r="CS33" s="187"/>
      <c r="CT33" s="67"/>
    </row>
    <row r="34" spans="1:98" ht="15.75" thickBot="1" x14ac:dyDescent="0.3">
      <c r="A34" s="62">
        <v>45930</v>
      </c>
      <c r="B34" s="63" t="s">
        <v>15</v>
      </c>
      <c r="C34" s="50">
        <v>90</v>
      </c>
      <c r="D34" s="51">
        <v>184</v>
      </c>
      <c r="E34" s="120"/>
      <c r="F34" s="167"/>
      <c r="G34" s="138"/>
      <c r="H34" s="148"/>
      <c r="I34" s="50">
        <v>65</v>
      </c>
      <c r="J34" s="51">
        <v>360</v>
      </c>
      <c r="K34" s="120"/>
      <c r="L34" s="167"/>
      <c r="M34" s="162"/>
      <c r="N34" s="157"/>
      <c r="O34" s="50">
        <v>229</v>
      </c>
      <c r="P34" s="42"/>
      <c r="Q34" s="117"/>
      <c r="R34" s="170"/>
      <c r="S34" s="117"/>
      <c r="T34" s="170"/>
      <c r="U34" s="109">
        <f t="shared" si="0"/>
        <v>384</v>
      </c>
      <c r="V34" s="31">
        <f t="shared" si="1"/>
        <v>544</v>
      </c>
      <c r="W34" s="64"/>
      <c r="X34" s="6"/>
      <c r="Y34" s="54"/>
      <c r="Z34" s="51"/>
      <c r="AA34" s="120"/>
      <c r="AB34" s="167"/>
      <c r="AC34" s="138"/>
      <c r="AD34" s="148"/>
      <c r="AE34" s="50">
        <v>474</v>
      </c>
      <c r="AF34" s="51">
        <v>2657</v>
      </c>
      <c r="AG34" s="120"/>
      <c r="AH34" s="121"/>
      <c r="AI34" s="132"/>
      <c r="AJ34" s="167"/>
      <c r="AK34" s="50">
        <v>788</v>
      </c>
      <c r="AL34" s="65">
        <v>2202</v>
      </c>
      <c r="AM34" s="120"/>
      <c r="AN34" s="167"/>
      <c r="AO34" s="162"/>
      <c r="AP34" s="170"/>
      <c r="AQ34" s="108">
        <f t="shared" si="2"/>
        <v>1262</v>
      </c>
      <c r="AR34" s="38">
        <f t="shared" si="3"/>
        <v>4859</v>
      </c>
      <c r="AS34" s="64"/>
      <c r="AT34" s="6"/>
      <c r="AU34" s="40"/>
      <c r="AV34" s="41"/>
      <c r="AW34" s="117"/>
      <c r="AX34" s="170"/>
      <c r="AY34" s="162"/>
      <c r="AZ34" s="170"/>
      <c r="BA34" s="124"/>
      <c r="BB34" s="41"/>
      <c r="BC34" s="117"/>
      <c r="BD34" s="141"/>
      <c r="BE34" s="179"/>
      <c r="BF34" s="170"/>
      <c r="BG34" s="124"/>
      <c r="BH34" s="42"/>
      <c r="BI34" s="117"/>
      <c r="BJ34" s="170"/>
      <c r="BK34" s="162"/>
      <c r="BL34" s="170"/>
      <c r="BM34" s="28">
        <f t="shared" si="4"/>
        <v>0</v>
      </c>
      <c r="BN34" s="44">
        <f t="shared" si="5"/>
        <v>0</v>
      </c>
      <c r="BO34" s="64"/>
      <c r="BP34" s="6"/>
      <c r="BQ34" s="67">
        <v>19</v>
      </c>
      <c r="BR34" s="67">
        <v>35</v>
      </c>
      <c r="BS34" s="117"/>
      <c r="BT34" s="127"/>
      <c r="BU34" s="117"/>
      <c r="BV34" s="170"/>
      <c r="BW34" s="190">
        <v>7</v>
      </c>
      <c r="BX34" s="67">
        <v>41</v>
      </c>
      <c r="BY34" s="117"/>
      <c r="BZ34" s="127"/>
      <c r="CA34" s="117"/>
      <c r="CB34" s="170"/>
      <c r="CC34" s="190">
        <v>26</v>
      </c>
      <c r="CD34" s="67">
        <v>107</v>
      </c>
      <c r="CE34" s="117"/>
      <c r="CF34" s="127"/>
      <c r="CG34" s="152"/>
      <c r="CH34" s="170"/>
      <c r="CI34" s="28">
        <f t="shared" si="6"/>
        <v>52</v>
      </c>
      <c r="CJ34" s="45">
        <f t="shared" si="7"/>
        <v>183</v>
      </c>
      <c r="CK34" s="64"/>
      <c r="CL34" s="60"/>
      <c r="CM34" s="66">
        <f t="shared" si="8"/>
        <v>109</v>
      </c>
      <c r="CN34" s="60"/>
      <c r="CO34" s="117"/>
      <c r="CP34" s="170"/>
      <c r="CQ34" s="117"/>
      <c r="CR34" s="170"/>
      <c r="CS34" s="187"/>
      <c r="CT34" s="67"/>
    </row>
    <row r="35" spans="1:98" ht="15.75" thickBot="1" x14ac:dyDescent="0.3">
      <c r="A35" s="103" t="s">
        <v>21</v>
      </c>
      <c r="B35" s="104"/>
      <c r="C35" s="28"/>
      <c r="D35" s="29"/>
      <c r="E35" s="113"/>
      <c r="F35" s="166"/>
      <c r="G35" s="143"/>
      <c r="H35" s="147"/>
      <c r="I35" s="28"/>
      <c r="J35" s="29"/>
      <c r="K35" s="113"/>
      <c r="L35" s="166"/>
      <c r="M35" s="143"/>
      <c r="N35" s="147"/>
      <c r="O35" s="28"/>
      <c r="P35" s="30"/>
      <c r="Q35" s="118"/>
      <c r="R35" s="171"/>
      <c r="S35" s="118"/>
      <c r="T35" s="171"/>
      <c r="U35" s="109">
        <f t="shared" si="0"/>
        <v>0</v>
      </c>
      <c r="V35" s="31">
        <f t="shared" si="1"/>
        <v>0</v>
      </c>
      <c r="W35" s="105"/>
      <c r="X35" s="3"/>
      <c r="Y35" s="43"/>
      <c r="Z35" s="29"/>
      <c r="AA35" s="113"/>
      <c r="AB35" s="166"/>
      <c r="AC35" s="143"/>
      <c r="AD35" s="147"/>
      <c r="AE35" s="28"/>
      <c r="AF35" s="29"/>
      <c r="AG35" s="113"/>
      <c r="AH35" s="114"/>
      <c r="AI35" s="131"/>
      <c r="AJ35" s="166"/>
      <c r="AK35" s="28"/>
      <c r="AL35" s="45"/>
      <c r="AM35" s="113"/>
      <c r="AN35" s="166"/>
      <c r="AO35" s="162"/>
      <c r="AP35" s="170"/>
      <c r="AQ35" s="108">
        <f t="shared" si="2"/>
        <v>0</v>
      </c>
      <c r="AR35" s="38">
        <f t="shared" si="3"/>
        <v>0</v>
      </c>
      <c r="AS35" s="32"/>
      <c r="AT35" s="3"/>
      <c r="AU35" s="40"/>
      <c r="AV35" s="41"/>
      <c r="AW35" s="117"/>
      <c r="AX35" s="170"/>
      <c r="AY35" s="162"/>
      <c r="AZ35" s="170"/>
      <c r="BA35" s="124"/>
      <c r="BB35" s="41"/>
      <c r="BC35" s="117"/>
      <c r="BD35" s="141"/>
      <c r="BE35" s="179"/>
      <c r="BF35" s="170"/>
      <c r="BG35" s="124"/>
      <c r="BH35" s="42"/>
      <c r="BI35" s="117"/>
      <c r="BJ35" s="170"/>
      <c r="BK35" s="162"/>
      <c r="BL35" s="170"/>
      <c r="BM35" s="28">
        <f t="shared" si="4"/>
        <v>0</v>
      </c>
      <c r="BN35" s="44">
        <f t="shared" si="5"/>
        <v>0</v>
      </c>
      <c r="BO35" s="32"/>
      <c r="BP35" s="3"/>
      <c r="BQ35" s="43">
        <v>19</v>
      </c>
      <c r="BR35" s="29">
        <v>35</v>
      </c>
      <c r="BS35" s="117"/>
      <c r="BT35" s="127"/>
      <c r="BU35" s="117"/>
      <c r="BV35" s="170"/>
      <c r="BW35" s="28">
        <v>7</v>
      </c>
      <c r="BX35" s="29">
        <v>41</v>
      </c>
      <c r="BY35" s="117"/>
      <c r="BZ35" s="127"/>
      <c r="CA35" s="117"/>
      <c r="CB35" s="170"/>
      <c r="CC35" s="28">
        <v>26</v>
      </c>
      <c r="CD35" s="45">
        <v>107</v>
      </c>
      <c r="CE35" s="117"/>
      <c r="CF35" s="127"/>
      <c r="CG35" s="152"/>
      <c r="CH35" s="170"/>
      <c r="CI35" s="28">
        <f t="shared" si="6"/>
        <v>52</v>
      </c>
      <c r="CJ35" s="45">
        <f t="shared" si="7"/>
        <v>183</v>
      </c>
      <c r="CK35" s="32"/>
      <c r="CL35" s="106"/>
      <c r="CM35" s="32">
        <v>0</v>
      </c>
      <c r="CN35" s="106"/>
      <c r="CO35" s="117"/>
      <c r="CP35" s="170"/>
      <c r="CQ35" s="117"/>
      <c r="CR35" s="170"/>
      <c r="CS35" s="28"/>
      <c r="CT35" s="32"/>
    </row>
    <row r="36" spans="1:98" ht="15.75" thickBot="1" x14ac:dyDescent="0.3">
      <c r="M36" s="195"/>
      <c r="N36" s="196"/>
      <c r="U36" s="109">
        <f t="shared" si="0"/>
        <v>0</v>
      </c>
      <c r="V36" s="31">
        <f t="shared" si="1"/>
        <v>0</v>
      </c>
      <c r="AQ36" s="108">
        <f t="shared" si="2"/>
        <v>0</v>
      </c>
      <c r="AR36" s="38">
        <f t="shared" si="3"/>
        <v>0</v>
      </c>
      <c r="BK36" s="195"/>
      <c r="BL36" s="197"/>
      <c r="BM36" s="28">
        <f t="shared" si="4"/>
        <v>0</v>
      </c>
      <c r="BN36" s="44">
        <f t="shared" si="5"/>
        <v>0</v>
      </c>
      <c r="BW36" s="228"/>
      <c r="BX36" s="229"/>
      <c r="CC36" s="228"/>
      <c r="CD36" s="230"/>
      <c r="CG36" s="198"/>
      <c r="CH36" s="197"/>
      <c r="CI36" s="28">
        <f t="shared" si="6"/>
        <v>0</v>
      </c>
      <c r="CJ36" s="45">
        <f t="shared" si="7"/>
        <v>0</v>
      </c>
    </row>
    <row r="37" spans="1:98" s="184" customFormat="1" x14ac:dyDescent="0.25">
      <c r="Y37" s="203"/>
      <c r="Z37" s="204"/>
      <c r="AA37" s="204"/>
      <c r="AB37" s="204"/>
      <c r="AC37" s="204"/>
      <c r="AD37" s="204"/>
      <c r="AE37" s="204"/>
    </row>
    <row r="38" spans="1:98" s="184" customFormat="1" x14ac:dyDescent="0.25">
      <c r="H38" s="184" t="s">
        <v>30</v>
      </c>
      <c r="I38" s="184" t="s">
        <v>31</v>
      </c>
      <c r="J38" s="184" t="s">
        <v>32</v>
      </c>
      <c r="Y38" s="205"/>
    </row>
    <row r="39" spans="1:98" s="184" customFormat="1" x14ac:dyDescent="0.25">
      <c r="H39" s="214">
        <v>45925</v>
      </c>
      <c r="I39" s="184">
        <f>U29+AQ29+BM29+CI29</f>
        <v>3085</v>
      </c>
      <c r="J39" s="184">
        <f>V29+AR29+BN29+CJ29</f>
        <v>8751</v>
      </c>
      <c r="Y39" s="206"/>
    </row>
    <row r="40" spans="1:98" s="184" customFormat="1" x14ac:dyDescent="0.25"/>
    <row r="41" spans="1:98" s="184" customFormat="1" x14ac:dyDescent="0.25"/>
    <row r="42" spans="1:98" s="184" customFormat="1" x14ac:dyDescent="0.25"/>
    <row r="43" spans="1:98" s="184" customFormat="1" x14ac:dyDescent="0.25"/>
    <row r="44" spans="1:98" s="184" customFormat="1" x14ac:dyDescent="0.25"/>
    <row r="45" spans="1:98" s="184" customFormat="1" x14ac:dyDescent="0.25"/>
    <row r="46" spans="1:98" s="184" customFormat="1" x14ac:dyDescent="0.25"/>
    <row r="47" spans="1:98" s="184" customFormat="1" x14ac:dyDescent="0.25"/>
    <row r="48" spans="1:98" s="184" customFormat="1" x14ac:dyDescent="0.25"/>
    <row r="49" s="184" customFormat="1" x14ac:dyDescent="0.25"/>
    <row r="50" s="184" customFormat="1" x14ac:dyDescent="0.25"/>
    <row r="51" s="184" customFormat="1" x14ac:dyDescent="0.25"/>
    <row r="52" s="184" customFormat="1" x14ac:dyDescent="0.25"/>
    <row r="53" s="184" customFormat="1" x14ac:dyDescent="0.25"/>
    <row r="54" s="184" customFormat="1" x14ac:dyDescent="0.25"/>
    <row r="55" s="184" customFormat="1" x14ac:dyDescent="0.25"/>
    <row r="56" s="184" customFormat="1" x14ac:dyDescent="0.25"/>
    <row r="57" s="184" customFormat="1" x14ac:dyDescent="0.25"/>
    <row r="58" s="184" customFormat="1" x14ac:dyDescent="0.25"/>
    <row r="59" s="184" customFormat="1" x14ac:dyDescent="0.25"/>
    <row r="60" s="184" customFormat="1" x14ac:dyDescent="0.25"/>
    <row r="61" s="184" customFormat="1" x14ac:dyDescent="0.25"/>
    <row r="62" s="184" customFormat="1" x14ac:dyDescent="0.25"/>
    <row r="63" s="184" customFormat="1" x14ac:dyDescent="0.25"/>
    <row r="64" s="184" customFormat="1" x14ac:dyDescent="0.25"/>
    <row r="65" s="184" customFormat="1" x14ac:dyDescent="0.25"/>
    <row r="66" s="184" customFormat="1" x14ac:dyDescent="0.25"/>
    <row r="67" s="184" customFormat="1" x14ac:dyDescent="0.25"/>
    <row r="68" s="184" customFormat="1" x14ac:dyDescent="0.25"/>
    <row r="69" s="184" customFormat="1" x14ac:dyDescent="0.25"/>
    <row r="70" s="184" customFormat="1" x14ac:dyDescent="0.25"/>
    <row r="71" s="184" customFormat="1" x14ac:dyDescent="0.25"/>
    <row r="72" s="184" customFormat="1" x14ac:dyDescent="0.25"/>
    <row r="73" s="184" customFormat="1" x14ac:dyDescent="0.25"/>
    <row r="74" s="184" customFormat="1" x14ac:dyDescent="0.25"/>
    <row r="75" s="184" customFormat="1" x14ac:dyDescent="0.25"/>
    <row r="76" s="184" customFormat="1" x14ac:dyDescent="0.25"/>
    <row r="77" s="184" customFormat="1" x14ac:dyDescent="0.25"/>
    <row r="78" s="184" customFormat="1" x14ac:dyDescent="0.25"/>
    <row r="79" s="184" customFormat="1" x14ac:dyDescent="0.25"/>
    <row r="80" s="184" customFormat="1" x14ac:dyDescent="0.25"/>
    <row r="81" spans="50:53" s="184" customFormat="1" x14ac:dyDescent="0.25"/>
    <row r="82" spans="50:53" s="184" customFormat="1" x14ac:dyDescent="0.25">
      <c r="AX82" s="185"/>
      <c r="AY82" s="163"/>
      <c r="AZ82" s="185"/>
      <c r="BA82" s="163"/>
    </row>
    <row r="83" spans="50:53" s="184" customFormat="1" x14ac:dyDescent="0.25">
      <c r="AX83" s="185"/>
      <c r="AY83" s="163"/>
      <c r="AZ83" s="185"/>
      <c r="BA83" s="163"/>
    </row>
    <row r="84" spans="50:53" s="184" customFormat="1" x14ac:dyDescent="0.25">
      <c r="AX84" s="185"/>
      <c r="AY84" s="163"/>
      <c r="AZ84" s="185"/>
      <c r="BA84" s="163"/>
    </row>
    <row r="85" spans="50:53" s="184" customFormat="1" x14ac:dyDescent="0.25">
      <c r="AX85" s="185"/>
      <c r="AY85" s="163"/>
      <c r="AZ85" s="185"/>
      <c r="BA85" s="163"/>
    </row>
    <row r="86" spans="50:53" s="184" customFormat="1" x14ac:dyDescent="0.25">
      <c r="AX86" s="185"/>
      <c r="AY86" s="163"/>
      <c r="AZ86" s="185"/>
      <c r="BA86" s="163"/>
    </row>
    <row r="87" spans="50:53" s="184" customFormat="1" x14ac:dyDescent="0.25">
      <c r="AX87" s="185"/>
      <c r="AY87" s="163"/>
      <c r="AZ87" s="185"/>
      <c r="BA87" s="163"/>
    </row>
    <row r="88" spans="50:53" s="184" customFormat="1" x14ac:dyDescent="0.25">
      <c r="AX88" s="185"/>
      <c r="AY88" s="163"/>
      <c r="AZ88" s="185"/>
      <c r="BA88" s="163"/>
    </row>
    <row r="89" spans="50:53" s="184" customFormat="1" x14ac:dyDescent="0.25">
      <c r="AX89" s="185"/>
      <c r="AY89" s="163"/>
      <c r="AZ89" s="185"/>
      <c r="BA89" s="163"/>
    </row>
    <row r="90" spans="50:53" s="184" customFormat="1" x14ac:dyDescent="0.25">
      <c r="AX90" s="185"/>
      <c r="AY90" s="163"/>
      <c r="AZ90" s="185"/>
      <c r="BA90" s="163"/>
    </row>
    <row r="91" spans="50:53" s="184" customFormat="1" x14ac:dyDescent="0.25">
      <c r="AX91" s="185"/>
      <c r="AY91" s="163"/>
      <c r="AZ91" s="185"/>
      <c r="BA91" s="163"/>
    </row>
    <row r="92" spans="50:53" s="184" customFormat="1" x14ac:dyDescent="0.25">
      <c r="AX92" s="185"/>
      <c r="AY92" s="163"/>
      <c r="AZ92" s="185"/>
      <c r="BA92" s="163"/>
    </row>
    <row r="93" spans="50:53" s="184" customFormat="1" x14ac:dyDescent="0.25">
      <c r="AX93" s="185"/>
      <c r="AY93" s="163"/>
      <c r="AZ93" s="185"/>
      <c r="BA93" s="163"/>
    </row>
    <row r="94" spans="50:53" s="184" customFormat="1" x14ac:dyDescent="0.25">
      <c r="AX94" s="185"/>
      <c r="AY94" s="163"/>
      <c r="AZ94" s="185"/>
      <c r="BA94" s="163"/>
    </row>
    <row r="95" spans="50:53" s="184" customFormat="1" x14ac:dyDescent="0.25">
      <c r="AX95" s="185"/>
      <c r="AY95" s="163"/>
      <c r="AZ95" s="185"/>
      <c r="BA95" s="163"/>
    </row>
    <row r="96" spans="50:53" s="184" customFormat="1" x14ac:dyDescent="0.25">
      <c r="AX96" s="185"/>
      <c r="AY96" s="163"/>
      <c r="AZ96" s="185"/>
      <c r="BA96" s="163"/>
    </row>
    <row r="97" spans="50:53" s="184" customFormat="1" x14ac:dyDescent="0.25">
      <c r="AX97" s="185"/>
      <c r="AY97" s="163"/>
      <c r="AZ97" s="185"/>
      <c r="BA97" s="163"/>
    </row>
    <row r="98" spans="50:53" s="184" customFormat="1" x14ac:dyDescent="0.25">
      <c r="AX98" s="185"/>
      <c r="AY98" s="163"/>
      <c r="AZ98" s="185"/>
      <c r="BA98" s="163"/>
    </row>
    <row r="99" spans="50:53" s="184" customFormat="1" x14ac:dyDescent="0.25">
      <c r="AX99" s="185"/>
      <c r="AY99" s="163"/>
      <c r="AZ99" s="185"/>
      <c r="BA99" s="163"/>
    </row>
    <row r="100" spans="50:53" s="184" customFormat="1" x14ac:dyDescent="0.25">
      <c r="AX100" s="185"/>
      <c r="AY100" s="163"/>
      <c r="AZ100" s="185"/>
      <c r="BA100" s="163"/>
    </row>
    <row r="101" spans="50:53" s="184" customFormat="1" x14ac:dyDescent="0.25">
      <c r="AX101" s="185"/>
      <c r="AY101" s="163"/>
      <c r="AZ101" s="185"/>
      <c r="BA101" s="163"/>
    </row>
    <row r="102" spans="50:53" s="184" customFormat="1" x14ac:dyDescent="0.25">
      <c r="AX102" s="185"/>
      <c r="AY102" s="163"/>
      <c r="AZ102" s="185"/>
      <c r="BA102" s="163"/>
    </row>
    <row r="103" spans="50:53" s="184" customFormat="1" x14ac:dyDescent="0.25">
      <c r="AX103" s="185"/>
      <c r="AY103" s="163"/>
      <c r="AZ103" s="185"/>
      <c r="BA103" s="163"/>
    </row>
    <row r="104" spans="50:53" s="184" customFormat="1" x14ac:dyDescent="0.25">
      <c r="AX104" s="185"/>
      <c r="AY104" s="163"/>
      <c r="AZ104" s="185"/>
      <c r="BA104" s="163"/>
    </row>
    <row r="105" spans="50:53" s="184" customFormat="1" x14ac:dyDescent="0.25">
      <c r="AX105" s="185"/>
      <c r="AY105" s="163"/>
      <c r="AZ105" s="185"/>
      <c r="BA105" s="163"/>
    </row>
    <row r="106" spans="50:53" s="184" customFormat="1" x14ac:dyDescent="0.25">
      <c r="AX106" s="185"/>
      <c r="AY106" s="163"/>
      <c r="AZ106" s="185"/>
      <c r="BA106" s="163"/>
    </row>
    <row r="107" spans="50:53" s="184" customFormat="1" x14ac:dyDescent="0.25">
      <c r="AX107" s="185"/>
      <c r="AY107" s="163"/>
      <c r="AZ107" s="185"/>
      <c r="BA107" s="163"/>
    </row>
    <row r="108" spans="50:53" s="184" customFormat="1" x14ac:dyDescent="0.25">
      <c r="AX108" s="185"/>
      <c r="AY108" s="163"/>
      <c r="AZ108" s="185"/>
      <c r="BA108" s="163"/>
    </row>
    <row r="109" spans="50:53" s="184" customFormat="1" x14ac:dyDescent="0.25">
      <c r="AX109" s="185"/>
      <c r="AY109" s="163"/>
      <c r="AZ109" s="185"/>
      <c r="BA109" s="163"/>
    </row>
    <row r="110" spans="50:53" s="184" customFormat="1" x14ac:dyDescent="0.25">
      <c r="AX110" s="185"/>
      <c r="AY110" s="163"/>
      <c r="AZ110" s="185"/>
      <c r="BA110" s="163"/>
    </row>
    <row r="111" spans="50:53" s="184" customFormat="1" x14ac:dyDescent="0.25">
      <c r="AX111" s="185"/>
      <c r="AY111" s="163"/>
      <c r="AZ111" s="185"/>
      <c r="BA111" s="163"/>
    </row>
    <row r="112" spans="50:53" s="184" customFormat="1" x14ac:dyDescent="0.25">
      <c r="AX112" s="185"/>
      <c r="AY112" s="163"/>
      <c r="AZ112" s="185"/>
      <c r="BA112" s="163"/>
    </row>
    <row r="113" spans="50:53" s="184" customFormat="1" x14ac:dyDescent="0.25">
      <c r="AX113" s="185"/>
      <c r="AY113" s="163"/>
      <c r="AZ113" s="185"/>
      <c r="BA113" s="163"/>
    </row>
    <row r="114" spans="50:53" s="184" customFormat="1" x14ac:dyDescent="0.25">
      <c r="AX114" s="185"/>
      <c r="AY114" s="163"/>
      <c r="AZ114" s="185"/>
      <c r="BA114" s="163"/>
    </row>
    <row r="115" spans="50:53" s="184" customFormat="1" x14ac:dyDescent="0.25">
      <c r="AX115" s="185"/>
      <c r="AY115" s="163"/>
      <c r="AZ115" s="185"/>
      <c r="BA115" s="163"/>
    </row>
    <row r="116" spans="50:53" s="184" customFormat="1" x14ac:dyDescent="0.25">
      <c r="AX116" s="185"/>
      <c r="AY116" s="163"/>
      <c r="AZ116" s="185"/>
      <c r="BA116" s="163"/>
    </row>
    <row r="117" spans="50:53" s="184" customFormat="1" x14ac:dyDescent="0.25">
      <c r="AX117" s="185"/>
      <c r="AY117" s="163"/>
      <c r="AZ117" s="185"/>
      <c r="BA117" s="163"/>
    </row>
    <row r="118" spans="50:53" s="184" customFormat="1" x14ac:dyDescent="0.25">
      <c r="AX118" s="185"/>
      <c r="AY118" s="163"/>
      <c r="AZ118" s="185"/>
      <c r="BA118" s="163"/>
    </row>
    <row r="119" spans="50:53" s="184" customFormat="1" x14ac:dyDescent="0.25">
      <c r="AX119" s="185"/>
      <c r="AY119" s="163"/>
      <c r="AZ119" s="185"/>
      <c r="BA119" s="163"/>
    </row>
    <row r="120" spans="50:53" s="184" customFormat="1" x14ac:dyDescent="0.25">
      <c r="AX120" s="185"/>
      <c r="AY120" s="163"/>
      <c r="AZ120" s="185"/>
      <c r="BA120" s="163"/>
    </row>
    <row r="121" spans="50:53" s="184" customFormat="1" x14ac:dyDescent="0.25">
      <c r="AX121" s="185"/>
      <c r="AY121" s="163"/>
      <c r="AZ121" s="185"/>
      <c r="BA121" s="163"/>
    </row>
    <row r="122" spans="50:53" s="184" customFormat="1" x14ac:dyDescent="0.25">
      <c r="AX122" s="185"/>
      <c r="AY122" s="163"/>
      <c r="AZ122" s="185"/>
      <c r="BA122" s="163"/>
    </row>
    <row r="123" spans="50:53" s="184" customFormat="1" x14ac:dyDescent="0.25">
      <c r="AX123" s="185"/>
      <c r="AY123" s="163"/>
      <c r="AZ123" s="185"/>
      <c r="BA123" s="163"/>
    </row>
    <row r="124" spans="50:53" s="184" customFormat="1" x14ac:dyDescent="0.25">
      <c r="AX124" s="185"/>
      <c r="AY124" s="163"/>
      <c r="AZ124" s="185"/>
      <c r="BA124" s="163"/>
    </row>
    <row r="125" spans="50:53" s="184" customFormat="1" x14ac:dyDescent="0.25">
      <c r="AX125" s="185"/>
      <c r="AY125" s="163"/>
      <c r="AZ125" s="185"/>
      <c r="BA125" s="163"/>
    </row>
    <row r="126" spans="50:53" s="184" customFormat="1" x14ac:dyDescent="0.25">
      <c r="AX126" s="185"/>
      <c r="AY126" s="163"/>
      <c r="AZ126" s="185"/>
      <c r="BA126" s="163"/>
    </row>
    <row r="127" spans="50:53" s="184" customFormat="1" x14ac:dyDescent="0.25">
      <c r="AX127" s="185"/>
      <c r="AY127" s="163"/>
      <c r="AZ127" s="185"/>
      <c r="BA127" s="163"/>
    </row>
    <row r="128" spans="50:53" s="184" customFormat="1" x14ac:dyDescent="0.25">
      <c r="AX128" s="185"/>
      <c r="AY128" s="163"/>
      <c r="AZ128" s="185"/>
      <c r="BA128" s="163"/>
    </row>
    <row r="129" spans="50:53" s="184" customFormat="1" x14ac:dyDescent="0.25">
      <c r="AX129" s="185"/>
      <c r="AY129" s="163"/>
      <c r="AZ129" s="185"/>
      <c r="BA129" s="163"/>
    </row>
    <row r="130" spans="50:53" s="184" customFormat="1" x14ac:dyDescent="0.25">
      <c r="AX130" s="185"/>
      <c r="AY130" s="163"/>
      <c r="AZ130" s="185"/>
      <c r="BA130" s="163"/>
    </row>
    <row r="131" spans="50:53" s="184" customFormat="1" x14ac:dyDescent="0.25">
      <c r="AX131" s="185"/>
      <c r="AY131" s="163"/>
      <c r="AZ131" s="185"/>
      <c r="BA131" s="163"/>
    </row>
    <row r="132" spans="50:53" s="184" customFormat="1" x14ac:dyDescent="0.25">
      <c r="AX132" s="185"/>
      <c r="AY132" s="163"/>
      <c r="AZ132" s="185"/>
      <c r="BA132" s="163"/>
    </row>
    <row r="133" spans="50:53" s="184" customFormat="1" x14ac:dyDescent="0.25">
      <c r="AX133" s="185"/>
      <c r="AY133" s="163"/>
      <c r="AZ133" s="185"/>
      <c r="BA133" s="163"/>
    </row>
    <row r="134" spans="50:53" s="184" customFormat="1" x14ac:dyDescent="0.25">
      <c r="AX134" s="185"/>
      <c r="AY134" s="163"/>
      <c r="AZ134" s="185"/>
      <c r="BA134" s="163"/>
    </row>
    <row r="135" spans="50:53" s="184" customFormat="1" x14ac:dyDescent="0.25">
      <c r="AX135" s="185"/>
      <c r="AY135" s="163"/>
      <c r="AZ135" s="185"/>
      <c r="BA135" s="163"/>
    </row>
    <row r="136" spans="50:53" s="184" customFormat="1" x14ac:dyDescent="0.25">
      <c r="AX136" s="185"/>
      <c r="AY136" s="163"/>
      <c r="AZ136" s="185"/>
      <c r="BA136" s="163"/>
    </row>
    <row r="137" spans="50:53" s="184" customFormat="1" x14ac:dyDescent="0.25">
      <c r="AX137" s="185"/>
      <c r="AY137" s="163"/>
      <c r="AZ137" s="185"/>
      <c r="BA137" s="163"/>
    </row>
    <row r="138" spans="50:53" s="184" customFormat="1" x14ac:dyDescent="0.25">
      <c r="AX138" s="185"/>
      <c r="AY138" s="163"/>
      <c r="AZ138" s="185"/>
      <c r="BA138" s="163"/>
    </row>
    <row r="139" spans="50:53" s="184" customFormat="1" x14ac:dyDescent="0.25">
      <c r="AX139" s="185"/>
      <c r="AY139" s="163"/>
      <c r="AZ139" s="185"/>
      <c r="BA139" s="163"/>
    </row>
    <row r="140" spans="50:53" s="184" customFormat="1" x14ac:dyDescent="0.25">
      <c r="AX140" s="185"/>
      <c r="AY140" s="163"/>
      <c r="AZ140" s="185"/>
      <c r="BA140" s="163"/>
    </row>
    <row r="141" spans="50:53" s="184" customFormat="1" x14ac:dyDescent="0.25">
      <c r="AX141" s="185"/>
      <c r="AY141" s="163"/>
      <c r="AZ141" s="185"/>
      <c r="BA141" s="163"/>
    </row>
    <row r="142" spans="50:53" s="184" customFormat="1" x14ac:dyDescent="0.25">
      <c r="AX142" s="185"/>
      <c r="AY142" s="163"/>
      <c r="AZ142" s="185"/>
      <c r="BA142" s="163"/>
    </row>
    <row r="143" spans="50:53" s="184" customFormat="1" x14ac:dyDescent="0.25">
      <c r="AX143" s="185"/>
      <c r="AY143" s="163"/>
      <c r="AZ143" s="185"/>
      <c r="BA143" s="163"/>
    </row>
    <row r="144" spans="50:53" s="184" customFormat="1" x14ac:dyDescent="0.25">
      <c r="AX144" s="185"/>
      <c r="AY144" s="163"/>
      <c r="AZ144" s="185"/>
      <c r="BA144" s="163"/>
    </row>
    <row r="145" spans="50:53" s="184" customFormat="1" x14ac:dyDescent="0.25">
      <c r="AX145" s="185"/>
      <c r="AY145" s="163"/>
      <c r="AZ145" s="185"/>
      <c r="BA145" s="163"/>
    </row>
    <row r="146" spans="50:53" s="184" customFormat="1" x14ac:dyDescent="0.25">
      <c r="AX146" s="185"/>
      <c r="AY146" s="163"/>
      <c r="AZ146" s="185"/>
      <c r="BA146" s="163"/>
    </row>
    <row r="147" spans="50:53" s="184" customFormat="1" x14ac:dyDescent="0.25">
      <c r="AX147" s="185"/>
      <c r="AY147" s="163"/>
      <c r="AZ147" s="185"/>
      <c r="BA147" s="163"/>
    </row>
    <row r="148" spans="50:53" s="184" customFormat="1" x14ac:dyDescent="0.25">
      <c r="AX148" s="185"/>
      <c r="AY148" s="163"/>
      <c r="AZ148" s="185"/>
      <c r="BA148" s="163"/>
    </row>
    <row r="149" spans="50:53" s="184" customFormat="1" x14ac:dyDescent="0.25">
      <c r="AX149" s="185"/>
      <c r="AY149" s="163"/>
      <c r="AZ149" s="185"/>
      <c r="BA149" s="163"/>
    </row>
    <row r="150" spans="50:53" s="184" customFormat="1" x14ac:dyDescent="0.25">
      <c r="AX150" s="185"/>
      <c r="AY150" s="163"/>
      <c r="AZ150" s="185"/>
      <c r="BA150" s="163"/>
    </row>
    <row r="151" spans="50:53" s="184" customFormat="1" x14ac:dyDescent="0.25">
      <c r="AX151" s="185"/>
      <c r="AY151" s="163"/>
      <c r="AZ151" s="185"/>
      <c r="BA151" s="163"/>
    </row>
    <row r="152" spans="50:53" s="184" customFormat="1" x14ac:dyDescent="0.25">
      <c r="AX152" s="185"/>
      <c r="AY152" s="163"/>
      <c r="AZ152" s="185"/>
      <c r="BA152" s="163"/>
    </row>
    <row r="153" spans="50:53" s="184" customFormat="1" x14ac:dyDescent="0.25">
      <c r="AX153" s="185"/>
      <c r="AY153" s="163"/>
      <c r="AZ153" s="185"/>
      <c r="BA153" s="163"/>
    </row>
    <row r="154" spans="50:53" s="184" customFormat="1" x14ac:dyDescent="0.25">
      <c r="AX154" s="185"/>
      <c r="AY154" s="163"/>
      <c r="AZ154" s="185"/>
      <c r="BA154" s="163"/>
    </row>
    <row r="155" spans="50:53" s="184" customFormat="1" x14ac:dyDescent="0.25">
      <c r="AX155" s="185"/>
      <c r="AY155" s="163"/>
      <c r="AZ155" s="185"/>
      <c r="BA155" s="163"/>
    </row>
    <row r="156" spans="50:53" s="184" customFormat="1" x14ac:dyDescent="0.25">
      <c r="AX156" s="185"/>
      <c r="AY156" s="163"/>
      <c r="AZ156" s="185"/>
      <c r="BA156" s="163"/>
    </row>
    <row r="157" spans="50:53" s="184" customFormat="1" x14ac:dyDescent="0.25">
      <c r="AX157" s="185"/>
      <c r="AY157" s="163"/>
      <c r="AZ157" s="185"/>
      <c r="BA157" s="163"/>
    </row>
    <row r="158" spans="50:53" s="184" customFormat="1" x14ac:dyDescent="0.25">
      <c r="AX158" s="185"/>
      <c r="AY158" s="163"/>
      <c r="AZ158" s="185"/>
      <c r="BA158" s="163"/>
    </row>
    <row r="159" spans="50:53" s="184" customFormat="1" x14ac:dyDescent="0.25">
      <c r="AX159" s="185"/>
      <c r="AY159" s="163"/>
      <c r="AZ159" s="185"/>
      <c r="BA159" s="163"/>
    </row>
    <row r="160" spans="50:53" s="184" customFormat="1" x14ac:dyDescent="0.25">
      <c r="AX160" s="185"/>
      <c r="AY160" s="163"/>
      <c r="AZ160" s="185"/>
      <c r="BA160" s="163"/>
    </row>
    <row r="161" spans="50:53" s="184" customFormat="1" x14ac:dyDescent="0.25">
      <c r="AX161" s="185"/>
      <c r="AY161" s="163"/>
      <c r="AZ161" s="185"/>
      <c r="BA161" s="163"/>
    </row>
    <row r="162" spans="50:53" s="184" customFormat="1" x14ac:dyDescent="0.25">
      <c r="AX162" s="185"/>
      <c r="AY162" s="163"/>
      <c r="AZ162" s="185"/>
      <c r="BA162" s="163"/>
    </row>
    <row r="163" spans="50:53" s="184" customFormat="1" x14ac:dyDescent="0.25">
      <c r="AX163" s="185"/>
      <c r="AY163" s="163"/>
      <c r="AZ163" s="185"/>
      <c r="BA163" s="163"/>
    </row>
    <row r="164" spans="50:53" s="184" customFormat="1" x14ac:dyDescent="0.25">
      <c r="AX164" s="185"/>
      <c r="AY164" s="163"/>
      <c r="AZ164" s="185"/>
      <c r="BA164" s="163"/>
    </row>
    <row r="165" spans="50:53" s="184" customFormat="1" x14ac:dyDescent="0.25">
      <c r="AX165" s="185"/>
      <c r="AY165" s="163"/>
      <c r="AZ165" s="185"/>
      <c r="BA165" s="163"/>
    </row>
    <row r="166" spans="50:53" s="184" customFormat="1" x14ac:dyDescent="0.25">
      <c r="AX166" s="185"/>
      <c r="AY166" s="163"/>
      <c r="AZ166" s="185"/>
      <c r="BA166" s="163"/>
    </row>
    <row r="167" spans="50:53" s="184" customFormat="1" x14ac:dyDescent="0.25">
      <c r="AX167" s="185"/>
      <c r="AY167" s="163"/>
      <c r="AZ167" s="185"/>
      <c r="BA167" s="163"/>
    </row>
    <row r="168" spans="50:53" s="184" customFormat="1" x14ac:dyDescent="0.25">
      <c r="AX168" s="185"/>
      <c r="AY168" s="163"/>
      <c r="AZ168" s="185"/>
      <c r="BA168" s="163"/>
    </row>
    <row r="169" spans="50:53" s="184" customFormat="1" x14ac:dyDescent="0.25">
      <c r="AX169" s="185"/>
      <c r="AY169" s="163"/>
      <c r="AZ169" s="185"/>
      <c r="BA169" s="163"/>
    </row>
    <row r="170" spans="50:53" s="184" customFormat="1" x14ac:dyDescent="0.25">
      <c r="AX170" s="185"/>
      <c r="AY170" s="163"/>
      <c r="AZ170" s="185"/>
      <c r="BA170" s="163"/>
    </row>
    <row r="171" spans="50:53" s="184" customFormat="1" x14ac:dyDescent="0.25">
      <c r="AX171" s="185"/>
      <c r="AY171" s="163"/>
      <c r="AZ171" s="185"/>
      <c r="BA171" s="163"/>
    </row>
    <row r="172" spans="50:53" s="184" customFormat="1" x14ac:dyDescent="0.25">
      <c r="AX172" s="185"/>
      <c r="AY172" s="163"/>
      <c r="AZ172" s="185"/>
      <c r="BA172" s="163"/>
    </row>
    <row r="173" spans="50:53" s="184" customFormat="1" x14ac:dyDescent="0.25">
      <c r="AX173" s="185"/>
      <c r="AY173" s="163"/>
      <c r="AZ173" s="185"/>
      <c r="BA173" s="163"/>
    </row>
    <row r="174" spans="50:53" s="184" customFormat="1" x14ac:dyDescent="0.25">
      <c r="AX174" s="185"/>
      <c r="AY174" s="163"/>
      <c r="AZ174" s="185"/>
      <c r="BA174" s="163"/>
    </row>
    <row r="175" spans="50:53" s="184" customFormat="1" x14ac:dyDescent="0.25">
      <c r="AX175" s="185"/>
      <c r="AY175" s="163"/>
      <c r="AZ175" s="185"/>
      <c r="BA175" s="163"/>
    </row>
    <row r="176" spans="50:53" s="184" customFormat="1" x14ac:dyDescent="0.25">
      <c r="AX176" s="185"/>
      <c r="AY176" s="163"/>
      <c r="AZ176" s="185"/>
      <c r="BA176" s="163"/>
    </row>
    <row r="177" spans="50:53" s="184" customFormat="1" x14ac:dyDescent="0.25">
      <c r="AX177" s="185"/>
      <c r="AY177" s="163"/>
      <c r="AZ177" s="185"/>
      <c r="BA177" s="163"/>
    </row>
    <row r="178" spans="50:53" s="184" customFormat="1" x14ac:dyDescent="0.25">
      <c r="AX178" s="185"/>
      <c r="AY178" s="163"/>
      <c r="AZ178" s="185"/>
      <c r="BA178" s="163"/>
    </row>
    <row r="179" spans="50:53" s="184" customFormat="1" x14ac:dyDescent="0.25">
      <c r="AX179" s="185"/>
      <c r="AY179" s="163"/>
      <c r="AZ179" s="185"/>
      <c r="BA179" s="163"/>
    </row>
    <row r="180" spans="50:53" s="184" customFormat="1" x14ac:dyDescent="0.25">
      <c r="AX180" s="185"/>
      <c r="AY180" s="163"/>
      <c r="AZ180" s="185"/>
      <c r="BA180" s="163"/>
    </row>
    <row r="181" spans="50:53" s="184" customFormat="1" x14ac:dyDescent="0.25">
      <c r="AX181" s="185"/>
      <c r="AY181" s="163"/>
      <c r="AZ181" s="185"/>
      <c r="BA181" s="163"/>
    </row>
    <row r="182" spans="50:53" s="184" customFormat="1" x14ac:dyDescent="0.25">
      <c r="AX182" s="185"/>
      <c r="AY182" s="163"/>
      <c r="AZ182" s="185"/>
      <c r="BA182" s="163"/>
    </row>
    <row r="183" spans="50:53" s="184" customFormat="1" x14ac:dyDescent="0.25">
      <c r="AX183" s="185"/>
      <c r="AY183" s="163"/>
      <c r="AZ183" s="185"/>
      <c r="BA183" s="163"/>
    </row>
    <row r="184" spans="50:53" s="184" customFormat="1" x14ac:dyDescent="0.25">
      <c r="AX184" s="185"/>
      <c r="AY184" s="163"/>
      <c r="AZ184" s="185"/>
      <c r="BA184" s="163"/>
    </row>
    <row r="185" spans="50:53" s="184" customFormat="1" x14ac:dyDescent="0.25">
      <c r="AX185" s="185"/>
      <c r="AY185" s="163"/>
      <c r="AZ185" s="185"/>
      <c r="BA185" s="163"/>
    </row>
    <row r="186" spans="50:53" s="184" customFormat="1" x14ac:dyDescent="0.25">
      <c r="AX186" s="185"/>
      <c r="AY186" s="163"/>
      <c r="AZ186" s="185"/>
      <c r="BA186" s="163"/>
    </row>
    <row r="187" spans="50:53" s="184" customFormat="1" x14ac:dyDescent="0.25">
      <c r="AX187" s="185"/>
      <c r="AY187" s="163"/>
      <c r="AZ187" s="185"/>
      <c r="BA187" s="163"/>
    </row>
    <row r="188" spans="50:53" s="184" customFormat="1" x14ac:dyDescent="0.25">
      <c r="AX188" s="185"/>
      <c r="AY188" s="163"/>
      <c r="AZ188" s="185"/>
      <c r="BA188" s="163"/>
    </row>
    <row r="189" spans="50:53" s="184" customFormat="1" x14ac:dyDescent="0.25">
      <c r="AX189" s="185"/>
      <c r="AY189" s="163"/>
      <c r="AZ189" s="185"/>
      <c r="BA189" s="163"/>
    </row>
    <row r="190" spans="50:53" s="184" customFormat="1" x14ac:dyDescent="0.25">
      <c r="AX190" s="185"/>
      <c r="AY190" s="163"/>
      <c r="AZ190" s="185"/>
      <c r="BA190" s="163"/>
    </row>
    <row r="191" spans="50:53" s="184" customFormat="1" x14ac:dyDescent="0.25">
      <c r="AX191" s="185"/>
      <c r="AY191" s="163"/>
      <c r="AZ191" s="185"/>
      <c r="BA191" s="163"/>
    </row>
    <row r="192" spans="50:53" s="184" customFormat="1" x14ac:dyDescent="0.25">
      <c r="AX192" s="185"/>
      <c r="AY192" s="163"/>
      <c r="AZ192" s="185"/>
      <c r="BA192" s="163"/>
    </row>
    <row r="193" spans="50:53" s="184" customFormat="1" x14ac:dyDescent="0.25">
      <c r="AX193" s="185"/>
      <c r="AY193" s="163"/>
      <c r="AZ193" s="185"/>
      <c r="BA193" s="163"/>
    </row>
    <row r="194" spans="50:53" s="184" customFormat="1" x14ac:dyDescent="0.25">
      <c r="AX194" s="185"/>
      <c r="AY194" s="163"/>
      <c r="AZ194" s="185"/>
      <c r="BA194" s="163"/>
    </row>
    <row r="195" spans="50:53" s="184" customFormat="1" x14ac:dyDescent="0.25">
      <c r="AX195" s="185"/>
      <c r="AY195" s="163"/>
      <c r="AZ195" s="185"/>
      <c r="BA195" s="163"/>
    </row>
    <row r="196" spans="50:53" s="184" customFormat="1" x14ac:dyDescent="0.25">
      <c r="AX196" s="185"/>
      <c r="AY196" s="163"/>
      <c r="AZ196" s="185"/>
      <c r="BA196" s="163"/>
    </row>
    <row r="197" spans="50:53" s="184" customFormat="1" x14ac:dyDescent="0.25">
      <c r="AX197" s="185"/>
      <c r="AY197" s="163"/>
      <c r="AZ197" s="185"/>
      <c r="BA197" s="163"/>
    </row>
    <row r="198" spans="50:53" s="184" customFormat="1" x14ac:dyDescent="0.25">
      <c r="AX198" s="185"/>
      <c r="AY198" s="163"/>
      <c r="AZ198" s="185"/>
      <c r="BA198" s="163"/>
    </row>
    <row r="199" spans="50:53" s="184" customFormat="1" x14ac:dyDescent="0.25">
      <c r="AX199" s="185"/>
      <c r="AY199" s="163"/>
      <c r="AZ199" s="185"/>
      <c r="BA199" s="163"/>
    </row>
    <row r="200" spans="50:53" s="184" customFormat="1" x14ac:dyDescent="0.25">
      <c r="AX200" s="185"/>
      <c r="AY200" s="163"/>
      <c r="AZ200" s="185"/>
      <c r="BA200" s="163"/>
    </row>
    <row r="201" spans="50:53" s="184" customFormat="1" x14ac:dyDescent="0.25">
      <c r="AX201" s="185"/>
      <c r="AY201" s="163"/>
      <c r="AZ201" s="185"/>
      <c r="BA201" s="163"/>
    </row>
    <row r="202" spans="50:53" s="184" customFormat="1" x14ac:dyDescent="0.25">
      <c r="AX202" s="185"/>
      <c r="AY202" s="163"/>
      <c r="AZ202" s="185"/>
      <c r="BA202" s="163"/>
    </row>
    <row r="203" spans="50:53" s="184" customFormat="1" x14ac:dyDescent="0.25">
      <c r="AX203" s="185"/>
      <c r="AY203" s="163"/>
      <c r="AZ203" s="185"/>
      <c r="BA203" s="163"/>
    </row>
    <row r="204" spans="50:53" s="184" customFormat="1" x14ac:dyDescent="0.25">
      <c r="AX204" s="185"/>
      <c r="AY204" s="163"/>
      <c r="AZ204" s="185"/>
      <c r="BA204" s="163"/>
    </row>
    <row r="205" spans="50:53" s="184" customFormat="1" x14ac:dyDescent="0.25">
      <c r="AX205" s="185"/>
      <c r="AY205" s="163"/>
      <c r="AZ205" s="185"/>
      <c r="BA205" s="163"/>
    </row>
    <row r="206" spans="50:53" s="184" customFormat="1" x14ac:dyDescent="0.25">
      <c r="AX206" s="185"/>
      <c r="AY206" s="163"/>
      <c r="AZ206" s="185"/>
      <c r="BA206" s="163"/>
    </row>
    <row r="207" spans="50:53" s="184" customFormat="1" x14ac:dyDescent="0.25">
      <c r="AX207" s="185"/>
      <c r="AY207" s="163"/>
      <c r="AZ207" s="185"/>
      <c r="BA207" s="163"/>
    </row>
    <row r="208" spans="50:53" s="184" customFormat="1" x14ac:dyDescent="0.25">
      <c r="AX208" s="185"/>
      <c r="AY208" s="163"/>
      <c r="AZ208" s="185"/>
      <c r="BA208" s="163"/>
    </row>
    <row r="209" spans="50:53" s="184" customFormat="1" x14ac:dyDescent="0.25">
      <c r="AX209" s="185"/>
      <c r="AY209" s="163"/>
      <c r="AZ209" s="185"/>
      <c r="BA209" s="163"/>
    </row>
    <row r="210" spans="50:53" s="184" customFormat="1" x14ac:dyDescent="0.25">
      <c r="AX210" s="185"/>
      <c r="AY210" s="163"/>
      <c r="AZ210" s="185"/>
      <c r="BA210" s="163"/>
    </row>
    <row r="211" spans="50:53" s="184" customFormat="1" x14ac:dyDescent="0.25">
      <c r="AX211" s="185"/>
      <c r="AY211" s="163"/>
      <c r="AZ211" s="185"/>
      <c r="BA211" s="163"/>
    </row>
    <row r="212" spans="50:53" s="184" customFormat="1" x14ac:dyDescent="0.25">
      <c r="AX212" s="185"/>
      <c r="AY212" s="163"/>
      <c r="AZ212" s="185"/>
      <c r="BA212" s="163"/>
    </row>
    <row r="213" spans="50:53" s="184" customFormat="1" x14ac:dyDescent="0.25">
      <c r="AX213" s="185"/>
      <c r="AY213" s="163"/>
      <c r="AZ213" s="185"/>
      <c r="BA213" s="163"/>
    </row>
    <row r="214" spans="50:53" s="184" customFormat="1" x14ac:dyDescent="0.25">
      <c r="AX214" s="185"/>
      <c r="AY214" s="163"/>
      <c r="AZ214" s="185"/>
      <c r="BA214" s="163"/>
    </row>
    <row r="215" spans="50:53" s="184" customFormat="1" x14ac:dyDescent="0.25">
      <c r="AX215" s="185"/>
      <c r="AY215" s="163"/>
      <c r="AZ215" s="185"/>
      <c r="BA215" s="163"/>
    </row>
    <row r="216" spans="50:53" s="184" customFormat="1" x14ac:dyDescent="0.25">
      <c r="AX216" s="185"/>
      <c r="AY216" s="163"/>
      <c r="AZ216" s="185"/>
      <c r="BA216" s="163"/>
    </row>
    <row r="217" spans="50:53" s="184" customFormat="1" x14ac:dyDescent="0.25">
      <c r="AX217" s="185"/>
      <c r="AY217" s="163"/>
      <c r="AZ217" s="185"/>
      <c r="BA217" s="163"/>
    </row>
    <row r="218" spans="50:53" s="184" customFormat="1" x14ac:dyDescent="0.25">
      <c r="AX218" s="185"/>
      <c r="AY218" s="163"/>
      <c r="AZ218" s="185"/>
      <c r="BA218" s="163"/>
    </row>
    <row r="219" spans="50:53" s="184" customFormat="1" x14ac:dyDescent="0.25">
      <c r="AX219" s="185"/>
      <c r="AY219" s="163"/>
      <c r="AZ219" s="185"/>
      <c r="BA219" s="163"/>
    </row>
    <row r="220" spans="50:53" s="184" customFormat="1" x14ac:dyDescent="0.25">
      <c r="AX220" s="185"/>
      <c r="AY220" s="163"/>
      <c r="AZ220" s="185"/>
      <c r="BA220" s="163"/>
    </row>
    <row r="221" spans="50:53" s="184" customFormat="1" x14ac:dyDescent="0.25">
      <c r="AX221" s="185"/>
      <c r="AY221" s="163"/>
      <c r="AZ221" s="185"/>
      <c r="BA221" s="163"/>
    </row>
    <row r="222" spans="50:53" s="184" customFormat="1" x14ac:dyDescent="0.25">
      <c r="AX222" s="185"/>
      <c r="AY222" s="163"/>
      <c r="AZ222" s="185"/>
      <c r="BA222" s="163"/>
    </row>
    <row r="223" spans="50:53" s="184" customFormat="1" x14ac:dyDescent="0.25">
      <c r="AX223" s="185"/>
      <c r="AY223" s="163"/>
      <c r="AZ223" s="185"/>
      <c r="BA223" s="163"/>
    </row>
    <row r="224" spans="50:53" s="184" customFormat="1" x14ac:dyDescent="0.25">
      <c r="AX224" s="185"/>
      <c r="AY224" s="163"/>
      <c r="AZ224" s="185"/>
      <c r="BA224" s="163"/>
    </row>
    <row r="225" spans="50:53" s="184" customFormat="1" x14ac:dyDescent="0.25">
      <c r="AX225" s="185"/>
      <c r="AY225" s="163"/>
      <c r="AZ225" s="185"/>
      <c r="BA225" s="163"/>
    </row>
    <row r="226" spans="50:53" s="184" customFormat="1" x14ac:dyDescent="0.25">
      <c r="AX226" s="185"/>
      <c r="AY226" s="163"/>
      <c r="AZ226" s="185"/>
      <c r="BA226" s="163"/>
    </row>
    <row r="227" spans="50:53" s="184" customFormat="1" x14ac:dyDescent="0.25">
      <c r="AX227" s="185"/>
      <c r="AY227" s="163"/>
      <c r="AZ227" s="185"/>
      <c r="BA227" s="163"/>
    </row>
    <row r="228" spans="50:53" s="184" customFormat="1" x14ac:dyDescent="0.25">
      <c r="AX228" s="185"/>
      <c r="AY228" s="163"/>
      <c r="AZ228" s="185"/>
      <c r="BA228" s="163"/>
    </row>
    <row r="229" spans="50:53" s="184" customFormat="1" x14ac:dyDescent="0.25">
      <c r="AX229" s="185"/>
      <c r="AY229" s="163"/>
      <c r="AZ229" s="185"/>
      <c r="BA229" s="163"/>
    </row>
    <row r="230" spans="50:53" s="184" customFormat="1" x14ac:dyDescent="0.25">
      <c r="AX230" s="185"/>
      <c r="AY230" s="163"/>
      <c r="AZ230" s="185"/>
      <c r="BA230" s="163"/>
    </row>
    <row r="231" spans="50:53" s="184" customFormat="1" x14ac:dyDescent="0.25">
      <c r="AX231" s="185"/>
      <c r="AY231" s="163"/>
      <c r="AZ231" s="185"/>
      <c r="BA231" s="163"/>
    </row>
    <row r="232" spans="50:53" s="184" customFormat="1" x14ac:dyDescent="0.25">
      <c r="AX232" s="185"/>
      <c r="AY232" s="163"/>
      <c r="AZ232" s="185"/>
      <c r="BA232" s="163"/>
    </row>
    <row r="233" spans="50:53" s="184" customFormat="1" x14ac:dyDescent="0.25">
      <c r="AX233" s="185"/>
      <c r="AY233" s="163"/>
      <c r="AZ233" s="185"/>
      <c r="BA233" s="163"/>
    </row>
    <row r="234" spans="50:53" s="184" customFormat="1" x14ac:dyDescent="0.25">
      <c r="AX234" s="185"/>
      <c r="AY234" s="163"/>
      <c r="AZ234" s="185"/>
      <c r="BA234" s="163"/>
    </row>
    <row r="235" spans="50:53" s="184" customFormat="1" x14ac:dyDescent="0.25">
      <c r="AX235" s="185"/>
      <c r="AY235" s="163"/>
      <c r="AZ235" s="185"/>
      <c r="BA235" s="163"/>
    </row>
    <row r="236" spans="50:53" s="184" customFormat="1" x14ac:dyDescent="0.25">
      <c r="AX236" s="185"/>
      <c r="AY236" s="163"/>
      <c r="AZ236" s="185"/>
      <c r="BA236" s="163"/>
    </row>
    <row r="237" spans="50:53" s="184" customFormat="1" x14ac:dyDescent="0.25">
      <c r="AX237" s="185"/>
      <c r="AY237" s="163"/>
      <c r="AZ237" s="185"/>
      <c r="BA237" s="163"/>
    </row>
    <row r="238" spans="50:53" s="184" customFormat="1" x14ac:dyDescent="0.25">
      <c r="AX238" s="185"/>
      <c r="AY238" s="163"/>
      <c r="AZ238" s="185"/>
      <c r="BA238" s="163"/>
    </row>
    <row r="239" spans="50:53" s="184" customFormat="1" x14ac:dyDescent="0.25">
      <c r="AX239" s="185"/>
      <c r="AY239" s="163"/>
      <c r="AZ239" s="185"/>
      <c r="BA239" s="163"/>
    </row>
    <row r="240" spans="50:53" s="184" customFormat="1" x14ac:dyDescent="0.25">
      <c r="AX240" s="185"/>
      <c r="AY240" s="163"/>
      <c r="AZ240" s="185"/>
      <c r="BA240" s="163"/>
    </row>
    <row r="241" spans="50:53" s="184" customFormat="1" x14ac:dyDescent="0.25">
      <c r="AX241" s="185"/>
      <c r="AY241" s="163"/>
      <c r="AZ241" s="185"/>
      <c r="BA241" s="163"/>
    </row>
    <row r="242" spans="50:53" s="184" customFormat="1" x14ac:dyDescent="0.25">
      <c r="AX242" s="185"/>
      <c r="AY242" s="163"/>
      <c r="AZ242" s="185"/>
      <c r="BA242" s="163"/>
    </row>
    <row r="243" spans="50:53" s="184" customFormat="1" x14ac:dyDescent="0.25">
      <c r="AX243" s="185"/>
      <c r="AY243" s="163"/>
      <c r="AZ243" s="185"/>
      <c r="BA243" s="163"/>
    </row>
    <row r="244" spans="50:53" s="184" customFormat="1" x14ac:dyDescent="0.25">
      <c r="AX244" s="185"/>
      <c r="AY244" s="163"/>
      <c r="AZ244" s="185"/>
      <c r="BA244" s="163"/>
    </row>
    <row r="245" spans="50:53" s="184" customFormat="1" x14ac:dyDescent="0.25">
      <c r="AX245" s="185"/>
      <c r="AY245" s="163"/>
      <c r="AZ245" s="185"/>
      <c r="BA245" s="163"/>
    </row>
    <row r="246" spans="50:53" s="184" customFormat="1" x14ac:dyDescent="0.25">
      <c r="AX246" s="185"/>
      <c r="AY246" s="163"/>
      <c r="AZ246" s="185"/>
      <c r="BA246" s="163"/>
    </row>
    <row r="247" spans="50:53" s="184" customFormat="1" x14ac:dyDescent="0.25">
      <c r="AX247" s="185"/>
      <c r="AY247" s="163"/>
      <c r="AZ247" s="185"/>
      <c r="BA247" s="163"/>
    </row>
    <row r="248" spans="50:53" s="184" customFormat="1" x14ac:dyDescent="0.25">
      <c r="AX248" s="185"/>
      <c r="AY248" s="163"/>
      <c r="AZ248" s="185"/>
      <c r="BA248" s="163"/>
    </row>
    <row r="249" spans="50:53" s="184" customFormat="1" x14ac:dyDescent="0.25">
      <c r="AX249" s="185"/>
      <c r="AY249" s="163"/>
      <c r="AZ249" s="185"/>
      <c r="BA249" s="163"/>
    </row>
    <row r="250" spans="50:53" s="184" customFormat="1" x14ac:dyDescent="0.25">
      <c r="AX250" s="185"/>
      <c r="AY250" s="163"/>
      <c r="AZ250" s="185"/>
      <c r="BA250" s="163"/>
    </row>
    <row r="251" spans="50:53" s="184" customFormat="1" x14ac:dyDescent="0.25">
      <c r="AX251" s="185"/>
      <c r="AY251" s="163"/>
      <c r="AZ251" s="185"/>
      <c r="BA251" s="163"/>
    </row>
    <row r="252" spans="50:53" s="184" customFormat="1" x14ac:dyDescent="0.25">
      <c r="AX252" s="185"/>
      <c r="AY252" s="163"/>
      <c r="AZ252" s="185"/>
      <c r="BA252" s="163"/>
    </row>
    <row r="253" spans="50:53" s="184" customFormat="1" x14ac:dyDescent="0.25">
      <c r="AX253" s="185"/>
      <c r="AY253" s="163"/>
      <c r="AZ253" s="185"/>
      <c r="BA253" s="163"/>
    </row>
    <row r="254" spans="50:53" s="184" customFormat="1" x14ac:dyDescent="0.25">
      <c r="AX254" s="185"/>
      <c r="AY254" s="163"/>
      <c r="AZ254" s="185"/>
      <c r="BA254" s="163"/>
    </row>
    <row r="255" spans="50:53" s="184" customFormat="1" x14ac:dyDescent="0.25">
      <c r="AX255" s="185"/>
      <c r="AY255" s="163"/>
      <c r="AZ255" s="185"/>
      <c r="BA255" s="163"/>
    </row>
    <row r="256" spans="50:53" s="184" customFormat="1" x14ac:dyDescent="0.25">
      <c r="AX256" s="185"/>
      <c r="AY256" s="163"/>
      <c r="AZ256" s="185"/>
      <c r="BA256" s="163"/>
    </row>
    <row r="257" spans="6:96" s="184" customFormat="1" x14ac:dyDescent="0.25">
      <c r="AX257" s="185"/>
      <c r="AY257" s="163"/>
      <c r="AZ257" s="185"/>
      <c r="BA257" s="163"/>
    </row>
    <row r="258" spans="6:96" s="184" customFormat="1" x14ac:dyDescent="0.25">
      <c r="AX258" s="185"/>
      <c r="AY258" s="163"/>
      <c r="AZ258" s="185"/>
      <c r="BA258" s="163"/>
    </row>
    <row r="259" spans="6:96" s="184" customFormat="1" x14ac:dyDescent="0.25">
      <c r="AX259" s="185"/>
      <c r="AY259" s="163"/>
      <c r="AZ259" s="185"/>
      <c r="BA259" s="163"/>
    </row>
    <row r="260" spans="6:96" s="184" customFormat="1" x14ac:dyDescent="0.25">
      <c r="AX260" s="185"/>
      <c r="AY260" s="163"/>
      <c r="AZ260" s="185"/>
      <c r="BA260" s="163"/>
    </row>
    <row r="261" spans="6:96" s="184" customFormat="1" x14ac:dyDescent="0.25">
      <c r="AX261" s="185"/>
      <c r="AY261" s="163"/>
      <c r="AZ261" s="185"/>
      <c r="BA261" s="163"/>
    </row>
    <row r="262" spans="6:96" s="184" customFormat="1" x14ac:dyDescent="0.25">
      <c r="AX262" s="185"/>
      <c r="AY262" s="163"/>
      <c r="AZ262" s="185"/>
      <c r="BA262" s="163"/>
    </row>
    <row r="263" spans="6:96" s="184" customFormat="1" x14ac:dyDescent="0.25">
      <c r="AX263" s="185"/>
      <c r="AY263" s="163"/>
      <c r="AZ263" s="185"/>
      <c r="BA263" s="163"/>
    </row>
    <row r="264" spans="6:96" s="184" customFormat="1" x14ac:dyDescent="0.25">
      <c r="AX264" s="185"/>
      <c r="AY264" s="163"/>
      <c r="AZ264" s="185"/>
      <c r="BA264" s="163"/>
    </row>
    <row r="265" spans="6:96" s="184" customFormat="1" x14ac:dyDescent="0.25">
      <c r="AX265" s="185"/>
      <c r="AY265" s="163"/>
      <c r="AZ265" s="185"/>
      <c r="BA265" s="163"/>
    </row>
    <row r="266" spans="6:96" s="184" customFormat="1" x14ac:dyDescent="0.25">
      <c r="AX266" s="185"/>
      <c r="AY266" s="163"/>
      <c r="AZ266" s="185"/>
      <c r="BA266" s="163"/>
    </row>
    <row r="267" spans="6:96" s="129" customFormat="1" x14ac:dyDescent="0.25">
      <c r="F267" s="149"/>
      <c r="G267" s="144"/>
      <c r="H267" s="149"/>
      <c r="L267" s="149"/>
      <c r="M267" s="199"/>
      <c r="N267" s="200"/>
      <c r="R267" s="149"/>
      <c r="T267" s="149"/>
      <c r="AB267" s="149"/>
      <c r="AC267" s="144"/>
      <c r="AD267" s="149"/>
      <c r="AH267" s="130"/>
      <c r="AI267" s="133"/>
      <c r="AJ267" s="175"/>
      <c r="AN267" s="149"/>
      <c r="AP267" s="149"/>
      <c r="AX267" s="149"/>
      <c r="AY267" s="163"/>
      <c r="AZ267" s="185"/>
      <c r="BD267" s="133"/>
      <c r="BE267" s="181"/>
      <c r="BF267" s="175"/>
      <c r="BJ267" s="149"/>
      <c r="BK267" s="199"/>
      <c r="BL267" s="201"/>
      <c r="BT267" s="130"/>
      <c r="BU267" s="133"/>
      <c r="BV267" s="149"/>
      <c r="BZ267" s="130"/>
      <c r="CA267" s="133"/>
      <c r="CB267" s="149"/>
      <c r="CF267" s="130"/>
      <c r="CG267" s="202"/>
      <c r="CH267" s="201"/>
      <c r="CP267" s="149"/>
      <c r="CR267" s="149"/>
    </row>
    <row r="268" spans="6:96" s="129" customFormat="1" x14ac:dyDescent="0.25">
      <c r="F268" s="149"/>
      <c r="G268" s="144"/>
      <c r="H268" s="149"/>
      <c r="L268" s="149"/>
      <c r="M268" s="163"/>
      <c r="N268" s="158"/>
      <c r="R268" s="149"/>
      <c r="T268" s="149"/>
      <c r="AB268" s="149"/>
      <c r="AC268" s="144"/>
      <c r="AD268" s="149"/>
      <c r="AH268" s="130"/>
      <c r="AI268" s="133"/>
      <c r="AJ268" s="175"/>
      <c r="AN268" s="149"/>
      <c r="AP268" s="149"/>
      <c r="AX268" s="149"/>
      <c r="AY268" s="163"/>
      <c r="AZ268" s="185"/>
      <c r="BD268" s="133"/>
      <c r="BE268" s="181"/>
      <c r="BF268" s="175"/>
      <c r="BJ268" s="149"/>
      <c r="BK268" s="163"/>
      <c r="BL268" s="185"/>
      <c r="BT268" s="130"/>
      <c r="BU268" s="133"/>
      <c r="BV268" s="149"/>
      <c r="BZ268" s="130"/>
      <c r="CA268" s="133"/>
      <c r="CB268" s="149"/>
      <c r="CF268" s="130"/>
      <c r="CG268" s="153"/>
      <c r="CH268" s="185"/>
      <c r="CP268" s="149"/>
      <c r="CR268" s="149"/>
    </row>
    <row r="269" spans="6:96" s="129" customFormat="1" x14ac:dyDescent="0.25">
      <c r="F269" s="149"/>
      <c r="G269" s="144"/>
      <c r="H269" s="149"/>
      <c r="L269" s="149"/>
      <c r="M269" s="163"/>
      <c r="N269" s="158"/>
      <c r="R269" s="149"/>
      <c r="T269" s="149"/>
      <c r="AB269" s="149"/>
      <c r="AC269" s="144"/>
      <c r="AD269" s="149"/>
      <c r="AH269" s="130"/>
      <c r="AI269" s="133"/>
      <c r="AJ269" s="175"/>
      <c r="AN269" s="149"/>
      <c r="AP269" s="149"/>
      <c r="AX269" s="149"/>
      <c r="AY269" s="163"/>
      <c r="AZ269" s="185"/>
      <c r="BD269" s="133"/>
      <c r="BE269" s="181"/>
      <c r="BF269" s="175"/>
      <c r="BJ269" s="149"/>
      <c r="BK269" s="163"/>
      <c r="BL269" s="185"/>
      <c r="BT269" s="130"/>
      <c r="BU269" s="133"/>
      <c r="BV269" s="149"/>
      <c r="BZ269" s="130"/>
      <c r="CA269" s="133"/>
      <c r="CB269" s="149"/>
      <c r="CF269" s="130"/>
      <c r="CG269" s="153"/>
      <c r="CH269" s="185"/>
      <c r="CP269" s="149"/>
      <c r="CR269" s="149"/>
    </row>
    <row r="270" spans="6:96" s="129" customFormat="1" x14ac:dyDescent="0.25">
      <c r="F270" s="149"/>
      <c r="G270" s="144"/>
      <c r="H270" s="149"/>
      <c r="L270" s="149"/>
      <c r="M270" s="163"/>
      <c r="N270" s="158"/>
      <c r="R270" s="149"/>
      <c r="T270" s="149"/>
      <c r="AB270" s="149"/>
      <c r="AC270" s="144"/>
      <c r="AD270" s="149"/>
      <c r="AH270" s="130"/>
      <c r="AI270" s="133"/>
      <c r="AJ270" s="175"/>
      <c r="AN270" s="149"/>
      <c r="AP270" s="149"/>
      <c r="AX270" s="149"/>
      <c r="AY270" s="163"/>
      <c r="AZ270" s="185"/>
      <c r="BD270" s="133"/>
      <c r="BE270" s="181"/>
      <c r="BF270" s="175"/>
      <c r="BJ270" s="149"/>
      <c r="BK270" s="163"/>
      <c r="BL270" s="185"/>
      <c r="BT270" s="130"/>
      <c r="BU270" s="133"/>
      <c r="BV270" s="149"/>
      <c r="BZ270" s="130"/>
      <c r="CA270" s="133"/>
      <c r="CB270" s="149"/>
      <c r="CF270" s="130"/>
      <c r="CG270" s="153"/>
      <c r="CH270" s="185"/>
      <c r="CP270" s="149"/>
      <c r="CR270" s="149"/>
    </row>
    <row r="271" spans="6:96" s="129" customFormat="1" x14ac:dyDescent="0.25">
      <c r="F271" s="149"/>
      <c r="G271" s="144"/>
      <c r="H271" s="149"/>
      <c r="L271" s="149"/>
      <c r="M271" s="163"/>
      <c r="N271" s="158"/>
      <c r="R271" s="149"/>
      <c r="T271" s="149"/>
      <c r="AB271" s="149"/>
      <c r="AC271" s="144"/>
      <c r="AD271" s="149"/>
      <c r="AH271" s="130"/>
      <c r="AI271" s="133"/>
      <c r="AJ271" s="175"/>
      <c r="AN271" s="149"/>
      <c r="AP271" s="149"/>
      <c r="AX271" s="149"/>
      <c r="AY271" s="163"/>
      <c r="AZ271" s="185"/>
      <c r="BD271" s="133"/>
      <c r="BE271" s="181"/>
      <c r="BF271" s="175"/>
      <c r="BJ271" s="149"/>
      <c r="BK271" s="163"/>
      <c r="BL271" s="185"/>
      <c r="BT271" s="130"/>
      <c r="BU271" s="133"/>
      <c r="BV271" s="149"/>
      <c r="BZ271" s="130"/>
      <c r="CA271" s="133"/>
      <c r="CB271" s="149"/>
      <c r="CF271" s="130"/>
      <c r="CG271" s="153"/>
      <c r="CH271" s="185"/>
      <c r="CP271" s="149"/>
      <c r="CR271" s="149"/>
    </row>
    <row r="272" spans="6:96" s="129" customFormat="1" x14ac:dyDescent="0.25">
      <c r="F272" s="149"/>
      <c r="G272" s="144"/>
      <c r="H272" s="149"/>
      <c r="L272" s="149"/>
      <c r="M272" s="163"/>
      <c r="N272" s="158"/>
      <c r="R272" s="149"/>
      <c r="T272" s="149"/>
      <c r="AB272" s="149"/>
      <c r="AC272" s="144"/>
      <c r="AD272" s="149"/>
      <c r="AH272" s="130"/>
      <c r="AI272" s="133"/>
      <c r="AJ272" s="175"/>
      <c r="AN272" s="149"/>
      <c r="AP272" s="149"/>
      <c r="AX272" s="149"/>
      <c r="AY272" s="163"/>
      <c r="AZ272" s="185"/>
      <c r="BD272" s="133"/>
      <c r="BE272" s="181"/>
      <c r="BF272" s="175"/>
      <c r="BJ272" s="149"/>
      <c r="BK272" s="163"/>
      <c r="BL272" s="185"/>
      <c r="BT272" s="130"/>
      <c r="BU272" s="133"/>
      <c r="BV272" s="149"/>
      <c r="BZ272" s="130"/>
      <c r="CA272" s="133"/>
      <c r="CB272" s="149"/>
      <c r="CF272" s="130"/>
      <c r="CG272" s="153"/>
      <c r="CH272" s="185"/>
      <c r="CP272" s="149"/>
      <c r="CR272" s="149"/>
    </row>
    <row r="273" spans="6:96" s="129" customFormat="1" x14ac:dyDescent="0.25">
      <c r="F273" s="149"/>
      <c r="G273" s="144"/>
      <c r="H273" s="149"/>
      <c r="L273" s="149"/>
      <c r="M273" s="163"/>
      <c r="N273" s="158"/>
      <c r="R273" s="149"/>
      <c r="T273" s="149"/>
      <c r="AB273" s="149"/>
      <c r="AC273" s="144"/>
      <c r="AD273" s="149"/>
      <c r="AH273" s="130"/>
      <c r="AI273" s="133"/>
      <c r="AJ273" s="175"/>
      <c r="AN273" s="149"/>
      <c r="AP273" s="149"/>
      <c r="AX273" s="149"/>
      <c r="AY273" s="163"/>
      <c r="AZ273" s="185"/>
      <c r="BD273" s="133"/>
      <c r="BE273" s="181"/>
      <c r="BF273" s="175"/>
      <c r="BJ273" s="149"/>
      <c r="BK273" s="163"/>
      <c r="BL273" s="185"/>
      <c r="BT273" s="130"/>
      <c r="BU273" s="133"/>
      <c r="BV273" s="149"/>
      <c r="BZ273" s="130"/>
      <c r="CA273" s="133"/>
      <c r="CB273" s="149"/>
      <c r="CF273" s="130"/>
      <c r="CG273" s="153"/>
      <c r="CH273" s="185"/>
      <c r="CP273" s="149"/>
      <c r="CR273" s="149"/>
    </row>
    <row r="274" spans="6:96" s="129" customFormat="1" x14ac:dyDescent="0.25">
      <c r="F274" s="149"/>
      <c r="G274" s="144"/>
      <c r="H274" s="149"/>
      <c r="L274" s="149"/>
      <c r="M274" s="163"/>
      <c r="N274" s="158"/>
      <c r="R274" s="149"/>
      <c r="T274" s="149"/>
      <c r="AB274" s="149"/>
      <c r="AC274" s="144"/>
      <c r="AD274" s="149"/>
      <c r="AH274" s="130"/>
      <c r="AI274" s="133"/>
      <c r="AJ274" s="175"/>
      <c r="AN274" s="149"/>
      <c r="AP274" s="149"/>
      <c r="AX274" s="149"/>
      <c r="AY274" s="163"/>
      <c r="AZ274" s="185"/>
      <c r="BD274" s="133"/>
      <c r="BE274" s="181"/>
      <c r="BF274" s="175"/>
      <c r="BJ274" s="149"/>
      <c r="BK274" s="163"/>
      <c r="BL274" s="185"/>
      <c r="BT274" s="130"/>
      <c r="BU274" s="133"/>
      <c r="BV274" s="149"/>
      <c r="BZ274" s="130"/>
      <c r="CA274" s="133"/>
      <c r="CB274" s="149"/>
      <c r="CF274" s="130"/>
      <c r="CG274" s="153"/>
      <c r="CH274" s="185"/>
      <c r="CP274" s="149"/>
      <c r="CR274" s="149"/>
    </row>
    <row r="275" spans="6:96" s="129" customFormat="1" x14ac:dyDescent="0.25">
      <c r="F275" s="149"/>
      <c r="G275" s="144"/>
      <c r="H275" s="149"/>
      <c r="L275" s="149"/>
      <c r="M275" s="163"/>
      <c r="N275" s="158"/>
      <c r="R275" s="149"/>
      <c r="T275" s="149"/>
      <c r="AB275" s="149"/>
      <c r="AC275" s="144"/>
      <c r="AD275" s="149"/>
      <c r="AH275" s="130"/>
      <c r="AI275" s="133"/>
      <c r="AJ275" s="175"/>
      <c r="AN275" s="149"/>
      <c r="AP275" s="149"/>
      <c r="AX275" s="149"/>
      <c r="AY275" s="163"/>
      <c r="AZ275" s="185"/>
      <c r="BD275" s="133"/>
      <c r="BE275" s="181"/>
      <c r="BF275" s="175"/>
      <c r="BJ275" s="149"/>
      <c r="BK275" s="163"/>
      <c r="BL275" s="185"/>
      <c r="BT275" s="130"/>
      <c r="BU275" s="133"/>
      <c r="BV275" s="149"/>
      <c r="BZ275" s="130"/>
      <c r="CA275" s="133"/>
      <c r="CB275" s="149"/>
      <c r="CF275" s="130"/>
      <c r="CG275" s="153"/>
      <c r="CH275" s="185"/>
      <c r="CP275" s="149"/>
      <c r="CR275" s="149"/>
    </row>
    <row r="276" spans="6:96" s="129" customFormat="1" x14ac:dyDescent="0.25">
      <c r="F276" s="149"/>
      <c r="G276" s="144"/>
      <c r="H276" s="149"/>
      <c r="L276" s="149"/>
      <c r="M276" s="163"/>
      <c r="N276" s="158"/>
      <c r="R276" s="149"/>
      <c r="T276" s="149"/>
      <c r="AB276" s="149"/>
      <c r="AC276" s="144"/>
      <c r="AD276" s="149"/>
      <c r="AH276" s="130"/>
      <c r="AI276" s="133"/>
      <c r="AJ276" s="175"/>
      <c r="AN276" s="149"/>
      <c r="AP276" s="149"/>
      <c r="AX276" s="149"/>
      <c r="AY276" s="163"/>
      <c r="AZ276" s="185"/>
      <c r="BD276" s="133"/>
      <c r="BE276" s="181"/>
      <c r="BF276" s="175"/>
      <c r="BJ276" s="149"/>
      <c r="BK276" s="163"/>
      <c r="BL276" s="185"/>
      <c r="BT276" s="130"/>
      <c r="BU276" s="133"/>
      <c r="BV276" s="149"/>
      <c r="BZ276" s="130"/>
      <c r="CA276" s="133"/>
      <c r="CB276" s="149"/>
      <c r="CF276" s="130"/>
      <c r="CG276" s="153"/>
      <c r="CH276" s="185"/>
      <c r="CP276" s="149"/>
      <c r="CR276" s="149"/>
    </row>
    <row r="277" spans="6:96" s="129" customFormat="1" x14ac:dyDescent="0.25">
      <c r="F277" s="149"/>
      <c r="G277" s="144"/>
      <c r="H277" s="149"/>
      <c r="L277" s="149"/>
      <c r="M277" s="163"/>
      <c r="N277" s="158"/>
      <c r="R277" s="149"/>
      <c r="T277" s="149"/>
      <c r="AB277" s="149"/>
      <c r="AC277" s="144"/>
      <c r="AD277" s="149"/>
      <c r="AH277" s="130"/>
      <c r="AI277" s="133"/>
      <c r="AJ277" s="175"/>
      <c r="AN277" s="149"/>
      <c r="AP277" s="149"/>
      <c r="AX277" s="149"/>
      <c r="AY277" s="163"/>
      <c r="AZ277" s="185"/>
      <c r="BD277" s="133"/>
      <c r="BE277" s="181"/>
      <c r="BF277" s="175"/>
      <c r="BJ277" s="149"/>
      <c r="BK277" s="163"/>
      <c r="BL277" s="185"/>
      <c r="BT277" s="130"/>
      <c r="BU277" s="133"/>
      <c r="BV277" s="149"/>
      <c r="BZ277" s="130"/>
      <c r="CA277" s="133"/>
      <c r="CB277" s="149"/>
      <c r="CF277" s="130"/>
      <c r="CG277" s="153"/>
      <c r="CH277" s="185"/>
      <c r="CP277" s="149"/>
      <c r="CR277" s="149"/>
    </row>
    <row r="278" spans="6:96" s="129" customFormat="1" x14ac:dyDescent="0.25">
      <c r="F278" s="149"/>
      <c r="G278" s="144"/>
      <c r="H278" s="149"/>
      <c r="L278" s="149"/>
      <c r="M278" s="163"/>
      <c r="N278" s="158"/>
      <c r="R278" s="149"/>
      <c r="T278" s="149"/>
      <c r="AB278" s="149"/>
      <c r="AC278" s="144"/>
      <c r="AD278" s="149"/>
      <c r="AH278" s="130"/>
      <c r="AI278" s="133"/>
      <c r="AJ278" s="175"/>
      <c r="AN278" s="149"/>
      <c r="AP278" s="149"/>
      <c r="AX278" s="149"/>
      <c r="AY278" s="163"/>
      <c r="AZ278" s="185"/>
      <c r="BD278" s="133"/>
      <c r="BE278" s="181"/>
      <c r="BF278" s="175"/>
      <c r="BJ278" s="149"/>
      <c r="BK278" s="163"/>
      <c r="BL278" s="185"/>
      <c r="BT278" s="130"/>
      <c r="BU278" s="133"/>
      <c r="BV278" s="149"/>
      <c r="BZ278" s="130"/>
      <c r="CA278" s="133"/>
      <c r="CB278" s="149"/>
      <c r="CF278" s="130"/>
      <c r="CG278" s="153"/>
      <c r="CH278" s="185"/>
      <c r="CP278" s="149"/>
      <c r="CR278" s="149"/>
    </row>
    <row r="279" spans="6:96" s="129" customFormat="1" x14ac:dyDescent="0.25">
      <c r="F279" s="149"/>
      <c r="G279" s="144"/>
      <c r="H279" s="149"/>
      <c r="L279" s="149"/>
      <c r="M279" s="163"/>
      <c r="N279" s="158"/>
      <c r="R279" s="149"/>
      <c r="T279" s="149"/>
      <c r="AB279" s="149"/>
      <c r="AC279" s="144"/>
      <c r="AD279" s="149"/>
      <c r="AH279" s="130"/>
      <c r="AI279" s="133"/>
      <c r="AJ279" s="175"/>
      <c r="AN279" s="149"/>
      <c r="AP279" s="149"/>
      <c r="AX279" s="149"/>
      <c r="AY279" s="163"/>
      <c r="AZ279" s="185"/>
      <c r="BD279" s="133"/>
      <c r="BE279" s="181"/>
      <c r="BF279" s="175"/>
      <c r="BJ279" s="149"/>
      <c r="BK279" s="163"/>
      <c r="BL279" s="185"/>
      <c r="BT279" s="130"/>
      <c r="BU279" s="133"/>
      <c r="BV279" s="149"/>
      <c r="BZ279" s="130"/>
      <c r="CA279" s="133"/>
      <c r="CB279" s="149"/>
      <c r="CF279" s="130"/>
      <c r="CG279" s="153"/>
      <c r="CH279" s="185"/>
      <c r="CP279" s="149"/>
      <c r="CR279" s="149"/>
    </row>
    <row r="280" spans="6:96" s="129" customFormat="1" x14ac:dyDescent="0.25">
      <c r="F280" s="149"/>
      <c r="G280" s="144"/>
      <c r="H280" s="149"/>
      <c r="L280" s="149"/>
      <c r="M280" s="163"/>
      <c r="N280" s="158"/>
      <c r="R280" s="149"/>
      <c r="T280" s="149"/>
      <c r="AB280" s="149"/>
      <c r="AC280" s="144"/>
      <c r="AD280" s="149"/>
      <c r="AH280" s="130"/>
      <c r="AI280" s="133"/>
      <c r="AJ280" s="175"/>
      <c r="AN280" s="149"/>
      <c r="AP280" s="149"/>
      <c r="AX280" s="149"/>
      <c r="AY280" s="163"/>
      <c r="AZ280" s="185"/>
      <c r="BD280" s="133"/>
      <c r="BE280" s="181"/>
      <c r="BF280" s="175"/>
      <c r="BJ280" s="149"/>
      <c r="BK280" s="163"/>
      <c r="BL280" s="185"/>
      <c r="BT280" s="130"/>
      <c r="BU280" s="133"/>
      <c r="BV280" s="149"/>
      <c r="BZ280" s="130"/>
      <c r="CA280" s="133"/>
      <c r="CB280" s="149"/>
      <c r="CF280" s="130"/>
      <c r="CG280" s="153"/>
      <c r="CH280" s="185"/>
      <c r="CP280" s="149"/>
      <c r="CR280" s="149"/>
    </row>
    <row r="281" spans="6:96" s="129" customFormat="1" x14ac:dyDescent="0.25">
      <c r="F281" s="149"/>
      <c r="G281" s="144"/>
      <c r="H281" s="149"/>
      <c r="L281" s="149"/>
      <c r="M281" s="163"/>
      <c r="N281" s="158"/>
      <c r="R281" s="149"/>
      <c r="T281" s="149"/>
      <c r="AB281" s="149"/>
      <c r="AC281" s="144"/>
      <c r="AD281" s="149"/>
      <c r="AH281" s="130"/>
      <c r="AI281" s="133"/>
      <c r="AJ281" s="175"/>
      <c r="AN281" s="149"/>
      <c r="AP281" s="149"/>
      <c r="AX281" s="149"/>
      <c r="AY281" s="163"/>
      <c r="AZ281" s="185"/>
      <c r="BD281" s="133"/>
      <c r="BE281" s="181"/>
      <c r="BF281" s="175"/>
      <c r="BJ281" s="149"/>
      <c r="BK281" s="163"/>
      <c r="BL281" s="185"/>
      <c r="BT281" s="130"/>
      <c r="BU281" s="133"/>
      <c r="BV281" s="149"/>
      <c r="BZ281" s="130"/>
      <c r="CA281" s="133"/>
      <c r="CB281" s="149"/>
      <c r="CF281" s="130"/>
      <c r="CG281" s="153"/>
      <c r="CH281" s="185"/>
      <c r="CP281" s="149"/>
      <c r="CR281" s="149"/>
    </row>
    <row r="282" spans="6:96" s="129" customFormat="1" x14ac:dyDescent="0.25">
      <c r="F282" s="149"/>
      <c r="G282" s="144"/>
      <c r="H282" s="149"/>
      <c r="L282" s="149"/>
      <c r="M282" s="163"/>
      <c r="N282" s="158"/>
      <c r="R282" s="149"/>
      <c r="T282" s="149"/>
      <c r="AB282" s="149"/>
      <c r="AC282" s="144"/>
      <c r="AD282" s="149"/>
      <c r="AH282" s="130"/>
      <c r="AI282" s="133"/>
      <c r="AJ282" s="175"/>
      <c r="AN282" s="149"/>
      <c r="AP282" s="149"/>
      <c r="AX282" s="149"/>
      <c r="AY282" s="163"/>
      <c r="AZ282" s="185"/>
      <c r="BD282" s="133"/>
      <c r="BE282" s="181"/>
      <c r="BF282" s="175"/>
      <c r="BJ282" s="149"/>
      <c r="BK282" s="163"/>
      <c r="BL282" s="185"/>
      <c r="BT282" s="130"/>
      <c r="BU282" s="133"/>
      <c r="BV282" s="149"/>
      <c r="BZ282" s="130"/>
      <c r="CA282" s="133"/>
      <c r="CB282" s="149"/>
      <c r="CF282" s="130"/>
      <c r="CG282" s="153"/>
      <c r="CH282" s="185"/>
      <c r="CP282" s="149"/>
      <c r="CR282" s="149"/>
    </row>
    <row r="283" spans="6:96" s="129" customFormat="1" x14ac:dyDescent="0.25">
      <c r="F283" s="149"/>
      <c r="G283" s="144"/>
      <c r="H283" s="149"/>
      <c r="L283" s="149"/>
      <c r="M283" s="163"/>
      <c r="N283" s="158"/>
      <c r="R283" s="149"/>
      <c r="T283" s="149"/>
      <c r="AB283" s="149"/>
      <c r="AC283" s="144"/>
      <c r="AD283" s="149"/>
      <c r="AH283" s="130"/>
      <c r="AI283" s="133"/>
      <c r="AJ283" s="175"/>
      <c r="AN283" s="149"/>
      <c r="AP283" s="149"/>
      <c r="AX283" s="149"/>
      <c r="AY283" s="163"/>
      <c r="AZ283" s="185"/>
      <c r="BD283" s="133"/>
      <c r="BE283" s="181"/>
      <c r="BF283" s="175"/>
      <c r="BJ283" s="149"/>
      <c r="BK283" s="163"/>
      <c r="BL283" s="185"/>
      <c r="BT283" s="130"/>
      <c r="BU283" s="133"/>
      <c r="BV283" s="149"/>
      <c r="BZ283" s="130"/>
      <c r="CA283" s="133"/>
      <c r="CB283" s="149"/>
      <c r="CF283" s="130"/>
      <c r="CG283" s="153"/>
      <c r="CH283" s="185"/>
      <c r="CP283" s="149"/>
      <c r="CR283" s="149"/>
    </row>
    <row r="284" spans="6:96" s="129" customFormat="1" x14ac:dyDescent="0.25">
      <c r="F284" s="149"/>
      <c r="G284" s="144"/>
      <c r="H284" s="149"/>
      <c r="L284" s="149"/>
      <c r="M284" s="163"/>
      <c r="N284" s="158"/>
      <c r="R284" s="149"/>
      <c r="T284" s="149"/>
      <c r="AB284" s="149"/>
      <c r="AC284" s="144"/>
      <c r="AD284" s="149"/>
      <c r="AH284" s="130"/>
      <c r="AI284" s="133"/>
      <c r="AJ284" s="175"/>
      <c r="AN284" s="149"/>
      <c r="AP284" s="149"/>
      <c r="AX284" s="149"/>
      <c r="AY284" s="163"/>
      <c r="AZ284" s="185"/>
      <c r="BD284" s="133"/>
      <c r="BE284" s="181"/>
      <c r="BF284" s="175"/>
      <c r="BJ284" s="149"/>
      <c r="BK284" s="163"/>
      <c r="BL284" s="185"/>
      <c r="BT284" s="130"/>
      <c r="BU284" s="133"/>
      <c r="BV284" s="149"/>
      <c r="BZ284" s="130"/>
      <c r="CA284" s="133"/>
      <c r="CB284" s="149"/>
      <c r="CF284" s="130"/>
      <c r="CG284" s="153"/>
      <c r="CH284" s="185"/>
      <c r="CP284" s="149"/>
      <c r="CR284" s="149"/>
    </row>
    <row r="285" spans="6:96" s="129" customFormat="1" x14ac:dyDescent="0.25">
      <c r="F285" s="149"/>
      <c r="G285" s="144"/>
      <c r="H285" s="149"/>
      <c r="L285" s="149"/>
      <c r="M285" s="163"/>
      <c r="N285" s="158"/>
      <c r="R285" s="149"/>
      <c r="T285" s="149"/>
      <c r="AB285" s="149"/>
      <c r="AC285" s="144"/>
      <c r="AD285" s="149"/>
      <c r="AH285" s="130"/>
      <c r="AI285" s="133"/>
      <c r="AJ285" s="175"/>
      <c r="AN285" s="149"/>
      <c r="AP285" s="149"/>
      <c r="AX285" s="149"/>
      <c r="AY285" s="163"/>
      <c r="AZ285" s="185"/>
      <c r="BD285" s="133"/>
      <c r="BE285" s="181"/>
      <c r="BF285" s="175"/>
      <c r="BJ285" s="149"/>
      <c r="BK285" s="163"/>
      <c r="BL285" s="185"/>
      <c r="BT285" s="130"/>
      <c r="BU285" s="133"/>
      <c r="BV285" s="149"/>
      <c r="BZ285" s="130"/>
      <c r="CA285" s="133"/>
      <c r="CB285" s="149"/>
      <c r="CF285" s="130"/>
      <c r="CG285" s="153"/>
      <c r="CH285" s="185"/>
      <c r="CP285" s="149"/>
      <c r="CR285" s="149"/>
    </row>
    <row r="286" spans="6:96" s="129" customFormat="1" x14ac:dyDescent="0.25">
      <c r="F286" s="149"/>
      <c r="G286" s="144"/>
      <c r="H286" s="149"/>
      <c r="L286" s="149"/>
      <c r="M286" s="163"/>
      <c r="N286" s="158"/>
      <c r="R286" s="149"/>
      <c r="T286" s="149"/>
      <c r="AB286" s="149"/>
      <c r="AC286" s="144"/>
      <c r="AD286" s="149"/>
      <c r="AH286" s="130"/>
      <c r="AI286" s="133"/>
      <c r="AJ286" s="175"/>
      <c r="AN286" s="149"/>
      <c r="AP286" s="149"/>
      <c r="AX286" s="149"/>
      <c r="AY286" s="163"/>
      <c r="AZ286" s="185"/>
      <c r="BD286" s="133"/>
      <c r="BE286" s="181"/>
      <c r="BF286" s="175"/>
      <c r="BJ286" s="149"/>
      <c r="BK286" s="163"/>
      <c r="BL286" s="185"/>
      <c r="BT286" s="130"/>
      <c r="BU286" s="133"/>
      <c r="BV286" s="149"/>
      <c r="BZ286" s="130"/>
      <c r="CA286" s="133"/>
      <c r="CB286" s="149"/>
      <c r="CF286" s="130"/>
      <c r="CG286" s="153"/>
      <c r="CH286" s="185"/>
      <c r="CP286" s="149"/>
      <c r="CR286" s="149"/>
    </row>
    <row r="287" spans="6:96" s="129" customFormat="1" x14ac:dyDescent="0.25">
      <c r="F287" s="149"/>
      <c r="G287" s="144"/>
      <c r="H287" s="149"/>
      <c r="L287" s="149"/>
      <c r="M287" s="163"/>
      <c r="N287" s="158"/>
      <c r="R287" s="149"/>
      <c r="T287" s="149"/>
      <c r="AB287" s="149"/>
      <c r="AC287" s="144"/>
      <c r="AD287" s="149"/>
      <c r="AH287" s="130"/>
      <c r="AI287" s="133"/>
      <c r="AJ287" s="175"/>
      <c r="AN287" s="149"/>
      <c r="AP287" s="149"/>
      <c r="AX287" s="149"/>
      <c r="AY287" s="163"/>
      <c r="AZ287" s="185"/>
      <c r="BD287" s="133"/>
      <c r="BE287" s="181"/>
      <c r="BF287" s="175"/>
      <c r="BJ287" s="149"/>
      <c r="BK287" s="163"/>
      <c r="BL287" s="185"/>
      <c r="BT287" s="130"/>
      <c r="BU287" s="133"/>
      <c r="BV287" s="149"/>
      <c r="BZ287" s="130"/>
      <c r="CA287" s="133"/>
      <c r="CB287" s="149"/>
      <c r="CF287" s="130"/>
      <c r="CG287" s="153"/>
      <c r="CH287" s="185"/>
      <c r="CP287" s="149"/>
      <c r="CR287" s="149"/>
    </row>
    <row r="288" spans="6:96" s="129" customFormat="1" x14ac:dyDescent="0.25">
      <c r="F288" s="149"/>
      <c r="G288" s="144"/>
      <c r="H288" s="149"/>
      <c r="L288" s="149"/>
      <c r="M288" s="163"/>
      <c r="N288" s="158"/>
      <c r="R288" s="149"/>
      <c r="T288" s="149"/>
      <c r="AB288" s="149"/>
      <c r="AC288" s="144"/>
      <c r="AD288" s="149"/>
      <c r="AH288" s="130"/>
      <c r="AI288" s="133"/>
      <c r="AJ288" s="175"/>
      <c r="AN288" s="149"/>
      <c r="AP288" s="149"/>
      <c r="AX288" s="149"/>
      <c r="AY288" s="163"/>
      <c r="AZ288" s="185"/>
      <c r="BD288" s="133"/>
      <c r="BE288" s="181"/>
      <c r="BF288" s="175"/>
      <c r="BJ288" s="149"/>
      <c r="BK288" s="163"/>
      <c r="BL288" s="185"/>
      <c r="BT288" s="130"/>
      <c r="BU288" s="133"/>
      <c r="BV288" s="149"/>
      <c r="BZ288" s="130"/>
      <c r="CA288" s="133"/>
      <c r="CB288" s="149"/>
      <c r="CF288" s="130"/>
      <c r="CG288" s="153"/>
      <c r="CH288" s="185"/>
      <c r="CP288" s="149"/>
      <c r="CR288" s="149"/>
    </row>
    <row r="289" spans="6:96" s="129" customFormat="1" x14ac:dyDescent="0.25">
      <c r="F289" s="149"/>
      <c r="G289" s="144"/>
      <c r="H289" s="149"/>
      <c r="L289" s="149"/>
      <c r="M289" s="163"/>
      <c r="N289" s="158"/>
      <c r="R289" s="149"/>
      <c r="T289" s="149"/>
      <c r="AB289" s="149"/>
      <c r="AC289" s="144"/>
      <c r="AD289" s="149"/>
      <c r="AH289" s="130"/>
      <c r="AI289" s="133"/>
      <c r="AJ289" s="175"/>
      <c r="AN289" s="149"/>
      <c r="AP289" s="149"/>
      <c r="AX289" s="149"/>
      <c r="AY289" s="163"/>
      <c r="AZ289" s="185"/>
      <c r="BD289" s="133"/>
      <c r="BE289" s="181"/>
      <c r="BF289" s="175"/>
      <c r="BJ289" s="149"/>
      <c r="BK289" s="163"/>
      <c r="BL289" s="185"/>
      <c r="BT289" s="130"/>
      <c r="BU289" s="133"/>
      <c r="BV289" s="149"/>
      <c r="BZ289" s="130"/>
      <c r="CA289" s="133"/>
      <c r="CB289" s="149"/>
      <c r="CF289" s="130"/>
      <c r="CG289" s="153"/>
      <c r="CH289" s="185"/>
      <c r="CP289" s="149"/>
      <c r="CR289" s="149"/>
    </row>
    <row r="290" spans="6:96" s="129" customFormat="1" x14ac:dyDescent="0.25">
      <c r="F290" s="149"/>
      <c r="G290" s="144"/>
      <c r="H290" s="149"/>
      <c r="L290" s="149"/>
      <c r="M290" s="163"/>
      <c r="N290" s="158"/>
      <c r="R290" s="149"/>
      <c r="T290" s="149"/>
      <c r="AB290" s="149"/>
      <c r="AC290" s="144"/>
      <c r="AD290" s="149"/>
      <c r="AH290" s="130"/>
      <c r="AI290" s="133"/>
      <c r="AJ290" s="175"/>
      <c r="AN290" s="149"/>
      <c r="AP290" s="149"/>
      <c r="AX290" s="149"/>
      <c r="AY290" s="163"/>
      <c r="AZ290" s="185"/>
      <c r="BD290" s="133"/>
      <c r="BE290" s="181"/>
      <c r="BF290" s="175"/>
      <c r="BJ290" s="149"/>
      <c r="BK290" s="163"/>
      <c r="BL290" s="185"/>
      <c r="BT290" s="130"/>
      <c r="BU290" s="133"/>
      <c r="BV290" s="149"/>
      <c r="BZ290" s="130"/>
      <c r="CA290" s="133"/>
      <c r="CB290" s="149"/>
      <c r="CF290" s="130"/>
      <c r="CG290" s="153"/>
      <c r="CH290" s="185"/>
      <c r="CP290" s="149"/>
      <c r="CR290" s="149"/>
    </row>
    <row r="291" spans="6:96" s="129" customFormat="1" x14ac:dyDescent="0.25">
      <c r="F291" s="149"/>
      <c r="G291" s="144"/>
      <c r="H291" s="149"/>
      <c r="L291" s="149"/>
      <c r="M291" s="163"/>
      <c r="N291" s="158"/>
      <c r="R291" s="149"/>
      <c r="T291" s="149"/>
      <c r="AB291" s="149"/>
      <c r="AC291" s="144"/>
      <c r="AD291" s="149"/>
      <c r="AH291" s="130"/>
      <c r="AI291" s="133"/>
      <c r="AJ291" s="175"/>
      <c r="AN291" s="149"/>
      <c r="AP291" s="149"/>
      <c r="AX291" s="149"/>
      <c r="AY291" s="163"/>
      <c r="AZ291" s="185"/>
      <c r="BD291" s="133"/>
      <c r="BE291" s="181"/>
      <c r="BF291" s="175"/>
      <c r="BJ291" s="149"/>
      <c r="BK291" s="163"/>
      <c r="BL291" s="185"/>
      <c r="BT291" s="130"/>
      <c r="BU291" s="133"/>
      <c r="BV291" s="149"/>
      <c r="BZ291" s="130"/>
      <c r="CA291" s="133"/>
      <c r="CB291" s="149"/>
      <c r="CF291" s="130"/>
      <c r="CG291" s="153"/>
      <c r="CH291" s="185"/>
      <c r="CP291" s="149"/>
      <c r="CR291" s="149"/>
    </row>
    <row r="292" spans="6:96" s="129" customFormat="1" x14ac:dyDescent="0.25">
      <c r="F292" s="149"/>
      <c r="G292" s="144"/>
      <c r="H292" s="149"/>
      <c r="L292" s="149"/>
      <c r="M292" s="163"/>
      <c r="N292" s="158"/>
      <c r="R292" s="149"/>
      <c r="T292" s="149"/>
      <c r="AB292" s="149"/>
      <c r="AC292" s="144"/>
      <c r="AD292" s="149"/>
      <c r="AH292" s="130"/>
      <c r="AI292" s="133"/>
      <c r="AJ292" s="175"/>
      <c r="AN292" s="149"/>
      <c r="AP292" s="149"/>
      <c r="AX292" s="149"/>
      <c r="AY292" s="163"/>
      <c r="AZ292" s="185"/>
      <c r="BD292" s="133"/>
      <c r="BE292" s="181"/>
      <c r="BF292" s="175"/>
      <c r="BJ292" s="149"/>
      <c r="BK292" s="163"/>
      <c r="BL292" s="185"/>
      <c r="BT292" s="130"/>
      <c r="BU292" s="133"/>
      <c r="BV292" s="149"/>
      <c r="BZ292" s="130"/>
      <c r="CA292" s="133"/>
      <c r="CB292" s="149"/>
      <c r="CF292" s="130"/>
      <c r="CG292" s="153"/>
      <c r="CH292" s="185"/>
      <c r="CP292" s="149"/>
      <c r="CR292" s="149"/>
    </row>
    <row r="293" spans="6:96" s="129" customFormat="1" x14ac:dyDescent="0.25">
      <c r="F293" s="149"/>
      <c r="G293" s="144"/>
      <c r="H293" s="149"/>
      <c r="L293" s="149"/>
      <c r="M293" s="163"/>
      <c r="N293" s="158"/>
      <c r="R293" s="149"/>
      <c r="T293" s="149"/>
      <c r="AB293" s="149"/>
      <c r="AC293" s="144"/>
      <c r="AD293" s="149"/>
      <c r="AH293" s="130"/>
      <c r="AI293" s="133"/>
      <c r="AJ293" s="175"/>
      <c r="AN293" s="149"/>
      <c r="AP293" s="149"/>
      <c r="AX293" s="149"/>
      <c r="AY293" s="163"/>
      <c r="AZ293" s="185"/>
      <c r="BD293" s="133"/>
      <c r="BE293" s="181"/>
      <c r="BF293" s="175"/>
      <c r="BJ293" s="149"/>
      <c r="BK293" s="163"/>
      <c r="BL293" s="185"/>
      <c r="BT293" s="130"/>
      <c r="BU293" s="133"/>
      <c r="BV293" s="149"/>
      <c r="BZ293" s="130"/>
      <c r="CA293" s="133"/>
      <c r="CB293" s="149"/>
      <c r="CF293" s="130"/>
      <c r="CG293" s="153"/>
      <c r="CH293" s="185"/>
      <c r="CP293" s="149"/>
      <c r="CR293" s="149"/>
    </row>
    <row r="294" spans="6:96" s="129" customFormat="1" x14ac:dyDescent="0.25">
      <c r="F294" s="149"/>
      <c r="G294" s="144"/>
      <c r="H294" s="149"/>
      <c r="L294" s="149"/>
      <c r="M294" s="163"/>
      <c r="N294" s="158"/>
      <c r="R294" s="149"/>
      <c r="T294" s="149"/>
      <c r="AB294" s="149"/>
      <c r="AC294" s="144"/>
      <c r="AD294" s="149"/>
      <c r="AH294" s="130"/>
      <c r="AI294" s="133"/>
      <c r="AJ294" s="175"/>
      <c r="AN294" s="149"/>
      <c r="AP294" s="149"/>
      <c r="AX294" s="149"/>
      <c r="AY294" s="163"/>
      <c r="AZ294" s="185"/>
      <c r="BD294" s="133"/>
      <c r="BE294" s="181"/>
      <c r="BF294" s="175"/>
      <c r="BJ294" s="149"/>
      <c r="BK294" s="163"/>
      <c r="BL294" s="185"/>
      <c r="BT294" s="130"/>
      <c r="BU294" s="133"/>
      <c r="BV294" s="149"/>
      <c r="BZ294" s="130"/>
      <c r="CA294" s="133"/>
      <c r="CB294" s="149"/>
      <c r="CF294" s="130"/>
      <c r="CG294" s="153"/>
      <c r="CH294" s="185"/>
      <c r="CP294" s="149"/>
      <c r="CR294" s="149"/>
    </row>
    <row r="295" spans="6:96" s="129" customFormat="1" x14ac:dyDescent="0.25">
      <c r="F295" s="149"/>
      <c r="G295" s="144"/>
      <c r="H295" s="149"/>
      <c r="L295" s="149"/>
      <c r="M295" s="163"/>
      <c r="N295" s="158"/>
      <c r="R295" s="149"/>
      <c r="T295" s="149"/>
      <c r="AB295" s="149"/>
      <c r="AC295" s="144"/>
      <c r="AD295" s="149"/>
      <c r="AH295" s="130"/>
      <c r="AI295" s="133"/>
      <c r="AJ295" s="175"/>
      <c r="AN295" s="149"/>
      <c r="AP295" s="149"/>
      <c r="AX295" s="149"/>
      <c r="AY295" s="163"/>
      <c r="AZ295" s="185"/>
      <c r="BD295" s="133"/>
      <c r="BE295" s="181"/>
      <c r="BF295" s="175"/>
      <c r="BJ295" s="149"/>
      <c r="BK295" s="163"/>
      <c r="BL295" s="185"/>
      <c r="BT295" s="130"/>
      <c r="BU295" s="133"/>
      <c r="BV295" s="149"/>
      <c r="BZ295" s="130"/>
      <c r="CA295" s="133"/>
      <c r="CB295" s="149"/>
      <c r="CF295" s="130"/>
      <c r="CG295" s="153"/>
      <c r="CH295" s="185"/>
      <c r="CP295" s="149"/>
      <c r="CR295" s="149"/>
    </row>
    <row r="296" spans="6:96" s="129" customFormat="1" x14ac:dyDescent="0.25">
      <c r="F296" s="149"/>
      <c r="G296" s="144"/>
      <c r="H296" s="149"/>
      <c r="L296" s="149"/>
      <c r="M296" s="163"/>
      <c r="N296" s="158"/>
      <c r="R296" s="149"/>
      <c r="T296" s="149"/>
      <c r="AB296" s="149"/>
      <c r="AC296" s="144"/>
      <c r="AD296" s="149"/>
      <c r="AH296" s="130"/>
      <c r="AI296" s="133"/>
      <c r="AJ296" s="175"/>
      <c r="AN296" s="149"/>
      <c r="AP296" s="149"/>
      <c r="AX296" s="149"/>
      <c r="AY296" s="163"/>
      <c r="AZ296" s="185"/>
      <c r="BD296" s="133"/>
      <c r="BE296" s="181"/>
      <c r="BF296" s="175"/>
      <c r="BJ296" s="149"/>
      <c r="BK296" s="163"/>
      <c r="BL296" s="185"/>
      <c r="BT296" s="130"/>
      <c r="BU296" s="133"/>
      <c r="BV296" s="149"/>
      <c r="BZ296" s="130"/>
      <c r="CA296" s="133"/>
      <c r="CB296" s="149"/>
      <c r="CF296" s="130"/>
      <c r="CG296" s="153"/>
      <c r="CH296" s="185"/>
      <c r="CP296" s="149"/>
      <c r="CR296" s="149"/>
    </row>
    <row r="297" spans="6:96" s="129" customFormat="1" x14ac:dyDescent="0.25">
      <c r="F297" s="149"/>
      <c r="G297" s="144"/>
      <c r="H297" s="149"/>
      <c r="L297" s="149"/>
      <c r="M297" s="163"/>
      <c r="N297" s="158"/>
      <c r="R297" s="149"/>
      <c r="T297" s="149"/>
      <c r="AB297" s="149"/>
      <c r="AC297" s="144"/>
      <c r="AD297" s="149"/>
      <c r="AH297" s="130"/>
      <c r="AI297" s="133"/>
      <c r="AJ297" s="175"/>
      <c r="AN297" s="149"/>
      <c r="AP297" s="149"/>
      <c r="AX297" s="149"/>
      <c r="AY297" s="163"/>
      <c r="AZ297" s="185"/>
      <c r="BD297" s="133"/>
      <c r="BE297" s="181"/>
      <c r="BF297" s="175"/>
      <c r="BJ297" s="149"/>
      <c r="BK297" s="163"/>
      <c r="BL297" s="185"/>
      <c r="BT297" s="130"/>
      <c r="BU297" s="133"/>
      <c r="BV297" s="149"/>
      <c r="BZ297" s="130"/>
      <c r="CA297" s="133"/>
      <c r="CB297" s="149"/>
      <c r="CF297" s="130"/>
      <c r="CG297" s="153"/>
      <c r="CH297" s="185"/>
      <c r="CP297" s="149"/>
      <c r="CR297" s="149"/>
    </row>
    <row r="298" spans="6:96" s="129" customFormat="1" x14ac:dyDescent="0.25">
      <c r="F298" s="149"/>
      <c r="G298" s="144"/>
      <c r="H298" s="149"/>
      <c r="L298" s="149"/>
      <c r="M298" s="163"/>
      <c r="N298" s="158"/>
      <c r="R298" s="149"/>
      <c r="T298" s="149"/>
      <c r="AB298" s="149"/>
      <c r="AC298" s="144"/>
      <c r="AD298" s="149"/>
      <c r="AH298" s="130"/>
      <c r="AI298" s="133"/>
      <c r="AJ298" s="175"/>
      <c r="AN298" s="149"/>
      <c r="AP298" s="149"/>
      <c r="AX298" s="149"/>
      <c r="AY298" s="163"/>
      <c r="AZ298" s="185"/>
      <c r="BD298" s="133"/>
      <c r="BE298" s="181"/>
      <c r="BF298" s="175"/>
      <c r="BJ298" s="149"/>
      <c r="BK298" s="163"/>
      <c r="BL298" s="185"/>
      <c r="BT298" s="130"/>
      <c r="BU298" s="133"/>
      <c r="BV298" s="149"/>
      <c r="BZ298" s="130"/>
      <c r="CA298" s="133"/>
      <c r="CB298" s="149"/>
      <c r="CF298" s="130"/>
      <c r="CG298" s="153"/>
      <c r="CH298" s="185"/>
      <c r="CP298" s="149"/>
      <c r="CR298" s="149"/>
    </row>
    <row r="299" spans="6:96" s="129" customFormat="1" x14ac:dyDescent="0.25">
      <c r="F299" s="149"/>
      <c r="G299" s="144"/>
      <c r="H299" s="149"/>
      <c r="L299" s="149"/>
      <c r="M299" s="163"/>
      <c r="N299" s="158"/>
      <c r="R299" s="149"/>
      <c r="T299" s="149"/>
      <c r="AB299" s="149"/>
      <c r="AC299" s="144"/>
      <c r="AD299" s="149"/>
      <c r="AH299" s="130"/>
      <c r="AI299" s="133"/>
      <c r="AJ299" s="175"/>
      <c r="AN299" s="149"/>
      <c r="AP299" s="149"/>
      <c r="AX299" s="149"/>
      <c r="AY299" s="163"/>
      <c r="AZ299" s="185"/>
      <c r="BD299" s="133"/>
      <c r="BE299" s="181"/>
      <c r="BF299" s="175"/>
      <c r="BJ299" s="149"/>
      <c r="BK299" s="163"/>
      <c r="BL299" s="185"/>
      <c r="BT299" s="130"/>
      <c r="BU299" s="133"/>
      <c r="BV299" s="149"/>
      <c r="BZ299" s="130"/>
      <c r="CA299" s="133"/>
      <c r="CB299" s="149"/>
      <c r="CF299" s="130"/>
      <c r="CG299" s="153"/>
      <c r="CH299" s="185"/>
      <c r="CP299" s="149"/>
      <c r="CR299" s="149"/>
    </row>
    <row r="300" spans="6:96" s="129" customFormat="1" x14ac:dyDescent="0.25">
      <c r="F300" s="149"/>
      <c r="G300" s="144"/>
      <c r="H300" s="149"/>
      <c r="L300" s="149"/>
      <c r="M300" s="163"/>
      <c r="N300" s="158"/>
      <c r="R300" s="149"/>
      <c r="T300" s="149"/>
      <c r="AB300" s="149"/>
      <c r="AC300" s="144"/>
      <c r="AD300" s="149"/>
      <c r="AH300" s="130"/>
      <c r="AI300" s="133"/>
      <c r="AJ300" s="175"/>
      <c r="AN300" s="149"/>
      <c r="AP300" s="149"/>
      <c r="AX300" s="149"/>
      <c r="AY300" s="163"/>
      <c r="AZ300" s="185"/>
      <c r="BD300" s="133"/>
      <c r="BE300" s="181"/>
      <c r="BF300" s="175"/>
      <c r="BJ300" s="149"/>
      <c r="BK300" s="163"/>
      <c r="BL300" s="185"/>
      <c r="BT300" s="130"/>
      <c r="BU300" s="133"/>
      <c r="BV300" s="149"/>
      <c r="BZ300" s="130"/>
      <c r="CA300" s="133"/>
      <c r="CB300" s="149"/>
      <c r="CF300" s="130"/>
      <c r="CG300" s="153"/>
      <c r="CH300" s="185"/>
      <c r="CP300" s="149"/>
      <c r="CR300" s="149"/>
    </row>
    <row r="301" spans="6:96" s="129" customFormat="1" x14ac:dyDescent="0.25">
      <c r="F301" s="149"/>
      <c r="G301" s="144"/>
      <c r="H301" s="149"/>
      <c r="L301" s="149"/>
      <c r="M301" s="163"/>
      <c r="N301" s="158"/>
      <c r="R301" s="149"/>
      <c r="T301" s="149"/>
      <c r="AB301" s="149"/>
      <c r="AC301" s="144"/>
      <c r="AD301" s="149"/>
      <c r="AH301" s="130"/>
      <c r="AI301" s="133"/>
      <c r="AJ301" s="175"/>
      <c r="AN301" s="149"/>
      <c r="AP301" s="149"/>
      <c r="AX301" s="149"/>
      <c r="AY301" s="163"/>
      <c r="AZ301" s="185"/>
      <c r="BD301" s="133"/>
      <c r="BE301" s="181"/>
      <c r="BF301" s="175"/>
      <c r="BJ301" s="149"/>
      <c r="BK301" s="163"/>
      <c r="BL301" s="185"/>
      <c r="BT301" s="130"/>
      <c r="BU301" s="133"/>
      <c r="BV301" s="149"/>
      <c r="BZ301" s="130"/>
      <c r="CA301" s="133"/>
      <c r="CB301" s="149"/>
      <c r="CF301" s="130"/>
      <c r="CG301" s="153"/>
      <c r="CH301" s="185"/>
      <c r="CP301" s="149"/>
      <c r="CR301" s="149"/>
    </row>
    <row r="302" spans="6:96" s="129" customFormat="1" x14ac:dyDescent="0.25">
      <c r="F302" s="149"/>
      <c r="G302" s="144"/>
      <c r="H302" s="149"/>
      <c r="L302" s="149"/>
      <c r="M302" s="163"/>
      <c r="N302" s="158"/>
      <c r="R302" s="149"/>
      <c r="T302" s="149"/>
      <c r="AB302" s="149"/>
      <c r="AC302" s="144"/>
      <c r="AD302" s="149"/>
      <c r="AH302" s="130"/>
      <c r="AI302" s="133"/>
      <c r="AJ302" s="175"/>
      <c r="AN302" s="149"/>
      <c r="AP302" s="149"/>
      <c r="AX302" s="149"/>
      <c r="AY302" s="163"/>
      <c r="AZ302" s="185"/>
      <c r="BD302" s="133"/>
      <c r="BE302" s="181"/>
      <c r="BF302" s="175"/>
      <c r="BJ302" s="149"/>
      <c r="BK302" s="163"/>
      <c r="BL302" s="185"/>
      <c r="BT302" s="130"/>
      <c r="BU302" s="133"/>
      <c r="BV302" s="149"/>
      <c r="BZ302" s="130"/>
      <c r="CA302" s="133"/>
      <c r="CB302" s="149"/>
      <c r="CF302" s="130"/>
      <c r="CG302" s="153"/>
      <c r="CH302" s="185"/>
      <c r="CP302" s="149"/>
      <c r="CR302" s="149"/>
    </row>
    <row r="303" spans="6:96" s="129" customFormat="1" x14ac:dyDescent="0.25">
      <c r="F303" s="149"/>
      <c r="G303" s="144"/>
      <c r="H303" s="149"/>
      <c r="L303" s="149"/>
      <c r="M303" s="163"/>
      <c r="N303" s="158"/>
      <c r="R303" s="149"/>
      <c r="T303" s="149"/>
      <c r="AB303" s="149"/>
      <c r="AC303" s="144"/>
      <c r="AD303" s="149"/>
      <c r="AH303" s="130"/>
      <c r="AI303" s="133"/>
      <c r="AJ303" s="175"/>
      <c r="AN303" s="149"/>
      <c r="AP303" s="149"/>
      <c r="AX303" s="149"/>
      <c r="AY303" s="163"/>
      <c r="AZ303" s="185"/>
      <c r="BD303" s="133"/>
      <c r="BE303" s="181"/>
      <c r="BF303" s="175"/>
      <c r="BJ303" s="149"/>
      <c r="BK303" s="163"/>
      <c r="BL303" s="185"/>
      <c r="BT303" s="130"/>
      <c r="BU303" s="133"/>
      <c r="BV303" s="149"/>
      <c r="BZ303" s="130"/>
      <c r="CA303" s="133"/>
      <c r="CB303" s="149"/>
      <c r="CF303" s="130"/>
      <c r="CG303" s="153"/>
      <c r="CH303" s="185"/>
      <c r="CP303" s="149"/>
      <c r="CR303" s="149"/>
    </row>
    <row r="304" spans="6:96" s="129" customFormat="1" x14ac:dyDescent="0.25">
      <c r="F304" s="149"/>
      <c r="G304" s="144"/>
      <c r="H304" s="149"/>
      <c r="L304" s="149"/>
      <c r="M304" s="163"/>
      <c r="N304" s="158"/>
      <c r="R304" s="149"/>
      <c r="T304" s="149"/>
      <c r="AB304" s="149"/>
      <c r="AC304" s="144"/>
      <c r="AD304" s="149"/>
      <c r="AH304" s="130"/>
      <c r="AI304" s="133"/>
      <c r="AJ304" s="175"/>
      <c r="AN304" s="149"/>
      <c r="AP304" s="149"/>
      <c r="AX304" s="149"/>
      <c r="AY304" s="163"/>
      <c r="AZ304" s="185"/>
      <c r="BD304" s="133"/>
      <c r="BE304" s="181"/>
      <c r="BF304" s="175"/>
      <c r="BJ304" s="149"/>
      <c r="BK304" s="163"/>
      <c r="BL304" s="185"/>
      <c r="BT304" s="130"/>
      <c r="BU304" s="133"/>
      <c r="BV304" s="149"/>
      <c r="BZ304" s="130"/>
      <c r="CA304" s="133"/>
      <c r="CB304" s="149"/>
      <c r="CF304" s="130"/>
      <c r="CG304" s="153"/>
      <c r="CH304" s="185"/>
      <c r="CP304" s="149"/>
      <c r="CR304" s="149"/>
    </row>
    <row r="305" spans="6:96" s="129" customFormat="1" x14ac:dyDescent="0.25">
      <c r="F305" s="149"/>
      <c r="G305" s="144"/>
      <c r="H305" s="149"/>
      <c r="L305" s="149"/>
      <c r="M305" s="163"/>
      <c r="N305" s="158"/>
      <c r="R305" s="149"/>
      <c r="T305" s="149"/>
      <c r="AB305" s="149"/>
      <c r="AC305" s="144"/>
      <c r="AD305" s="149"/>
      <c r="AH305" s="130"/>
      <c r="AI305" s="133"/>
      <c r="AJ305" s="175"/>
      <c r="AN305" s="149"/>
      <c r="AP305" s="149"/>
      <c r="AX305" s="149"/>
      <c r="AY305" s="163"/>
      <c r="AZ305" s="185"/>
      <c r="BD305" s="133"/>
      <c r="BE305" s="181"/>
      <c r="BF305" s="175"/>
      <c r="BJ305" s="149"/>
      <c r="BK305" s="163"/>
      <c r="BL305" s="185"/>
      <c r="BT305" s="130"/>
      <c r="BU305" s="133"/>
      <c r="BV305" s="149"/>
      <c r="BZ305" s="130"/>
      <c r="CA305" s="133"/>
      <c r="CB305" s="149"/>
      <c r="CF305" s="130"/>
      <c r="CG305" s="153"/>
      <c r="CH305" s="185"/>
      <c r="CP305" s="149"/>
      <c r="CR305" s="149"/>
    </row>
    <row r="306" spans="6:96" s="129" customFormat="1" x14ac:dyDescent="0.25">
      <c r="F306" s="149"/>
      <c r="G306" s="144"/>
      <c r="H306" s="149"/>
      <c r="L306" s="149"/>
      <c r="M306" s="163"/>
      <c r="N306" s="158"/>
      <c r="R306" s="149"/>
      <c r="T306" s="149"/>
      <c r="AB306" s="149"/>
      <c r="AC306" s="144"/>
      <c r="AD306" s="149"/>
      <c r="AH306" s="130"/>
      <c r="AI306" s="133"/>
      <c r="AJ306" s="175"/>
      <c r="AN306" s="149"/>
      <c r="AP306" s="149"/>
      <c r="AX306" s="149"/>
      <c r="AY306" s="163"/>
      <c r="AZ306" s="185"/>
      <c r="BD306" s="133"/>
      <c r="BE306" s="181"/>
      <c r="BF306" s="175"/>
      <c r="BJ306" s="149"/>
      <c r="BK306" s="163"/>
      <c r="BL306" s="185"/>
      <c r="BT306" s="130"/>
      <c r="BU306" s="133"/>
      <c r="BV306" s="149"/>
      <c r="BZ306" s="130"/>
      <c r="CA306" s="133"/>
      <c r="CB306" s="149"/>
      <c r="CF306" s="130"/>
      <c r="CG306" s="153"/>
      <c r="CH306" s="185"/>
      <c r="CP306" s="149"/>
      <c r="CR306" s="149"/>
    </row>
    <row r="307" spans="6:96" s="129" customFormat="1" x14ac:dyDescent="0.25">
      <c r="F307" s="149"/>
      <c r="G307" s="144"/>
      <c r="H307" s="149"/>
      <c r="L307" s="149"/>
      <c r="M307" s="163"/>
      <c r="N307" s="158"/>
      <c r="R307" s="149"/>
      <c r="T307" s="149"/>
      <c r="AB307" s="149"/>
      <c r="AC307" s="144"/>
      <c r="AD307" s="149"/>
      <c r="AH307" s="130"/>
      <c r="AI307" s="133"/>
      <c r="AJ307" s="175"/>
      <c r="AN307" s="149"/>
      <c r="AP307" s="149"/>
      <c r="AX307" s="149"/>
      <c r="AY307" s="163"/>
      <c r="AZ307" s="185"/>
      <c r="BD307" s="133"/>
      <c r="BE307" s="181"/>
      <c r="BF307" s="175"/>
      <c r="BJ307" s="149"/>
      <c r="BK307" s="163"/>
      <c r="BL307" s="185"/>
      <c r="BT307" s="130"/>
      <c r="BU307" s="133"/>
      <c r="BV307" s="149"/>
      <c r="BZ307" s="130"/>
      <c r="CA307" s="133"/>
      <c r="CB307" s="149"/>
      <c r="CF307" s="130"/>
      <c r="CG307" s="153"/>
      <c r="CH307" s="185"/>
      <c r="CP307" s="149"/>
      <c r="CR307" s="149"/>
    </row>
    <row r="308" spans="6:96" s="129" customFormat="1" x14ac:dyDescent="0.25">
      <c r="F308" s="149"/>
      <c r="G308" s="144"/>
      <c r="H308" s="149"/>
      <c r="L308" s="149"/>
      <c r="M308" s="163"/>
      <c r="N308" s="158"/>
      <c r="R308" s="149"/>
      <c r="T308" s="149"/>
      <c r="AB308" s="149"/>
      <c r="AC308" s="144"/>
      <c r="AD308" s="149"/>
      <c r="AH308" s="130"/>
      <c r="AI308" s="133"/>
      <c r="AJ308" s="175"/>
      <c r="AN308" s="149"/>
      <c r="AP308" s="149"/>
      <c r="AX308" s="149"/>
      <c r="AY308" s="163"/>
      <c r="AZ308" s="185"/>
      <c r="BD308" s="133"/>
      <c r="BE308" s="181"/>
      <c r="BF308" s="175"/>
      <c r="BJ308" s="149"/>
      <c r="BK308" s="163"/>
      <c r="BL308" s="185"/>
      <c r="BT308" s="130"/>
      <c r="BU308" s="133"/>
      <c r="BV308" s="149"/>
      <c r="BZ308" s="130"/>
      <c r="CA308" s="133"/>
      <c r="CB308" s="149"/>
      <c r="CF308" s="130"/>
      <c r="CG308" s="153"/>
      <c r="CH308" s="185"/>
      <c r="CP308" s="149"/>
      <c r="CR308" s="149"/>
    </row>
    <row r="309" spans="6:96" s="129" customFormat="1" x14ac:dyDescent="0.25">
      <c r="F309" s="149"/>
      <c r="G309" s="144"/>
      <c r="H309" s="149"/>
      <c r="L309" s="149"/>
      <c r="M309" s="163"/>
      <c r="N309" s="158"/>
      <c r="R309" s="149"/>
      <c r="T309" s="149"/>
      <c r="AB309" s="149"/>
      <c r="AC309" s="144"/>
      <c r="AD309" s="149"/>
      <c r="AH309" s="130"/>
      <c r="AI309" s="133"/>
      <c r="AJ309" s="175"/>
      <c r="AN309" s="149"/>
      <c r="AP309" s="149"/>
      <c r="AX309" s="149"/>
      <c r="AY309" s="163"/>
      <c r="AZ309" s="185"/>
      <c r="BD309" s="133"/>
      <c r="BE309" s="181"/>
      <c r="BF309" s="175"/>
      <c r="BJ309" s="149"/>
      <c r="BK309" s="163"/>
      <c r="BL309" s="185"/>
      <c r="BT309" s="130"/>
      <c r="BU309" s="133"/>
      <c r="BV309" s="149"/>
      <c r="BZ309" s="130"/>
      <c r="CA309" s="133"/>
      <c r="CB309" s="149"/>
      <c r="CF309" s="130"/>
      <c r="CG309" s="153"/>
      <c r="CH309" s="185"/>
      <c r="CP309" s="149"/>
      <c r="CR309" s="149"/>
    </row>
    <row r="310" spans="6:96" s="129" customFormat="1" x14ac:dyDescent="0.25">
      <c r="F310" s="149"/>
      <c r="G310" s="144"/>
      <c r="H310" s="149"/>
      <c r="L310" s="149"/>
      <c r="M310" s="163"/>
      <c r="N310" s="158"/>
      <c r="R310" s="149"/>
      <c r="T310" s="149"/>
      <c r="AB310" s="149"/>
      <c r="AC310" s="144"/>
      <c r="AD310" s="149"/>
      <c r="AH310" s="130"/>
      <c r="AI310" s="133"/>
      <c r="AJ310" s="175"/>
      <c r="AN310" s="149"/>
      <c r="AP310" s="149"/>
      <c r="AX310" s="149"/>
      <c r="AY310" s="163"/>
      <c r="AZ310" s="185"/>
      <c r="BD310" s="133"/>
      <c r="BE310" s="181"/>
      <c r="BF310" s="175"/>
      <c r="BJ310" s="149"/>
      <c r="BK310" s="163"/>
      <c r="BL310" s="185"/>
      <c r="BT310" s="130"/>
      <c r="BU310" s="133"/>
      <c r="BV310" s="149"/>
      <c r="BZ310" s="130"/>
      <c r="CA310" s="133"/>
      <c r="CB310" s="149"/>
      <c r="CF310" s="130"/>
      <c r="CG310" s="153"/>
      <c r="CH310" s="185"/>
      <c r="CP310" s="149"/>
      <c r="CR310" s="149"/>
    </row>
    <row r="311" spans="6:96" s="129" customFormat="1" x14ac:dyDescent="0.25">
      <c r="F311" s="149"/>
      <c r="G311" s="144"/>
      <c r="H311" s="149"/>
      <c r="L311" s="149"/>
      <c r="M311" s="163"/>
      <c r="N311" s="158"/>
      <c r="R311" s="149"/>
      <c r="T311" s="149"/>
      <c r="AB311" s="149"/>
      <c r="AC311" s="144"/>
      <c r="AD311" s="149"/>
      <c r="AH311" s="130"/>
      <c r="AI311" s="133"/>
      <c r="AJ311" s="175"/>
      <c r="AN311" s="149"/>
      <c r="AP311" s="149"/>
      <c r="AX311" s="149"/>
      <c r="AY311" s="163"/>
      <c r="AZ311" s="185"/>
      <c r="BD311" s="133"/>
      <c r="BE311" s="181"/>
      <c r="BF311" s="175"/>
      <c r="BJ311" s="149"/>
      <c r="BK311" s="163"/>
      <c r="BL311" s="185"/>
      <c r="BT311" s="130"/>
      <c r="BU311" s="133"/>
      <c r="BV311" s="149"/>
      <c r="BZ311" s="130"/>
      <c r="CA311" s="133"/>
      <c r="CB311" s="149"/>
      <c r="CF311" s="130"/>
      <c r="CG311" s="153"/>
      <c r="CH311" s="185"/>
      <c r="CP311" s="149"/>
      <c r="CR311" s="149"/>
    </row>
    <row r="312" spans="6:96" s="129" customFormat="1" x14ac:dyDescent="0.25">
      <c r="F312" s="149"/>
      <c r="G312" s="144"/>
      <c r="H312" s="149"/>
      <c r="L312" s="149"/>
      <c r="M312" s="163"/>
      <c r="N312" s="158"/>
      <c r="R312" s="149"/>
      <c r="T312" s="149"/>
      <c r="AB312" s="149"/>
      <c r="AC312" s="144"/>
      <c r="AD312" s="149"/>
      <c r="AH312" s="130"/>
      <c r="AI312" s="133"/>
      <c r="AJ312" s="175"/>
      <c r="AN312" s="149"/>
      <c r="AP312" s="149"/>
      <c r="AX312" s="149"/>
      <c r="AY312" s="163"/>
      <c r="AZ312" s="185"/>
      <c r="BD312" s="133"/>
      <c r="BE312" s="181"/>
      <c r="BF312" s="175"/>
      <c r="BJ312" s="149"/>
      <c r="BK312" s="163"/>
      <c r="BL312" s="185"/>
      <c r="BT312" s="130"/>
      <c r="BU312" s="133"/>
      <c r="BV312" s="149"/>
      <c r="BZ312" s="130"/>
      <c r="CA312" s="133"/>
      <c r="CB312" s="149"/>
      <c r="CF312" s="130"/>
      <c r="CG312" s="153"/>
      <c r="CH312" s="185"/>
      <c r="CP312" s="149"/>
      <c r="CR312" s="149"/>
    </row>
    <row r="313" spans="6:96" s="129" customFormat="1" x14ac:dyDescent="0.25">
      <c r="F313" s="149"/>
      <c r="G313" s="144"/>
      <c r="H313" s="149"/>
      <c r="L313" s="149"/>
      <c r="M313" s="163"/>
      <c r="N313" s="158"/>
      <c r="R313" s="149"/>
      <c r="T313" s="149"/>
      <c r="AB313" s="149"/>
      <c r="AC313" s="144"/>
      <c r="AD313" s="149"/>
      <c r="AH313" s="130"/>
      <c r="AI313" s="133"/>
      <c r="AJ313" s="175"/>
      <c r="AN313" s="149"/>
      <c r="AP313" s="149"/>
      <c r="AX313" s="149"/>
      <c r="AY313" s="163"/>
      <c r="AZ313" s="185"/>
      <c r="BD313" s="133"/>
      <c r="BE313" s="181"/>
      <c r="BF313" s="175"/>
      <c r="BJ313" s="149"/>
      <c r="BK313" s="163"/>
      <c r="BL313" s="185"/>
      <c r="BT313" s="130"/>
      <c r="BU313" s="133"/>
      <c r="BV313" s="149"/>
      <c r="BZ313" s="130"/>
      <c r="CA313" s="133"/>
      <c r="CB313" s="149"/>
      <c r="CF313" s="130"/>
      <c r="CG313" s="153"/>
      <c r="CH313" s="185"/>
      <c r="CP313" s="149"/>
      <c r="CR313" s="149"/>
    </row>
    <row r="314" spans="6:96" s="129" customFormat="1" x14ac:dyDescent="0.25">
      <c r="F314" s="149"/>
      <c r="G314" s="144"/>
      <c r="H314" s="149"/>
      <c r="L314" s="149"/>
      <c r="M314" s="163"/>
      <c r="N314" s="158"/>
      <c r="R314" s="149"/>
      <c r="T314" s="149"/>
      <c r="AB314" s="149"/>
      <c r="AC314" s="144"/>
      <c r="AD314" s="149"/>
      <c r="AH314" s="130"/>
      <c r="AI314" s="133"/>
      <c r="AJ314" s="175"/>
      <c r="AN314" s="149"/>
      <c r="AP314" s="149"/>
      <c r="AX314" s="149"/>
      <c r="AY314" s="163"/>
      <c r="AZ314" s="185"/>
      <c r="BD314" s="133"/>
      <c r="BE314" s="181"/>
      <c r="BF314" s="175"/>
      <c r="BJ314" s="149"/>
      <c r="BK314" s="163"/>
      <c r="BL314" s="185"/>
      <c r="BT314" s="130"/>
      <c r="BU314" s="133"/>
      <c r="BV314" s="149"/>
      <c r="BZ314" s="130"/>
      <c r="CA314" s="133"/>
      <c r="CB314" s="149"/>
      <c r="CF314" s="130"/>
      <c r="CG314" s="153"/>
      <c r="CH314" s="185"/>
      <c r="CP314" s="149"/>
      <c r="CR314" s="149"/>
    </row>
    <row r="315" spans="6:96" s="129" customFormat="1" x14ac:dyDescent="0.25">
      <c r="F315" s="149"/>
      <c r="G315" s="144"/>
      <c r="H315" s="149"/>
      <c r="L315" s="149"/>
      <c r="M315" s="163"/>
      <c r="N315" s="158"/>
      <c r="R315" s="149"/>
      <c r="T315" s="149"/>
      <c r="AB315" s="149"/>
      <c r="AC315" s="144"/>
      <c r="AD315" s="149"/>
      <c r="AH315" s="130"/>
      <c r="AI315" s="133"/>
      <c r="AJ315" s="175"/>
      <c r="AN315" s="149"/>
      <c r="AP315" s="149"/>
      <c r="AX315" s="149"/>
      <c r="AY315" s="163"/>
      <c r="AZ315" s="185"/>
      <c r="BD315" s="133"/>
      <c r="BE315" s="181"/>
      <c r="BF315" s="175"/>
      <c r="BJ315" s="149"/>
      <c r="BK315" s="163"/>
      <c r="BL315" s="185"/>
      <c r="BT315" s="130"/>
      <c r="BU315" s="133"/>
      <c r="BV315" s="149"/>
      <c r="BZ315" s="130"/>
      <c r="CA315" s="133"/>
      <c r="CB315" s="149"/>
      <c r="CF315" s="130"/>
      <c r="CG315" s="153"/>
      <c r="CH315" s="185"/>
      <c r="CP315" s="149"/>
      <c r="CR315" s="149"/>
    </row>
    <row r="316" spans="6:96" s="129" customFormat="1" x14ac:dyDescent="0.25">
      <c r="F316" s="149"/>
      <c r="G316" s="144"/>
      <c r="H316" s="149"/>
      <c r="L316" s="149"/>
      <c r="M316" s="163"/>
      <c r="N316" s="158"/>
      <c r="R316" s="149"/>
      <c r="T316" s="149"/>
      <c r="AB316" s="149"/>
      <c r="AC316" s="144"/>
      <c r="AD316" s="149"/>
      <c r="AH316" s="130"/>
      <c r="AI316" s="133"/>
      <c r="AJ316" s="175"/>
      <c r="AN316" s="149"/>
      <c r="AP316" s="149"/>
      <c r="AX316" s="149"/>
      <c r="AY316" s="163"/>
      <c r="AZ316" s="185"/>
      <c r="BD316" s="133"/>
      <c r="BE316" s="181"/>
      <c r="BF316" s="175"/>
      <c r="BJ316" s="149"/>
      <c r="BK316" s="163"/>
      <c r="BL316" s="185"/>
      <c r="BT316" s="130"/>
      <c r="BU316" s="133"/>
      <c r="BV316" s="149"/>
      <c r="BZ316" s="130"/>
      <c r="CA316" s="133"/>
      <c r="CB316" s="149"/>
      <c r="CF316" s="130"/>
      <c r="CG316" s="153"/>
      <c r="CH316" s="185"/>
      <c r="CP316" s="149"/>
      <c r="CR316" s="149"/>
    </row>
    <row r="317" spans="6:96" s="129" customFormat="1" x14ac:dyDescent="0.25">
      <c r="F317" s="149"/>
      <c r="G317" s="144"/>
      <c r="H317" s="149"/>
      <c r="L317" s="149"/>
      <c r="M317" s="163"/>
      <c r="N317" s="158"/>
      <c r="R317" s="149"/>
      <c r="T317" s="149"/>
      <c r="AB317" s="149"/>
      <c r="AC317" s="144"/>
      <c r="AD317" s="149"/>
      <c r="AH317" s="130"/>
      <c r="AI317" s="133"/>
      <c r="AJ317" s="175"/>
      <c r="AN317" s="149"/>
      <c r="AP317" s="149"/>
      <c r="AX317" s="149"/>
      <c r="AY317" s="163"/>
      <c r="AZ317" s="185"/>
      <c r="BD317" s="133"/>
      <c r="BE317" s="181"/>
      <c r="BF317" s="175"/>
      <c r="BJ317" s="149"/>
      <c r="BK317" s="163"/>
      <c r="BL317" s="185"/>
      <c r="BT317" s="130"/>
      <c r="BU317" s="133"/>
      <c r="BV317" s="149"/>
      <c r="BZ317" s="130"/>
      <c r="CA317" s="133"/>
      <c r="CB317" s="149"/>
      <c r="CF317" s="130"/>
      <c r="CG317" s="153"/>
      <c r="CH317" s="185"/>
      <c r="CP317" s="149"/>
      <c r="CR317" s="149"/>
    </row>
    <row r="318" spans="6:96" s="129" customFormat="1" x14ac:dyDescent="0.25">
      <c r="F318" s="149"/>
      <c r="G318" s="144"/>
      <c r="H318" s="149"/>
      <c r="L318" s="149"/>
      <c r="M318" s="163"/>
      <c r="N318" s="158"/>
      <c r="R318" s="149"/>
      <c r="T318" s="149"/>
      <c r="AB318" s="149"/>
      <c r="AC318" s="144"/>
      <c r="AD318" s="149"/>
      <c r="AH318" s="130"/>
      <c r="AI318" s="133"/>
      <c r="AJ318" s="175"/>
      <c r="AN318" s="149"/>
      <c r="AP318" s="149"/>
      <c r="AX318" s="149"/>
      <c r="AY318" s="163"/>
      <c r="AZ318" s="185"/>
      <c r="BD318" s="133"/>
      <c r="BE318" s="181"/>
      <c r="BF318" s="175"/>
      <c r="BJ318" s="149"/>
      <c r="BK318" s="163"/>
      <c r="BL318" s="185"/>
      <c r="BT318" s="130"/>
      <c r="BU318" s="133"/>
      <c r="BV318" s="149"/>
      <c r="BZ318" s="130"/>
      <c r="CA318" s="133"/>
      <c r="CB318" s="149"/>
      <c r="CF318" s="130"/>
      <c r="CG318" s="153"/>
      <c r="CH318" s="185"/>
      <c r="CP318" s="149"/>
      <c r="CR318" s="149"/>
    </row>
    <row r="319" spans="6:96" s="129" customFormat="1" x14ac:dyDescent="0.25">
      <c r="F319" s="149"/>
      <c r="G319" s="144"/>
      <c r="H319" s="149"/>
      <c r="L319" s="149"/>
      <c r="M319" s="163"/>
      <c r="N319" s="158"/>
      <c r="R319" s="149"/>
      <c r="T319" s="149"/>
      <c r="AB319" s="149"/>
      <c r="AC319" s="144"/>
      <c r="AD319" s="149"/>
      <c r="AH319" s="130"/>
      <c r="AI319" s="133"/>
      <c r="AJ319" s="175"/>
      <c r="AN319" s="149"/>
      <c r="AP319" s="149"/>
      <c r="AX319" s="149"/>
      <c r="AY319" s="163"/>
      <c r="AZ319" s="185"/>
      <c r="BD319" s="133"/>
      <c r="BE319" s="181"/>
      <c r="BF319" s="175"/>
      <c r="BJ319" s="149"/>
      <c r="BK319" s="163"/>
      <c r="BL319" s="185"/>
      <c r="BT319" s="130"/>
      <c r="BU319" s="133"/>
      <c r="BV319" s="149"/>
      <c r="BZ319" s="130"/>
      <c r="CA319" s="133"/>
      <c r="CB319" s="149"/>
      <c r="CF319" s="130"/>
      <c r="CG319" s="153"/>
      <c r="CH319" s="185"/>
      <c r="CP319" s="149"/>
      <c r="CR319" s="149"/>
    </row>
    <row r="320" spans="6:96" s="129" customFormat="1" x14ac:dyDescent="0.25">
      <c r="F320" s="149"/>
      <c r="G320" s="144"/>
      <c r="H320" s="149"/>
      <c r="L320" s="149"/>
      <c r="M320" s="163"/>
      <c r="N320" s="158"/>
      <c r="R320" s="149"/>
      <c r="T320" s="149"/>
      <c r="AB320" s="149"/>
      <c r="AC320" s="144"/>
      <c r="AD320" s="149"/>
      <c r="AH320" s="130"/>
      <c r="AI320" s="133"/>
      <c r="AJ320" s="175"/>
      <c r="AN320" s="149"/>
      <c r="AP320" s="149"/>
      <c r="AX320" s="149"/>
      <c r="AY320" s="163"/>
      <c r="AZ320" s="185"/>
      <c r="BD320" s="133"/>
      <c r="BE320" s="181"/>
      <c r="BF320" s="175"/>
      <c r="BJ320" s="149"/>
      <c r="BK320" s="163"/>
      <c r="BL320" s="185"/>
      <c r="BT320" s="130"/>
      <c r="BU320" s="133"/>
      <c r="BV320" s="149"/>
      <c r="BZ320" s="130"/>
      <c r="CA320" s="133"/>
      <c r="CB320" s="149"/>
      <c r="CF320" s="130"/>
      <c r="CG320" s="153"/>
      <c r="CH320" s="185"/>
      <c r="CP320" s="149"/>
      <c r="CR320" s="149"/>
    </row>
    <row r="321" spans="6:96" s="129" customFormat="1" x14ac:dyDescent="0.25">
      <c r="F321" s="149"/>
      <c r="G321" s="144"/>
      <c r="H321" s="149"/>
      <c r="L321" s="149"/>
      <c r="M321" s="163"/>
      <c r="N321" s="158"/>
      <c r="R321" s="149"/>
      <c r="T321" s="149"/>
      <c r="AB321" s="149"/>
      <c r="AC321" s="144"/>
      <c r="AD321" s="149"/>
      <c r="AH321" s="130"/>
      <c r="AI321" s="133"/>
      <c r="AJ321" s="175"/>
      <c r="AN321" s="149"/>
      <c r="AP321" s="149"/>
      <c r="AX321" s="149"/>
      <c r="AY321" s="163"/>
      <c r="AZ321" s="185"/>
      <c r="BD321" s="133"/>
      <c r="BE321" s="181"/>
      <c r="BF321" s="175"/>
      <c r="BJ321" s="149"/>
      <c r="BK321" s="163"/>
      <c r="BL321" s="185"/>
      <c r="BT321" s="130"/>
      <c r="BU321" s="133"/>
      <c r="BV321" s="149"/>
      <c r="BZ321" s="130"/>
      <c r="CA321" s="133"/>
      <c r="CB321" s="149"/>
      <c r="CF321" s="130"/>
      <c r="CG321" s="153"/>
      <c r="CH321" s="185"/>
      <c r="CP321" s="149"/>
      <c r="CR321" s="149"/>
    </row>
    <row r="322" spans="6:96" s="129" customFormat="1" x14ac:dyDescent="0.25">
      <c r="F322" s="149"/>
      <c r="G322" s="144"/>
      <c r="H322" s="149"/>
      <c r="L322" s="149"/>
      <c r="M322" s="163"/>
      <c r="N322" s="158"/>
      <c r="R322" s="149"/>
      <c r="T322" s="149"/>
      <c r="AB322" s="149"/>
      <c r="AC322" s="144"/>
      <c r="AD322" s="149"/>
      <c r="AH322" s="130"/>
      <c r="AI322" s="133"/>
      <c r="AJ322" s="175"/>
      <c r="AN322" s="149"/>
      <c r="AP322" s="149"/>
      <c r="AX322" s="149"/>
      <c r="AY322" s="163"/>
      <c r="AZ322" s="185"/>
      <c r="BD322" s="133"/>
      <c r="BE322" s="181"/>
      <c r="BF322" s="175"/>
      <c r="BJ322" s="149"/>
      <c r="BK322" s="163"/>
      <c r="BL322" s="185"/>
      <c r="BT322" s="130"/>
      <c r="BU322" s="133"/>
      <c r="BV322" s="149"/>
      <c r="BZ322" s="130"/>
      <c r="CA322" s="133"/>
      <c r="CB322" s="149"/>
      <c r="CF322" s="130"/>
      <c r="CG322" s="153"/>
      <c r="CH322" s="185"/>
      <c r="CP322" s="149"/>
      <c r="CR322" s="149"/>
    </row>
    <row r="323" spans="6:96" s="129" customFormat="1" x14ac:dyDescent="0.25">
      <c r="F323" s="149"/>
      <c r="G323" s="144"/>
      <c r="H323" s="149"/>
      <c r="L323" s="149"/>
      <c r="M323" s="163"/>
      <c r="N323" s="158"/>
      <c r="R323" s="149"/>
      <c r="T323" s="149"/>
      <c r="AB323" s="149"/>
      <c r="AC323" s="144"/>
      <c r="AD323" s="149"/>
      <c r="AH323" s="130"/>
      <c r="AI323" s="133"/>
      <c r="AJ323" s="175"/>
      <c r="AN323" s="149"/>
      <c r="AP323" s="149"/>
      <c r="AX323" s="149"/>
      <c r="AY323" s="163"/>
      <c r="AZ323" s="185"/>
      <c r="BD323" s="133"/>
      <c r="BE323" s="181"/>
      <c r="BF323" s="175"/>
      <c r="BJ323" s="149"/>
      <c r="BK323" s="163"/>
      <c r="BL323" s="185"/>
      <c r="BT323" s="130"/>
      <c r="BU323" s="133"/>
      <c r="BV323" s="149"/>
      <c r="BZ323" s="130"/>
      <c r="CA323" s="133"/>
      <c r="CB323" s="149"/>
      <c r="CF323" s="130"/>
      <c r="CG323" s="153"/>
      <c r="CH323" s="185"/>
      <c r="CP323" s="149"/>
      <c r="CR323" s="149"/>
    </row>
    <row r="324" spans="6:96" s="129" customFormat="1" x14ac:dyDescent="0.25">
      <c r="F324" s="149"/>
      <c r="G324" s="144"/>
      <c r="H324" s="149"/>
      <c r="L324" s="149"/>
      <c r="M324" s="163"/>
      <c r="N324" s="158"/>
      <c r="R324" s="149"/>
      <c r="T324" s="149"/>
      <c r="AB324" s="149"/>
      <c r="AC324" s="144"/>
      <c r="AD324" s="149"/>
      <c r="AH324" s="130"/>
      <c r="AI324" s="133"/>
      <c r="AJ324" s="175"/>
      <c r="AN324" s="149"/>
      <c r="AP324" s="149"/>
      <c r="AX324" s="149"/>
      <c r="AY324" s="163"/>
      <c r="AZ324" s="185"/>
      <c r="BD324" s="133"/>
      <c r="BE324" s="181"/>
      <c r="BF324" s="175"/>
      <c r="BJ324" s="149"/>
      <c r="BK324" s="163"/>
      <c r="BL324" s="185"/>
      <c r="BT324" s="130"/>
      <c r="BU324" s="133"/>
      <c r="BV324" s="149"/>
      <c r="BZ324" s="130"/>
      <c r="CA324" s="133"/>
      <c r="CB324" s="149"/>
      <c r="CF324" s="130"/>
      <c r="CG324" s="153"/>
      <c r="CH324" s="185"/>
      <c r="CP324" s="149"/>
      <c r="CR324" s="149"/>
    </row>
    <row r="325" spans="6:96" s="129" customFormat="1" x14ac:dyDescent="0.25">
      <c r="F325" s="149"/>
      <c r="G325" s="144"/>
      <c r="H325" s="149"/>
      <c r="L325" s="149"/>
      <c r="M325" s="163"/>
      <c r="N325" s="158"/>
      <c r="R325" s="149"/>
      <c r="T325" s="149"/>
      <c r="AB325" s="149"/>
      <c r="AC325" s="144"/>
      <c r="AD325" s="149"/>
      <c r="AH325" s="130"/>
      <c r="AI325" s="133"/>
      <c r="AJ325" s="175"/>
      <c r="AN325" s="149"/>
      <c r="AP325" s="149"/>
      <c r="AX325" s="149"/>
      <c r="AY325" s="163"/>
      <c r="AZ325" s="185"/>
      <c r="BD325" s="133"/>
      <c r="BE325" s="181"/>
      <c r="BF325" s="175"/>
      <c r="BJ325" s="149"/>
      <c r="BK325" s="163"/>
      <c r="BL325" s="185"/>
      <c r="BT325" s="130"/>
      <c r="BU325" s="133"/>
      <c r="BV325" s="149"/>
      <c r="BZ325" s="130"/>
      <c r="CA325" s="133"/>
      <c r="CB325" s="149"/>
      <c r="CF325" s="130"/>
      <c r="CG325" s="153"/>
      <c r="CH325" s="185"/>
      <c r="CP325" s="149"/>
      <c r="CR325" s="149"/>
    </row>
    <row r="326" spans="6:96" s="129" customFormat="1" x14ac:dyDescent="0.25">
      <c r="F326" s="149"/>
      <c r="G326" s="144"/>
      <c r="H326" s="149"/>
      <c r="L326" s="149"/>
      <c r="M326" s="163"/>
      <c r="N326" s="158"/>
      <c r="R326" s="149"/>
      <c r="T326" s="149"/>
      <c r="AB326" s="149"/>
      <c r="AC326" s="144"/>
      <c r="AD326" s="149"/>
      <c r="AH326" s="130"/>
      <c r="AI326" s="133"/>
      <c r="AJ326" s="175"/>
      <c r="AN326" s="149"/>
      <c r="AP326" s="149"/>
      <c r="AX326" s="149"/>
      <c r="AY326" s="163"/>
      <c r="AZ326" s="185"/>
      <c r="BD326" s="133"/>
      <c r="BE326" s="181"/>
      <c r="BF326" s="175"/>
      <c r="BJ326" s="149"/>
      <c r="BK326" s="163"/>
      <c r="BL326" s="185"/>
      <c r="BT326" s="130"/>
      <c r="BU326" s="133"/>
      <c r="BV326" s="149"/>
      <c r="BZ326" s="130"/>
      <c r="CA326" s="133"/>
      <c r="CB326" s="149"/>
      <c r="CF326" s="130"/>
      <c r="CG326" s="153"/>
      <c r="CH326" s="185"/>
      <c r="CP326" s="149"/>
      <c r="CR326" s="149"/>
    </row>
    <row r="327" spans="6:96" s="129" customFormat="1" x14ac:dyDescent="0.25">
      <c r="F327" s="149"/>
      <c r="G327" s="144"/>
      <c r="H327" s="149"/>
      <c r="L327" s="149"/>
      <c r="M327" s="163"/>
      <c r="N327" s="158"/>
      <c r="R327" s="149"/>
      <c r="T327" s="149"/>
      <c r="AB327" s="149"/>
      <c r="AC327" s="144"/>
      <c r="AD327" s="149"/>
      <c r="AH327" s="130"/>
      <c r="AI327" s="133"/>
      <c r="AJ327" s="175"/>
      <c r="AN327" s="149"/>
      <c r="AP327" s="149"/>
      <c r="AX327" s="149"/>
      <c r="AY327" s="163"/>
      <c r="AZ327" s="185"/>
      <c r="BD327" s="133"/>
      <c r="BE327" s="181"/>
      <c r="BF327" s="175"/>
      <c r="BJ327" s="149"/>
      <c r="BK327" s="163"/>
      <c r="BL327" s="185"/>
      <c r="BT327" s="130"/>
      <c r="BU327" s="133"/>
      <c r="BV327" s="149"/>
      <c r="BZ327" s="130"/>
      <c r="CA327" s="133"/>
      <c r="CB327" s="149"/>
      <c r="CF327" s="130"/>
      <c r="CG327" s="153"/>
      <c r="CH327" s="185"/>
      <c r="CP327" s="149"/>
      <c r="CR327" s="149"/>
    </row>
    <row r="328" spans="6:96" s="129" customFormat="1" x14ac:dyDescent="0.25">
      <c r="F328" s="149"/>
      <c r="G328" s="144"/>
      <c r="H328" s="149"/>
      <c r="L328" s="149"/>
      <c r="M328" s="163"/>
      <c r="N328" s="158"/>
      <c r="R328" s="149"/>
      <c r="T328" s="149"/>
      <c r="AB328" s="149"/>
      <c r="AC328" s="144"/>
      <c r="AD328" s="149"/>
      <c r="AH328" s="130"/>
      <c r="AI328" s="133"/>
      <c r="AJ328" s="175"/>
      <c r="AN328" s="149"/>
      <c r="AP328" s="149"/>
      <c r="AX328" s="149"/>
      <c r="AY328" s="163"/>
      <c r="AZ328" s="185"/>
      <c r="BD328" s="133"/>
      <c r="BE328" s="181"/>
      <c r="BF328" s="175"/>
      <c r="BJ328" s="149"/>
      <c r="BK328" s="163"/>
      <c r="BL328" s="185"/>
      <c r="BT328" s="130"/>
      <c r="BU328" s="133"/>
      <c r="BV328" s="149"/>
      <c r="BZ328" s="130"/>
      <c r="CA328" s="133"/>
      <c r="CB328" s="149"/>
      <c r="CF328" s="130"/>
      <c r="CG328" s="153"/>
      <c r="CH328" s="185"/>
      <c r="CP328" s="149"/>
      <c r="CR328" s="149"/>
    </row>
    <row r="329" spans="6:96" s="129" customFormat="1" x14ac:dyDescent="0.25">
      <c r="F329" s="149"/>
      <c r="G329" s="144"/>
      <c r="H329" s="149"/>
      <c r="L329" s="149"/>
      <c r="M329" s="163"/>
      <c r="N329" s="158"/>
      <c r="R329" s="149"/>
      <c r="T329" s="149"/>
      <c r="AB329" s="149"/>
      <c r="AC329" s="144"/>
      <c r="AD329" s="149"/>
      <c r="AH329" s="130"/>
      <c r="AI329" s="133"/>
      <c r="AJ329" s="175"/>
      <c r="AN329" s="149"/>
      <c r="AP329" s="149"/>
      <c r="AX329" s="149"/>
      <c r="AY329" s="163"/>
      <c r="AZ329" s="185"/>
      <c r="BD329" s="133"/>
      <c r="BE329" s="181"/>
      <c r="BF329" s="175"/>
      <c r="BJ329" s="149"/>
      <c r="BK329" s="163"/>
      <c r="BL329" s="185"/>
      <c r="BT329" s="130"/>
      <c r="BU329" s="133"/>
      <c r="BV329" s="149"/>
      <c r="BZ329" s="130"/>
      <c r="CA329" s="133"/>
      <c r="CB329" s="149"/>
      <c r="CF329" s="130"/>
      <c r="CG329" s="153"/>
      <c r="CH329" s="185"/>
      <c r="CP329" s="149"/>
      <c r="CR329" s="149"/>
    </row>
    <row r="330" spans="6:96" s="129" customFormat="1" x14ac:dyDescent="0.25">
      <c r="F330" s="149"/>
      <c r="G330" s="144"/>
      <c r="H330" s="149"/>
      <c r="L330" s="149"/>
      <c r="M330" s="163"/>
      <c r="N330" s="158"/>
      <c r="R330" s="149"/>
      <c r="T330" s="149"/>
      <c r="AB330" s="149"/>
      <c r="AC330" s="144"/>
      <c r="AD330" s="149"/>
      <c r="AH330" s="130"/>
      <c r="AI330" s="133"/>
      <c r="AJ330" s="175"/>
      <c r="AN330" s="149"/>
      <c r="AP330" s="149"/>
      <c r="AX330" s="149"/>
      <c r="AY330" s="163"/>
      <c r="AZ330" s="185"/>
      <c r="BD330" s="133"/>
      <c r="BE330" s="181"/>
      <c r="BF330" s="175"/>
      <c r="BJ330" s="149"/>
      <c r="BK330" s="163"/>
      <c r="BL330" s="185"/>
      <c r="BT330" s="130"/>
      <c r="BU330" s="133"/>
      <c r="BV330" s="149"/>
      <c r="BZ330" s="130"/>
      <c r="CA330" s="133"/>
      <c r="CB330" s="149"/>
      <c r="CF330" s="130"/>
      <c r="CG330" s="153"/>
      <c r="CH330" s="185"/>
      <c r="CP330" s="149"/>
      <c r="CR330" s="149"/>
    </row>
    <row r="331" spans="6:96" s="129" customFormat="1" x14ac:dyDescent="0.25">
      <c r="F331" s="149"/>
      <c r="G331" s="144"/>
      <c r="H331" s="149"/>
      <c r="L331" s="149"/>
      <c r="M331" s="163"/>
      <c r="N331" s="158"/>
      <c r="R331" s="149"/>
      <c r="T331" s="149"/>
      <c r="AB331" s="149"/>
      <c r="AC331" s="144"/>
      <c r="AD331" s="149"/>
      <c r="AH331" s="130"/>
      <c r="AI331" s="133"/>
      <c r="AJ331" s="175"/>
      <c r="AN331" s="149"/>
      <c r="AP331" s="149"/>
      <c r="AX331" s="149"/>
      <c r="AY331" s="163"/>
      <c r="AZ331" s="185"/>
      <c r="BD331" s="133"/>
      <c r="BE331" s="181"/>
      <c r="BF331" s="175"/>
      <c r="BJ331" s="149"/>
      <c r="BK331" s="163"/>
      <c r="BL331" s="185"/>
      <c r="BT331" s="130"/>
      <c r="BU331" s="133"/>
      <c r="BV331" s="149"/>
      <c r="BZ331" s="130"/>
      <c r="CA331" s="133"/>
      <c r="CB331" s="149"/>
      <c r="CF331" s="130"/>
      <c r="CG331" s="153"/>
      <c r="CH331" s="185"/>
      <c r="CP331" s="149"/>
      <c r="CR331" s="149"/>
    </row>
    <row r="332" spans="6:96" s="129" customFormat="1" x14ac:dyDescent="0.25">
      <c r="F332" s="149"/>
      <c r="G332" s="144"/>
      <c r="H332" s="149"/>
      <c r="L332" s="149"/>
      <c r="M332" s="163"/>
      <c r="N332" s="158"/>
      <c r="R332" s="149"/>
      <c r="T332" s="149"/>
      <c r="AB332" s="149"/>
      <c r="AC332" s="144"/>
      <c r="AD332" s="149"/>
      <c r="AH332" s="130"/>
      <c r="AI332" s="133"/>
      <c r="AJ332" s="175"/>
      <c r="AN332" s="149"/>
      <c r="AP332" s="149"/>
      <c r="AX332" s="149"/>
      <c r="AY332" s="163"/>
      <c r="AZ332" s="185"/>
      <c r="BD332" s="133"/>
      <c r="BE332" s="181"/>
      <c r="BF332" s="175"/>
      <c r="BJ332" s="149"/>
      <c r="BK332" s="163"/>
      <c r="BL332" s="185"/>
      <c r="BT332" s="130"/>
      <c r="BU332" s="133"/>
      <c r="BV332" s="149"/>
      <c r="BZ332" s="130"/>
      <c r="CA332" s="133"/>
      <c r="CB332" s="149"/>
      <c r="CF332" s="130"/>
      <c r="CG332" s="153"/>
      <c r="CH332" s="185"/>
      <c r="CP332" s="149"/>
      <c r="CR332" s="149"/>
    </row>
    <row r="333" spans="6:96" s="129" customFormat="1" x14ac:dyDescent="0.25">
      <c r="F333" s="149"/>
      <c r="G333" s="144"/>
      <c r="H333" s="149"/>
      <c r="L333" s="149"/>
      <c r="M333" s="163"/>
      <c r="N333" s="158"/>
      <c r="R333" s="149"/>
      <c r="T333" s="149"/>
      <c r="AB333" s="149"/>
      <c r="AC333" s="144"/>
      <c r="AD333" s="149"/>
      <c r="AH333" s="130"/>
      <c r="AI333" s="133"/>
      <c r="AJ333" s="175"/>
      <c r="AN333" s="149"/>
      <c r="AP333" s="149"/>
      <c r="AX333" s="149"/>
      <c r="AY333" s="163"/>
      <c r="AZ333" s="185"/>
      <c r="BD333" s="133"/>
      <c r="BE333" s="181"/>
      <c r="BF333" s="175"/>
      <c r="BJ333" s="149"/>
      <c r="BK333" s="163"/>
      <c r="BL333" s="185"/>
      <c r="BT333" s="130"/>
      <c r="BU333" s="133"/>
      <c r="BV333" s="149"/>
      <c r="BZ333" s="130"/>
      <c r="CA333" s="133"/>
      <c r="CB333" s="149"/>
      <c r="CF333" s="130"/>
      <c r="CG333" s="153"/>
      <c r="CH333" s="185"/>
      <c r="CP333" s="149"/>
      <c r="CR333" s="149"/>
    </row>
    <row r="334" spans="6:96" s="129" customFormat="1" x14ac:dyDescent="0.25">
      <c r="F334" s="149"/>
      <c r="G334" s="144"/>
      <c r="H334" s="149"/>
      <c r="L334" s="149"/>
      <c r="M334" s="163"/>
      <c r="N334" s="158"/>
      <c r="R334" s="149"/>
      <c r="T334" s="149"/>
      <c r="AB334" s="149"/>
      <c r="AC334" s="144"/>
      <c r="AD334" s="149"/>
      <c r="AH334" s="130"/>
      <c r="AI334" s="133"/>
      <c r="AJ334" s="175"/>
      <c r="AN334" s="149"/>
      <c r="AP334" s="149"/>
      <c r="AX334" s="149"/>
      <c r="AY334" s="163"/>
      <c r="AZ334" s="185"/>
      <c r="BD334" s="133"/>
      <c r="BE334" s="181"/>
      <c r="BF334" s="175"/>
      <c r="BJ334" s="149"/>
      <c r="BK334" s="163"/>
      <c r="BL334" s="185"/>
      <c r="BT334" s="130"/>
      <c r="BU334" s="133"/>
      <c r="BV334" s="149"/>
      <c r="BZ334" s="130"/>
      <c r="CA334" s="133"/>
      <c r="CB334" s="149"/>
      <c r="CF334" s="130"/>
      <c r="CG334" s="153"/>
      <c r="CH334" s="185"/>
      <c r="CP334" s="149"/>
      <c r="CR334" s="149"/>
    </row>
    <row r="335" spans="6:96" s="129" customFormat="1" x14ac:dyDescent="0.25">
      <c r="F335" s="149"/>
      <c r="G335" s="144"/>
      <c r="H335" s="149"/>
      <c r="L335" s="149"/>
      <c r="M335" s="163"/>
      <c r="N335" s="158"/>
      <c r="R335" s="149"/>
      <c r="T335" s="149"/>
      <c r="AB335" s="149"/>
      <c r="AC335" s="144"/>
      <c r="AD335" s="149"/>
      <c r="AH335" s="130"/>
      <c r="AI335" s="133"/>
      <c r="AJ335" s="175"/>
      <c r="AN335" s="149"/>
      <c r="AP335" s="149"/>
      <c r="AX335" s="149"/>
      <c r="AY335" s="163"/>
      <c r="AZ335" s="185"/>
      <c r="BD335" s="133"/>
      <c r="BE335" s="181"/>
      <c r="BF335" s="175"/>
      <c r="BJ335" s="149"/>
      <c r="BK335" s="163"/>
      <c r="BL335" s="185"/>
      <c r="BT335" s="130"/>
      <c r="BU335" s="133"/>
      <c r="BV335" s="149"/>
      <c r="BZ335" s="130"/>
      <c r="CA335" s="133"/>
      <c r="CB335" s="149"/>
      <c r="CF335" s="130"/>
      <c r="CG335" s="153"/>
      <c r="CH335" s="185"/>
      <c r="CP335" s="149"/>
      <c r="CR335" s="149"/>
    </row>
    <row r="336" spans="6:96" s="129" customFormat="1" x14ac:dyDescent="0.25">
      <c r="F336" s="149"/>
      <c r="G336" s="144"/>
      <c r="H336" s="149"/>
      <c r="L336" s="149"/>
      <c r="M336" s="163"/>
      <c r="N336" s="158"/>
      <c r="R336" s="149"/>
      <c r="T336" s="149"/>
      <c r="AB336" s="149"/>
      <c r="AC336" s="144"/>
      <c r="AD336" s="149"/>
      <c r="AH336" s="130"/>
      <c r="AI336" s="133"/>
      <c r="AJ336" s="175"/>
      <c r="AN336" s="149"/>
      <c r="AP336" s="149"/>
      <c r="AX336" s="149"/>
      <c r="AY336" s="163"/>
      <c r="AZ336" s="185"/>
      <c r="BD336" s="133"/>
      <c r="BE336" s="181"/>
      <c r="BF336" s="175"/>
      <c r="BJ336" s="149"/>
      <c r="BK336" s="163"/>
      <c r="BL336" s="185"/>
      <c r="BT336" s="130"/>
      <c r="BU336" s="133"/>
      <c r="BV336" s="149"/>
      <c r="BZ336" s="130"/>
      <c r="CA336" s="133"/>
      <c r="CB336" s="149"/>
      <c r="CF336" s="130"/>
      <c r="CG336" s="153"/>
      <c r="CH336" s="185"/>
      <c r="CP336" s="149"/>
      <c r="CR336" s="149"/>
    </row>
    <row r="337" spans="6:96" s="129" customFormat="1" x14ac:dyDescent="0.25">
      <c r="F337" s="149"/>
      <c r="G337" s="144"/>
      <c r="H337" s="149"/>
      <c r="L337" s="149"/>
      <c r="M337" s="163"/>
      <c r="N337" s="158"/>
      <c r="R337" s="149"/>
      <c r="T337" s="149"/>
      <c r="AB337" s="149"/>
      <c r="AC337" s="144"/>
      <c r="AD337" s="149"/>
      <c r="AH337" s="130"/>
      <c r="AI337" s="133"/>
      <c r="AJ337" s="175"/>
      <c r="AN337" s="149"/>
      <c r="AP337" s="149"/>
      <c r="AX337" s="149"/>
      <c r="AY337" s="163"/>
      <c r="AZ337" s="185"/>
      <c r="BD337" s="133"/>
      <c r="BE337" s="181"/>
      <c r="BF337" s="175"/>
      <c r="BJ337" s="149"/>
      <c r="BK337" s="163"/>
      <c r="BL337" s="185"/>
      <c r="BT337" s="130"/>
      <c r="BU337" s="133"/>
      <c r="BV337" s="149"/>
      <c r="BZ337" s="130"/>
      <c r="CA337" s="133"/>
      <c r="CB337" s="149"/>
      <c r="CF337" s="130"/>
      <c r="CG337" s="153"/>
      <c r="CH337" s="185"/>
      <c r="CP337" s="149"/>
      <c r="CR337" s="149"/>
    </row>
    <row r="338" spans="6:96" s="129" customFormat="1" x14ac:dyDescent="0.25">
      <c r="F338" s="149"/>
      <c r="G338" s="144"/>
      <c r="H338" s="149"/>
      <c r="L338" s="149"/>
      <c r="M338" s="163"/>
      <c r="N338" s="158"/>
      <c r="R338" s="149"/>
      <c r="T338" s="149"/>
      <c r="AB338" s="149"/>
      <c r="AC338" s="144"/>
      <c r="AD338" s="149"/>
      <c r="AH338" s="130"/>
      <c r="AI338" s="133"/>
      <c r="AJ338" s="175"/>
      <c r="AN338" s="149"/>
      <c r="AP338" s="149"/>
      <c r="AX338" s="149"/>
      <c r="AY338" s="163"/>
      <c r="AZ338" s="185"/>
      <c r="BD338" s="133"/>
      <c r="BE338" s="181"/>
      <c r="BF338" s="175"/>
      <c r="BJ338" s="149"/>
      <c r="BK338" s="163"/>
      <c r="BL338" s="185"/>
      <c r="BT338" s="130"/>
      <c r="BU338" s="133"/>
      <c r="BV338" s="149"/>
      <c r="BZ338" s="130"/>
      <c r="CA338" s="133"/>
      <c r="CB338" s="149"/>
      <c r="CF338" s="130"/>
      <c r="CG338" s="153"/>
      <c r="CH338" s="185"/>
      <c r="CP338" s="149"/>
      <c r="CR338" s="149"/>
    </row>
    <row r="339" spans="6:96" s="129" customFormat="1" x14ac:dyDescent="0.25">
      <c r="F339" s="149"/>
      <c r="G339" s="144"/>
      <c r="H339" s="149"/>
      <c r="L339" s="149"/>
      <c r="M339" s="163"/>
      <c r="N339" s="158"/>
      <c r="R339" s="149"/>
      <c r="T339" s="149"/>
      <c r="AB339" s="149"/>
      <c r="AC339" s="144"/>
      <c r="AD339" s="149"/>
      <c r="AH339" s="130"/>
      <c r="AI339" s="133"/>
      <c r="AJ339" s="175"/>
      <c r="AN339" s="149"/>
      <c r="AP339" s="149"/>
      <c r="AX339" s="149"/>
      <c r="AY339" s="163"/>
      <c r="AZ339" s="185"/>
      <c r="BD339" s="133"/>
      <c r="BE339" s="181"/>
      <c r="BF339" s="175"/>
      <c r="BJ339" s="149"/>
      <c r="BK339" s="163"/>
      <c r="BL339" s="185"/>
      <c r="BT339" s="130"/>
      <c r="BU339" s="133"/>
      <c r="BV339" s="149"/>
      <c r="BZ339" s="130"/>
      <c r="CA339" s="133"/>
      <c r="CB339" s="149"/>
      <c r="CF339" s="130"/>
      <c r="CG339" s="153"/>
      <c r="CH339" s="185"/>
      <c r="CP339" s="149"/>
      <c r="CR339" s="149"/>
    </row>
    <row r="340" spans="6:96" s="129" customFormat="1" x14ac:dyDescent="0.25">
      <c r="F340" s="149"/>
      <c r="G340" s="144"/>
      <c r="H340" s="149"/>
      <c r="L340" s="149"/>
      <c r="M340" s="163"/>
      <c r="N340" s="158"/>
      <c r="R340" s="149"/>
      <c r="T340" s="149"/>
      <c r="AB340" s="149"/>
      <c r="AC340" s="144"/>
      <c r="AD340" s="149"/>
      <c r="AH340" s="130"/>
      <c r="AI340" s="133"/>
      <c r="AJ340" s="175"/>
      <c r="AN340" s="149"/>
      <c r="AP340" s="149"/>
      <c r="AX340" s="149"/>
      <c r="AY340" s="163"/>
      <c r="AZ340" s="185"/>
      <c r="BD340" s="133"/>
      <c r="BE340" s="181"/>
      <c r="BF340" s="175"/>
      <c r="BJ340" s="149"/>
      <c r="BK340" s="163"/>
      <c r="BL340" s="185"/>
      <c r="BT340" s="130"/>
      <c r="BU340" s="133"/>
      <c r="BV340" s="149"/>
      <c r="BZ340" s="130"/>
      <c r="CA340" s="133"/>
      <c r="CB340" s="149"/>
      <c r="CF340" s="130"/>
      <c r="CG340" s="153"/>
      <c r="CH340" s="185"/>
      <c r="CP340" s="149"/>
      <c r="CR340" s="149"/>
    </row>
  </sheetData>
  <mergeCells count="17">
    <mergeCell ref="C1:W1"/>
    <mergeCell ref="Y1:AS1"/>
    <mergeCell ref="AU1:BO1"/>
    <mergeCell ref="BQ1:CK1"/>
    <mergeCell ref="C2:H2"/>
    <mergeCell ref="I2:N2"/>
    <mergeCell ref="O2:T2"/>
    <mergeCell ref="BA2:BF2"/>
    <mergeCell ref="AU2:AZ2"/>
    <mergeCell ref="AE2:AJ2"/>
    <mergeCell ref="Y2:AD2"/>
    <mergeCell ref="AK2:AP2"/>
    <mergeCell ref="CO1:CT2"/>
    <mergeCell ref="CC2:CH2"/>
    <mergeCell ref="BW2:CB2"/>
    <mergeCell ref="BQ2:BV2"/>
    <mergeCell ref="BG2:B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8131-41B5-4088-8DE0-2D2CC9167B1E}">
  <dimension ref="A1:CV341"/>
  <sheetViews>
    <sheetView workbookViewId="0">
      <pane xSplit="2" ySplit="3" topLeftCell="C25" activePane="bottomRight" state="frozen"/>
      <selection pane="topRight" activeCell="C1" sqref="C1"/>
      <selection pane="bottomLeft" activeCell="A4" sqref="A4"/>
      <selection pane="bottomRight" activeCell="I40" sqref="I40"/>
    </sheetView>
  </sheetViews>
  <sheetFormatPr defaultRowHeight="15" x14ac:dyDescent="0.25"/>
  <cols>
    <col min="1" max="1" width="10.5703125" customWidth="1"/>
    <col min="3" max="4" width="11.5703125" customWidth="1"/>
    <col min="5" max="5" width="10.5703125" style="119" customWidth="1"/>
    <col min="6" max="6" width="9.85546875" style="150" customWidth="1"/>
    <col min="7" max="7" width="9.85546875" style="145" customWidth="1"/>
    <col min="8" max="8" width="9.85546875" style="150" customWidth="1"/>
    <col min="9" max="9" width="11.5703125" customWidth="1"/>
    <col min="10" max="10" width="12.42578125" customWidth="1"/>
    <col min="11" max="11" width="10" style="119" customWidth="1"/>
    <col min="12" max="12" width="11.42578125" style="150" customWidth="1"/>
    <col min="13" max="13" width="10.42578125" style="164" customWidth="1"/>
    <col min="14" max="14" width="11.42578125" style="159" customWidth="1"/>
    <col min="15" max="15" width="12.5703125" customWidth="1"/>
    <col min="16" max="16" width="12" customWidth="1"/>
    <col min="17" max="17" width="10.85546875" style="119" customWidth="1"/>
    <col min="18" max="18" width="9.5703125" style="150" customWidth="1"/>
    <col min="19" max="19" width="9.5703125" style="119" customWidth="1"/>
    <col min="20" max="20" width="9.5703125" style="150" customWidth="1"/>
    <col min="25" max="25" width="10.140625" bestFit="1" customWidth="1"/>
    <col min="27" max="27" width="9.85546875" style="119" customWidth="1"/>
    <col min="28" max="28" width="10.42578125" style="150" customWidth="1"/>
    <col min="29" max="29" width="10.42578125" style="145" customWidth="1"/>
    <col min="30" max="30" width="10.42578125" style="150" customWidth="1"/>
    <col min="31" max="32" width="12.42578125" customWidth="1"/>
    <col min="33" max="33" width="9.85546875" style="119" customWidth="1"/>
    <col min="34" max="34" width="9.5703125" style="122" customWidth="1"/>
    <col min="35" max="35" width="9.5703125" style="134" customWidth="1"/>
    <col min="36" max="36" width="9.5703125" style="176" customWidth="1"/>
    <col min="37" max="37" width="12.85546875" customWidth="1"/>
    <col min="38" max="38" width="12.140625" customWidth="1"/>
    <col min="39" max="39" width="10.5703125" style="119" customWidth="1"/>
    <col min="40" max="40" width="10.42578125" style="150" customWidth="1"/>
    <col min="41" max="41" width="10.42578125" style="119" customWidth="1"/>
    <col min="42" max="42" width="10.42578125" style="150" customWidth="1"/>
    <col min="47" max="47" width="11.85546875" customWidth="1"/>
    <col min="48" max="48" width="11.5703125" customWidth="1"/>
    <col min="49" max="49" width="10.42578125" style="119" customWidth="1"/>
    <col min="50" max="50" width="10.5703125" style="150" customWidth="1"/>
    <col min="51" max="51" width="10.5703125" style="164" customWidth="1"/>
    <col min="52" max="52" width="10.5703125" style="186" customWidth="1"/>
    <col min="53" max="54" width="11.5703125" customWidth="1"/>
    <col min="55" max="55" width="10" style="119" customWidth="1"/>
    <col min="56" max="56" width="9.85546875" style="134" customWidth="1"/>
    <col min="57" max="57" width="9.85546875" style="182" customWidth="1"/>
    <col min="58" max="58" width="9.85546875" style="176" customWidth="1"/>
    <col min="59" max="59" width="12.140625" customWidth="1"/>
    <col min="60" max="60" width="11.85546875" customWidth="1"/>
    <col min="61" max="61" width="10.140625" style="119" customWidth="1"/>
    <col min="62" max="62" width="9.85546875" style="150" customWidth="1"/>
    <col min="63" max="63" width="9.85546875" style="164" customWidth="1"/>
    <col min="64" max="64" width="9.85546875" style="186" customWidth="1"/>
    <col min="69" max="69" width="12.5703125" customWidth="1"/>
    <col min="70" max="70" width="11.85546875" customWidth="1"/>
    <col min="71" max="71" width="10.140625" style="119" customWidth="1"/>
    <col min="72" max="72" width="9.85546875" style="122" customWidth="1"/>
    <col min="73" max="73" width="9.85546875" style="134" customWidth="1"/>
    <col min="74" max="74" width="9.85546875" style="150" customWidth="1"/>
    <col min="75" max="76" width="11.5703125" customWidth="1"/>
    <col min="77" max="77" width="9.5703125" style="119" customWidth="1"/>
    <col min="78" max="78" width="9.85546875" style="122" customWidth="1"/>
    <col min="79" max="79" width="9.85546875" style="134" customWidth="1"/>
    <col min="80" max="80" width="9.85546875" style="150" customWidth="1"/>
    <col min="81" max="81" width="11.5703125" customWidth="1"/>
    <col min="82" max="82" width="11.85546875" customWidth="1"/>
    <col min="83" max="83" width="10.42578125" style="119" customWidth="1"/>
    <col min="84" max="84" width="9.5703125" style="122" customWidth="1"/>
    <col min="85" max="85" width="9.5703125" style="154" customWidth="1"/>
    <col min="86" max="86" width="9.5703125" style="186" customWidth="1"/>
    <col min="93" max="93" width="10" style="119" customWidth="1"/>
    <col min="94" max="94" width="10" style="150" customWidth="1"/>
    <col min="95" max="95" width="10" style="119" customWidth="1"/>
    <col min="96" max="96" width="10" style="150" customWidth="1"/>
    <col min="97" max="98" width="11.5703125" customWidth="1"/>
  </cols>
  <sheetData>
    <row r="1" spans="1:100" ht="26.25" thickBot="1" x14ac:dyDescent="0.35">
      <c r="A1" s="1" t="s">
        <v>33</v>
      </c>
      <c r="B1" s="2"/>
      <c r="C1" s="590" t="s">
        <v>1</v>
      </c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2"/>
      <c r="X1" s="3"/>
      <c r="Y1" s="593" t="s">
        <v>2</v>
      </c>
      <c r="Z1" s="594"/>
      <c r="AA1" s="594"/>
      <c r="AB1" s="594"/>
      <c r="AC1" s="594"/>
      <c r="AD1" s="594"/>
      <c r="AE1" s="594"/>
      <c r="AF1" s="594"/>
      <c r="AG1" s="594"/>
      <c r="AH1" s="594"/>
      <c r="AI1" s="594"/>
      <c r="AJ1" s="594"/>
      <c r="AK1" s="594"/>
      <c r="AL1" s="594"/>
      <c r="AM1" s="594"/>
      <c r="AN1" s="594"/>
      <c r="AO1" s="594"/>
      <c r="AP1" s="594"/>
      <c r="AQ1" s="594"/>
      <c r="AR1" s="594"/>
      <c r="AS1" s="595"/>
      <c r="AT1" s="3"/>
      <c r="AU1" s="593" t="s">
        <v>3</v>
      </c>
      <c r="AV1" s="596"/>
      <c r="AW1" s="596"/>
      <c r="AX1" s="596"/>
      <c r="AY1" s="596"/>
      <c r="AZ1" s="596"/>
      <c r="BA1" s="596"/>
      <c r="BB1" s="596"/>
      <c r="BC1" s="596"/>
      <c r="BD1" s="596"/>
      <c r="BE1" s="596"/>
      <c r="BF1" s="596"/>
      <c r="BG1" s="596"/>
      <c r="BH1" s="596"/>
      <c r="BI1" s="596"/>
      <c r="BJ1" s="596"/>
      <c r="BK1" s="596"/>
      <c r="BL1" s="596"/>
      <c r="BM1" s="596"/>
      <c r="BN1" s="596"/>
      <c r="BO1" s="597"/>
      <c r="BP1" s="3"/>
      <c r="BQ1" s="593" t="s">
        <v>4</v>
      </c>
      <c r="BR1" s="596"/>
      <c r="BS1" s="596"/>
      <c r="BT1" s="596"/>
      <c r="BU1" s="596"/>
      <c r="BV1" s="596"/>
      <c r="BW1" s="596"/>
      <c r="BX1" s="596"/>
      <c r="BY1" s="596"/>
      <c r="BZ1" s="596"/>
      <c r="CA1" s="596"/>
      <c r="CB1" s="596"/>
      <c r="CC1" s="596"/>
      <c r="CD1" s="596"/>
      <c r="CE1" s="596"/>
      <c r="CF1" s="596"/>
      <c r="CG1" s="596"/>
      <c r="CH1" s="596"/>
      <c r="CI1" s="596"/>
      <c r="CJ1" s="596"/>
      <c r="CK1" s="597"/>
      <c r="CL1" s="3"/>
      <c r="CM1" s="4" t="s">
        <v>5</v>
      </c>
      <c r="CN1" s="3"/>
      <c r="CO1" s="578" t="s">
        <v>29</v>
      </c>
      <c r="CP1" s="579"/>
      <c r="CQ1" s="579"/>
      <c r="CR1" s="579"/>
      <c r="CS1" s="579"/>
      <c r="CT1" s="579"/>
    </row>
    <row r="2" spans="1:100" ht="16.5" thickTop="1" thickBot="1" x14ac:dyDescent="0.3">
      <c r="A2" s="5"/>
      <c r="B2" s="6"/>
      <c r="C2" s="598" t="s">
        <v>22</v>
      </c>
      <c r="D2" s="599"/>
      <c r="E2" s="599"/>
      <c r="F2" s="599"/>
      <c r="G2" s="599"/>
      <c r="H2" s="600"/>
      <c r="I2" s="601" t="s">
        <v>7</v>
      </c>
      <c r="J2" s="599"/>
      <c r="K2" s="599"/>
      <c r="L2" s="599"/>
      <c r="M2" s="599"/>
      <c r="N2" s="600"/>
      <c r="O2" s="601" t="s">
        <v>8</v>
      </c>
      <c r="P2" s="599"/>
      <c r="Q2" s="599"/>
      <c r="R2" s="599"/>
      <c r="S2" s="599"/>
      <c r="T2" s="600"/>
      <c r="U2" s="215"/>
      <c r="V2" s="8"/>
      <c r="W2" s="9"/>
      <c r="X2" s="3"/>
      <c r="Y2" s="598" t="s">
        <v>6</v>
      </c>
      <c r="Z2" s="599"/>
      <c r="AA2" s="599"/>
      <c r="AB2" s="599"/>
      <c r="AC2" s="599"/>
      <c r="AD2" s="600"/>
      <c r="AE2" s="601" t="s">
        <v>7</v>
      </c>
      <c r="AF2" s="599"/>
      <c r="AG2" s="599"/>
      <c r="AH2" s="599"/>
      <c r="AI2" s="599"/>
      <c r="AJ2" s="600"/>
      <c r="AK2" s="601" t="s">
        <v>9</v>
      </c>
      <c r="AL2" s="599"/>
      <c r="AM2" s="599"/>
      <c r="AN2" s="599"/>
      <c r="AO2" s="599"/>
      <c r="AP2" s="600"/>
      <c r="AQ2" s="215"/>
      <c r="AR2" s="8"/>
      <c r="AS2" s="9"/>
      <c r="AT2" s="3"/>
      <c r="AU2" s="598" t="s">
        <v>6</v>
      </c>
      <c r="AV2" s="599"/>
      <c r="AW2" s="599"/>
      <c r="AX2" s="599"/>
      <c r="AY2" s="599"/>
      <c r="AZ2" s="600"/>
      <c r="BA2" s="599" t="s">
        <v>7</v>
      </c>
      <c r="BB2" s="599"/>
      <c r="BC2" s="599"/>
      <c r="BD2" s="599"/>
      <c r="BE2" s="599"/>
      <c r="BF2" s="600"/>
      <c r="BG2" s="587" t="s">
        <v>9</v>
      </c>
      <c r="BH2" s="588"/>
      <c r="BI2" s="588"/>
      <c r="BJ2" s="588"/>
      <c r="BK2" s="588"/>
      <c r="BL2" s="589"/>
      <c r="BM2" s="128"/>
      <c r="BN2" s="10"/>
      <c r="BO2" s="9"/>
      <c r="BP2" s="3"/>
      <c r="BQ2" s="586" t="s">
        <v>6</v>
      </c>
      <c r="BR2" s="584"/>
      <c r="BS2" s="584"/>
      <c r="BT2" s="584"/>
      <c r="BU2" s="584"/>
      <c r="BV2" s="585"/>
      <c r="BW2" s="583" t="s">
        <v>7</v>
      </c>
      <c r="BX2" s="584"/>
      <c r="BY2" s="584"/>
      <c r="BZ2" s="584"/>
      <c r="CA2" s="584"/>
      <c r="CB2" s="585"/>
      <c r="CC2" s="580" t="s">
        <v>9</v>
      </c>
      <c r="CD2" s="581"/>
      <c r="CE2" s="581"/>
      <c r="CF2" s="581"/>
      <c r="CG2" s="581"/>
      <c r="CH2" s="582"/>
      <c r="CI2" s="128"/>
      <c r="CJ2" s="11"/>
      <c r="CK2" s="9"/>
      <c r="CL2" s="3"/>
      <c r="CM2" s="12"/>
      <c r="CN2" s="3"/>
      <c r="CO2" s="579"/>
      <c r="CP2" s="579"/>
      <c r="CQ2" s="579"/>
      <c r="CR2" s="579"/>
      <c r="CS2" s="579"/>
      <c r="CT2" s="579"/>
    </row>
    <row r="3" spans="1:100" ht="39" thickBot="1" x14ac:dyDescent="0.3">
      <c r="A3" s="13"/>
      <c r="B3" s="14"/>
      <c r="C3" s="15" t="s">
        <v>23</v>
      </c>
      <c r="D3" s="16" t="s">
        <v>24</v>
      </c>
      <c r="E3" s="111" t="s">
        <v>25</v>
      </c>
      <c r="F3" s="165" t="s">
        <v>26</v>
      </c>
      <c r="G3" s="123" t="s">
        <v>27</v>
      </c>
      <c r="H3" s="146" t="s">
        <v>28</v>
      </c>
      <c r="I3" s="107" t="s">
        <v>23</v>
      </c>
      <c r="J3" s="16" t="s">
        <v>24</v>
      </c>
      <c r="K3" s="111" t="s">
        <v>25</v>
      </c>
      <c r="L3" s="165" t="s">
        <v>26</v>
      </c>
      <c r="M3" s="160" t="s">
        <v>27</v>
      </c>
      <c r="N3" s="155" t="s">
        <v>28</v>
      </c>
      <c r="O3" s="107" t="s">
        <v>23</v>
      </c>
      <c r="P3" s="16" t="s">
        <v>24</v>
      </c>
      <c r="Q3" s="111" t="s">
        <v>25</v>
      </c>
      <c r="R3" s="165" t="s">
        <v>26</v>
      </c>
      <c r="S3" s="123" t="s">
        <v>27</v>
      </c>
      <c r="T3" s="146" t="s">
        <v>28</v>
      </c>
      <c r="U3" s="17" t="s">
        <v>10</v>
      </c>
      <c r="V3" s="18" t="s">
        <v>11</v>
      </c>
      <c r="W3" s="19" t="s">
        <v>12</v>
      </c>
      <c r="X3" s="3"/>
      <c r="Y3" s="15" t="s">
        <v>23</v>
      </c>
      <c r="Z3" s="16" t="s">
        <v>24</v>
      </c>
      <c r="AA3" s="111" t="s">
        <v>25</v>
      </c>
      <c r="AB3" s="165" t="s">
        <v>26</v>
      </c>
      <c r="AC3" s="123" t="s">
        <v>27</v>
      </c>
      <c r="AD3" s="146" t="s">
        <v>28</v>
      </c>
      <c r="AE3" s="107" t="s">
        <v>23</v>
      </c>
      <c r="AF3" s="16" t="s">
        <v>24</v>
      </c>
      <c r="AG3" s="111" t="s">
        <v>25</v>
      </c>
      <c r="AH3" s="112" t="s">
        <v>26</v>
      </c>
      <c r="AI3" s="142" t="s">
        <v>27</v>
      </c>
      <c r="AJ3" s="165" t="s">
        <v>28</v>
      </c>
      <c r="AK3" s="107" t="s">
        <v>23</v>
      </c>
      <c r="AL3" s="16" t="s">
        <v>24</v>
      </c>
      <c r="AM3" s="111" t="s">
        <v>25</v>
      </c>
      <c r="AN3" s="177" t="s">
        <v>26</v>
      </c>
      <c r="AO3" s="123" t="s">
        <v>27</v>
      </c>
      <c r="AP3" s="177" t="s">
        <v>28</v>
      </c>
      <c r="AQ3" s="20" t="s">
        <v>10</v>
      </c>
      <c r="AR3" s="21" t="s">
        <v>11</v>
      </c>
      <c r="AS3" s="19" t="s">
        <v>12</v>
      </c>
      <c r="AT3" s="3"/>
      <c r="AU3" s="15" t="s">
        <v>23</v>
      </c>
      <c r="AV3" s="16" t="s">
        <v>24</v>
      </c>
      <c r="AW3" s="111" t="s">
        <v>25</v>
      </c>
      <c r="AX3" s="177" t="s">
        <v>26</v>
      </c>
      <c r="AY3" s="160" t="s">
        <v>27</v>
      </c>
      <c r="AZ3" s="183" t="s">
        <v>28</v>
      </c>
      <c r="BA3" s="107" t="s">
        <v>23</v>
      </c>
      <c r="BB3" s="16" t="s">
        <v>24</v>
      </c>
      <c r="BC3" s="111" t="s">
        <v>25</v>
      </c>
      <c r="BD3" s="139" t="s">
        <v>26</v>
      </c>
      <c r="BE3" s="178" t="s">
        <v>27</v>
      </c>
      <c r="BF3" s="165" t="s">
        <v>28</v>
      </c>
      <c r="BG3" s="107" t="s">
        <v>23</v>
      </c>
      <c r="BH3" s="16" t="s">
        <v>24</v>
      </c>
      <c r="BI3" s="111" t="s">
        <v>25</v>
      </c>
      <c r="BJ3" s="177" t="s">
        <v>26</v>
      </c>
      <c r="BK3" s="160" t="s">
        <v>27</v>
      </c>
      <c r="BL3" s="183" t="s">
        <v>28</v>
      </c>
      <c r="BM3" s="23" t="s">
        <v>10</v>
      </c>
      <c r="BN3" s="24" t="s">
        <v>11</v>
      </c>
      <c r="BO3" s="19" t="s">
        <v>12</v>
      </c>
      <c r="BP3" s="3"/>
      <c r="BQ3" s="15" t="s">
        <v>23</v>
      </c>
      <c r="BR3" s="16" t="s">
        <v>24</v>
      </c>
      <c r="BS3" s="111" t="s">
        <v>25</v>
      </c>
      <c r="BT3" s="126" t="s">
        <v>26</v>
      </c>
      <c r="BU3" s="110" t="s">
        <v>27</v>
      </c>
      <c r="BV3" s="146" t="s">
        <v>28</v>
      </c>
      <c r="BW3" s="107" t="s">
        <v>23</v>
      </c>
      <c r="BX3" s="16" t="s">
        <v>24</v>
      </c>
      <c r="BY3" s="111" t="s">
        <v>25</v>
      </c>
      <c r="BZ3" s="126" t="s">
        <v>26</v>
      </c>
      <c r="CA3" s="110" t="s">
        <v>27</v>
      </c>
      <c r="CB3" s="146" t="s">
        <v>28</v>
      </c>
      <c r="CC3" s="107" t="s">
        <v>23</v>
      </c>
      <c r="CD3" s="16" t="s">
        <v>24</v>
      </c>
      <c r="CE3" s="111" t="s">
        <v>25</v>
      </c>
      <c r="CF3" s="126" t="s">
        <v>26</v>
      </c>
      <c r="CG3" s="151" t="s">
        <v>27</v>
      </c>
      <c r="CH3" s="183" t="s">
        <v>28</v>
      </c>
      <c r="CI3" s="193" t="s">
        <v>10</v>
      </c>
      <c r="CJ3" s="22" t="s">
        <v>11</v>
      </c>
      <c r="CK3" s="19" t="s">
        <v>12</v>
      </c>
      <c r="CL3" s="3"/>
      <c r="CM3" s="25"/>
      <c r="CN3" s="3"/>
      <c r="CO3" s="111" t="s">
        <v>25</v>
      </c>
      <c r="CP3" s="177" t="s">
        <v>26</v>
      </c>
      <c r="CQ3" s="123" t="s">
        <v>27</v>
      </c>
      <c r="CR3" s="146" t="s">
        <v>28</v>
      </c>
      <c r="CS3" s="107" t="s">
        <v>23</v>
      </c>
      <c r="CT3" s="16" t="s">
        <v>24</v>
      </c>
    </row>
    <row r="4" spans="1:100" ht="15.75" thickBot="1" x14ac:dyDescent="0.3">
      <c r="A4" s="26" t="s">
        <v>13</v>
      </c>
      <c r="B4" s="27"/>
      <c r="C4" s="28"/>
      <c r="D4" s="29"/>
      <c r="E4" s="113"/>
      <c r="F4" s="166"/>
      <c r="G4" s="143"/>
      <c r="H4" s="147"/>
      <c r="I4" s="28"/>
      <c r="J4" s="29"/>
      <c r="K4" s="113"/>
      <c r="L4" s="166"/>
      <c r="M4" s="161"/>
      <c r="N4" s="156"/>
      <c r="O4" s="28"/>
      <c r="P4" s="30"/>
      <c r="Q4" s="113"/>
      <c r="R4" s="166"/>
      <c r="S4" s="118"/>
      <c r="T4" s="171"/>
      <c r="U4" s="109">
        <f>C4+E4+G4+I4+K4+M4+O4+Q4+S4</f>
        <v>0</v>
      </c>
      <c r="V4" s="31">
        <f>D4+F4+H4+J4+L4+N4+P4+R4+T4</f>
        <v>0</v>
      </c>
      <c r="W4" s="32"/>
      <c r="X4" s="33"/>
      <c r="Y4" s="34"/>
      <c r="Z4" s="35"/>
      <c r="AA4" s="120"/>
      <c r="AB4" s="167"/>
      <c r="AC4" s="138"/>
      <c r="AD4" s="148"/>
      <c r="AE4" s="50">
        <v>474</v>
      </c>
      <c r="AF4" s="51">
        <v>2657</v>
      </c>
      <c r="AG4" s="120"/>
      <c r="AH4" s="121"/>
      <c r="AI4" s="132"/>
      <c r="AJ4" s="167"/>
      <c r="AK4" s="89"/>
      <c r="AL4" s="36"/>
      <c r="AM4" s="120"/>
      <c r="AN4" s="167"/>
      <c r="AO4" s="138"/>
      <c r="AP4" s="148"/>
      <c r="AQ4" s="108">
        <f>Y4+AA4+AC4+AE4+AG4+AI4+AK4+AM4+AO4</f>
        <v>474</v>
      </c>
      <c r="AR4" s="38">
        <f>Z4+AB4+AD4+AF4+AH4+AJ4+AL4+AN4+AP4</f>
        <v>2657</v>
      </c>
      <c r="AS4" s="39"/>
      <c r="AT4" s="33"/>
      <c r="AU4" s="40"/>
      <c r="AV4" s="41"/>
      <c r="AW4" s="117"/>
      <c r="AX4" s="170"/>
      <c r="AY4" s="162"/>
      <c r="AZ4" s="170"/>
      <c r="BA4" s="124"/>
      <c r="BB4" s="41"/>
      <c r="BC4" s="117"/>
      <c r="BD4" s="141"/>
      <c r="BE4" s="179"/>
      <c r="BF4" s="170"/>
      <c r="BG4" s="124"/>
      <c r="BH4" s="42"/>
      <c r="BI4" s="117"/>
      <c r="BJ4" s="170"/>
      <c r="BK4" s="162"/>
      <c r="BL4" s="170"/>
      <c r="BM4" s="28">
        <f>AU4+AW4+AY4+BA4+BC4+BE4+BG4+BI4+BK4</f>
        <v>0</v>
      </c>
      <c r="BN4" s="44">
        <f>AV4+AX4+AZ4+BB4+BD4+BF4+BH4+BJ4+BL4</f>
        <v>0</v>
      </c>
      <c r="BO4" s="39"/>
      <c r="BP4" s="33"/>
      <c r="BQ4" s="43">
        <v>19</v>
      </c>
      <c r="BR4" s="29">
        <v>35</v>
      </c>
      <c r="BS4" s="117"/>
      <c r="BT4" s="127"/>
      <c r="BU4" s="152"/>
      <c r="BV4" s="170"/>
      <c r="BW4" s="28">
        <v>7</v>
      </c>
      <c r="BX4" s="29">
        <v>41</v>
      </c>
      <c r="BY4" s="117"/>
      <c r="BZ4" s="127"/>
      <c r="CA4" s="152"/>
      <c r="CB4" s="170"/>
      <c r="CC4" s="28">
        <v>26</v>
      </c>
      <c r="CD4" s="45">
        <v>107</v>
      </c>
      <c r="CE4" s="117"/>
      <c r="CF4" s="127"/>
      <c r="CG4" s="152"/>
      <c r="CH4" s="170"/>
      <c r="CI4" s="28">
        <f>BQ4+BS4+BU4+BW4+BY4+CA4+CC4+CE4+CG4</f>
        <v>52</v>
      </c>
      <c r="CJ4" s="45">
        <f>BR4+BT4+BV4+BX4+BZ4+CB4+CD4+CF4+CH4</f>
        <v>183</v>
      </c>
      <c r="CK4" s="39"/>
      <c r="CL4" s="46"/>
      <c r="CM4" s="32"/>
      <c r="CN4" s="46"/>
      <c r="CO4" s="117"/>
      <c r="CP4" s="170"/>
      <c r="CQ4" s="152"/>
      <c r="CR4" s="170"/>
      <c r="CS4" s="194">
        <v>30</v>
      </c>
      <c r="CT4" s="47">
        <v>80</v>
      </c>
    </row>
    <row r="5" spans="1:100" ht="15.75" thickBot="1" x14ac:dyDescent="0.3">
      <c r="A5" s="48">
        <v>45931</v>
      </c>
      <c r="B5" s="233" t="s">
        <v>16</v>
      </c>
      <c r="C5" s="236"/>
      <c r="D5" s="237"/>
      <c r="E5" s="120"/>
      <c r="F5" s="167"/>
      <c r="G5" s="138"/>
      <c r="H5" s="148"/>
      <c r="I5" s="236"/>
      <c r="J5" s="237"/>
      <c r="K5" s="120"/>
      <c r="L5" s="167"/>
      <c r="M5" s="162"/>
      <c r="N5" s="157"/>
      <c r="O5" s="50"/>
      <c r="P5" s="52"/>
      <c r="Q5" s="115"/>
      <c r="R5" s="168"/>
      <c r="S5" s="135"/>
      <c r="T5" s="172"/>
      <c r="U5" s="109">
        <f t="shared" ref="U5:V37" si="0">C5+E5+G5+I5+K5+M5+O5+Q5+S5</f>
        <v>0</v>
      </c>
      <c r="V5" s="31">
        <f t="shared" si="0"/>
        <v>0</v>
      </c>
      <c r="W5" s="53"/>
      <c r="X5" s="6"/>
      <c r="Y5" s="51"/>
      <c r="Z5" s="51"/>
      <c r="AA5" s="120"/>
      <c r="AB5" s="167"/>
      <c r="AC5" s="138"/>
      <c r="AD5" s="148"/>
      <c r="AE5" s="50">
        <v>474</v>
      </c>
      <c r="AF5" s="51">
        <v>2657</v>
      </c>
      <c r="AG5" s="120"/>
      <c r="AH5" s="121"/>
      <c r="AI5" s="132"/>
      <c r="AJ5" s="167"/>
      <c r="AK5" s="89">
        <v>745</v>
      </c>
      <c r="AL5" s="36">
        <v>2105</v>
      </c>
      <c r="AM5" s="120"/>
      <c r="AN5" s="167"/>
      <c r="AO5" s="138"/>
      <c r="AP5" s="148"/>
      <c r="AQ5" s="108">
        <f>Y5+AA5+AC5+AE5+AG5+AI5+AK5+AM5+AO5</f>
        <v>1219</v>
      </c>
      <c r="AR5" s="38">
        <f>Z5+AB5+AD5+AF5+AH5+AJ5+AL5+AN5+AP5</f>
        <v>4762</v>
      </c>
      <c r="AS5" s="53"/>
      <c r="AT5" s="6"/>
      <c r="AU5" s="54"/>
      <c r="AV5" s="51"/>
      <c r="AW5" s="120"/>
      <c r="AX5" s="167"/>
      <c r="AY5" s="162"/>
      <c r="AZ5" s="170"/>
      <c r="BA5" s="50">
        <v>554</v>
      </c>
      <c r="BB5" s="51">
        <v>5586</v>
      </c>
      <c r="BC5" s="120">
        <v>554</v>
      </c>
      <c r="BD5" s="140">
        <v>5586</v>
      </c>
      <c r="BE5" s="180"/>
      <c r="BF5" s="167"/>
      <c r="BG5" s="50">
        <v>57</v>
      </c>
      <c r="BH5" s="55">
        <v>165</v>
      </c>
      <c r="BI5" s="120"/>
      <c r="BJ5" s="167"/>
      <c r="BK5" s="162">
        <v>3</v>
      </c>
      <c r="BL5" s="170">
        <v>45</v>
      </c>
      <c r="BM5" s="28">
        <f t="shared" ref="BM5:BN37" si="1">AU5+AW5+AY5+BA5+BC5+BE5+BG5+BI5+BK5</f>
        <v>1168</v>
      </c>
      <c r="BN5" s="44">
        <f t="shared" si="1"/>
        <v>11382</v>
      </c>
      <c r="BO5" s="53"/>
      <c r="BP5" s="6"/>
      <c r="BQ5" s="43">
        <v>19</v>
      </c>
      <c r="BR5" s="29">
        <v>35</v>
      </c>
      <c r="BS5" s="120"/>
      <c r="BT5" s="121"/>
      <c r="BU5" s="140">
        <v>1</v>
      </c>
      <c r="BV5" s="167">
        <v>1</v>
      </c>
      <c r="BW5" s="28">
        <v>7</v>
      </c>
      <c r="BX5" s="29">
        <v>41</v>
      </c>
      <c r="BY5" s="120"/>
      <c r="BZ5" s="121"/>
      <c r="CA5" s="152"/>
      <c r="CB5" s="170"/>
      <c r="CC5" s="28">
        <v>26</v>
      </c>
      <c r="CD5" s="45">
        <v>107</v>
      </c>
      <c r="CE5" s="120"/>
      <c r="CF5" s="121"/>
      <c r="CG5" s="152"/>
      <c r="CH5" s="170"/>
      <c r="CI5" s="28">
        <f t="shared" ref="CI5:CJ37" si="2">BQ5+BS5+BU5+BW5+BY5+CA5+CC5+CE5+CG5</f>
        <v>53</v>
      </c>
      <c r="CJ5" s="45">
        <f t="shared" si="2"/>
        <v>184</v>
      </c>
      <c r="CK5" s="59"/>
      <c r="CL5" s="60"/>
      <c r="CM5" s="61">
        <f t="shared" ref="CM5:CM34" si="3">C5+Y5+AU5+BQ5</f>
        <v>19</v>
      </c>
      <c r="CN5" s="60"/>
      <c r="CO5" s="120"/>
      <c r="CP5" s="167"/>
      <c r="CQ5" s="152"/>
      <c r="CR5" s="170"/>
      <c r="CS5" s="207">
        <v>30</v>
      </c>
      <c r="CT5" s="208">
        <v>80</v>
      </c>
    </row>
    <row r="6" spans="1:100" s="306" customFormat="1" ht="15.75" thickBot="1" x14ac:dyDescent="0.3">
      <c r="A6" s="290">
        <v>45932</v>
      </c>
      <c r="B6" s="291" t="s">
        <v>17</v>
      </c>
      <c r="C6" s="99">
        <v>100</v>
      </c>
      <c r="D6" s="74">
        <v>174</v>
      </c>
      <c r="E6" s="74"/>
      <c r="F6" s="292"/>
      <c r="G6" s="99"/>
      <c r="H6" s="293"/>
      <c r="I6" s="99">
        <v>65</v>
      </c>
      <c r="J6" s="74">
        <v>360</v>
      </c>
      <c r="K6" s="74"/>
      <c r="L6" s="292"/>
      <c r="M6" s="125"/>
      <c r="N6" s="294"/>
      <c r="O6" s="99">
        <v>201</v>
      </c>
      <c r="P6" s="295">
        <v>333</v>
      </c>
      <c r="Q6" s="296">
        <v>1</v>
      </c>
      <c r="R6" s="297">
        <v>5</v>
      </c>
      <c r="S6" s="298"/>
      <c r="T6" s="299"/>
      <c r="U6" s="211">
        <f t="shared" si="0"/>
        <v>367</v>
      </c>
      <c r="V6" s="212">
        <f t="shared" si="0"/>
        <v>872</v>
      </c>
      <c r="W6" s="79"/>
      <c r="X6" s="300"/>
      <c r="Y6" s="73">
        <v>845</v>
      </c>
      <c r="Z6" s="74">
        <v>1713</v>
      </c>
      <c r="AA6" s="74"/>
      <c r="AB6" s="292"/>
      <c r="AC6" s="99"/>
      <c r="AD6" s="293"/>
      <c r="AE6" s="99">
        <v>474</v>
      </c>
      <c r="AF6" s="74">
        <v>2657</v>
      </c>
      <c r="AG6" s="74"/>
      <c r="AH6" s="75"/>
      <c r="AI6" s="301"/>
      <c r="AJ6" s="292"/>
      <c r="AK6" s="99">
        <v>745</v>
      </c>
      <c r="AL6" s="75">
        <v>2105</v>
      </c>
      <c r="AM6" s="74"/>
      <c r="AN6" s="292"/>
      <c r="AO6" s="99"/>
      <c r="AP6" s="293"/>
      <c r="AQ6" s="125">
        <f t="shared" ref="AQ6:AR37" si="4">Y6+AA6+AC6+AE6+AG6+AI6+AK6+AM6+AO6</f>
        <v>2064</v>
      </c>
      <c r="AR6" s="210">
        <f t="shared" si="4"/>
        <v>6475</v>
      </c>
      <c r="AS6" s="79"/>
      <c r="AT6" s="300"/>
      <c r="AU6" s="76">
        <v>0</v>
      </c>
      <c r="AV6" s="77">
        <v>0</v>
      </c>
      <c r="AW6" s="77"/>
      <c r="AX6" s="302"/>
      <c r="AY6" s="125"/>
      <c r="AZ6" s="302"/>
      <c r="BA6" s="125">
        <v>554</v>
      </c>
      <c r="BB6" s="77">
        <v>5586</v>
      </c>
      <c r="BC6" s="77"/>
      <c r="BD6" s="78"/>
      <c r="BE6" s="303"/>
      <c r="BF6" s="302"/>
      <c r="BG6" s="99">
        <v>57</v>
      </c>
      <c r="BH6" s="100">
        <v>165</v>
      </c>
      <c r="BI6" s="77"/>
      <c r="BJ6" s="302"/>
      <c r="BK6" s="125"/>
      <c r="BL6" s="302"/>
      <c r="BM6" s="69">
        <f t="shared" si="1"/>
        <v>611</v>
      </c>
      <c r="BN6" s="209">
        <f t="shared" si="1"/>
        <v>5751</v>
      </c>
      <c r="BO6" s="79"/>
      <c r="BP6" s="300"/>
      <c r="BQ6" s="309">
        <v>19</v>
      </c>
      <c r="BR6" s="70">
        <v>35</v>
      </c>
      <c r="BS6" s="77"/>
      <c r="BT6" s="210"/>
      <c r="BU6" s="100"/>
      <c r="BV6" s="292"/>
      <c r="BW6" s="69">
        <v>7</v>
      </c>
      <c r="BX6" s="70">
        <v>41</v>
      </c>
      <c r="BY6" s="77"/>
      <c r="BZ6" s="210"/>
      <c r="CA6" s="100"/>
      <c r="CB6" s="292"/>
      <c r="CC6" s="69">
        <v>26</v>
      </c>
      <c r="CD6" s="213">
        <v>107</v>
      </c>
      <c r="CE6" s="77"/>
      <c r="CF6" s="210"/>
      <c r="CG6" s="76"/>
      <c r="CH6" s="302"/>
      <c r="CI6" s="69">
        <f t="shared" si="2"/>
        <v>52</v>
      </c>
      <c r="CJ6" s="213">
        <f t="shared" si="2"/>
        <v>183</v>
      </c>
      <c r="CK6" s="79"/>
      <c r="CL6" s="304"/>
      <c r="CM6" s="305">
        <f t="shared" si="3"/>
        <v>964</v>
      </c>
      <c r="CN6" s="304"/>
      <c r="CO6" s="77">
        <v>0</v>
      </c>
      <c r="CP6" s="302">
        <v>0</v>
      </c>
      <c r="CQ6" s="99"/>
      <c r="CR6" s="292"/>
      <c r="CS6" s="188">
        <v>0</v>
      </c>
      <c r="CT6" s="101">
        <v>0</v>
      </c>
    </row>
    <row r="7" spans="1:100" ht="15.75" thickBot="1" x14ac:dyDescent="0.3">
      <c r="A7" s="48">
        <v>13</v>
      </c>
      <c r="B7" s="234" t="s">
        <v>18</v>
      </c>
      <c r="C7" s="236"/>
      <c r="D7" s="237"/>
      <c r="E7" s="120"/>
      <c r="F7" s="167"/>
      <c r="G7" s="138"/>
      <c r="H7" s="148"/>
      <c r="I7" s="236"/>
      <c r="J7" s="237"/>
      <c r="K7" s="120"/>
      <c r="L7" s="167"/>
      <c r="M7" s="161"/>
      <c r="N7" s="156"/>
      <c r="O7" s="236"/>
      <c r="P7" s="241"/>
      <c r="Q7" s="116">
        <v>1</v>
      </c>
      <c r="R7" s="169">
        <v>1</v>
      </c>
      <c r="S7" s="136"/>
      <c r="T7" s="173"/>
      <c r="U7" s="109">
        <f t="shared" si="0"/>
        <v>1</v>
      </c>
      <c r="V7" s="31">
        <f t="shared" si="0"/>
        <v>1</v>
      </c>
      <c r="W7" s="64"/>
      <c r="X7" s="6"/>
      <c r="Y7" s="54"/>
      <c r="Z7" s="51"/>
      <c r="AA7" s="120"/>
      <c r="AB7" s="167"/>
      <c r="AC7" s="138"/>
      <c r="AD7" s="148"/>
      <c r="AE7" s="50">
        <v>432</v>
      </c>
      <c r="AF7" s="51">
        <v>2485</v>
      </c>
      <c r="AG7" s="120"/>
      <c r="AH7" s="121"/>
      <c r="AI7" s="132"/>
      <c r="AJ7" s="167"/>
      <c r="AK7" s="50">
        <v>745</v>
      </c>
      <c r="AL7" s="65">
        <v>2105</v>
      </c>
      <c r="AM7" s="120"/>
      <c r="AN7" s="167"/>
      <c r="AO7" s="138"/>
      <c r="AP7" s="148"/>
      <c r="AQ7" s="108">
        <f t="shared" si="4"/>
        <v>1177</v>
      </c>
      <c r="AR7" s="38">
        <f t="shared" si="4"/>
        <v>4590</v>
      </c>
      <c r="AS7" s="64"/>
      <c r="AT7" s="6"/>
      <c r="AU7" s="40">
        <v>0</v>
      </c>
      <c r="AV7" s="41">
        <v>0</v>
      </c>
      <c r="AW7" s="117"/>
      <c r="AX7" s="170"/>
      <c r="AY7" s="162">
        <v>1</v>
      </c>
      <c r="AZ7" s="170">
        <v>5</v>
      </c>
      <c r="BA7" s="124">
        <v>554</v>
      </c>
      <c r="BB7" s="41">
        <v>5586</v>
      </c>
      <c r="BC7" s="117"/>
      <c r="BD7" s="141"/>
      <c r="BE7" s="179"/>
      <c r="BF7" s="170"/>
      <c r="BG7" s="124">
        <v>13</v>
      </c>
      <c r="BH7" s="42">
        <v>68</v>
      </c>
      <c r="BI7" s="117"/>
      <c r="BJ7" s="170"/>
      <c r="BK7" s="162"/>
      <c r="BL7" s="170"/>
      <c r="BM7" s="28">
        <f t="shared" si="1"/>
        <v>568</v>
      </c>
      <c r="BN7" s="44">
        <f t="shared" si="1"/>
        <v>5659</v>
      </c>
      <c r="BO7" s="64"/>
      <c r="BP7" s="6"/>
      <c r="BQ7" s="56">
        <v>19</v>
      </c>
      <c r="BR7" s="57">
        <v>35</v>
      </c>
      <c r="BS7" s="117"/>
      <c r="BT7" s="127"/>
      <c r="BU7" s="140"/>
      <c r="BV7" s="167"/>
      <c r="BW7" s="187">
        <v>7</v>
      </c>
      <c r="BX7" s="57">
        <v>41</v>
      </c>
      <c r="BY7" s="117"/>
      <c r="BZ7" s="127"/>
      <c r="CA7" s="140"/>
      <c r="CB7" s="167"/>
      <c r="CC7" s="187">
        <v>26</v>
      </c>
      <c r="CD7" s="58">
        <v>107</v>
      </c>
      <c r="CE7" s="117"/>
      <c r="CF7" s="127"/>
      <c r="CG7" s="152"/>
      <c r="CH7" s="170"/>
      <c r="CI7" s="28">
        <f t="shared" si="2"/>
        <v>52</v>
      </c>
      <c r="CJ7" s="45">
        <f t="shared" si="2"/>
        <v>183</v>
      </c>
      <c r="CK7" s="64"/>
      <c r="CL7" s="60"/>
      <c r="CM7" s="66">
        <f t="shared" si="3"/>
        <v>19</v>
      </c>
      <c r="CN7" s="60"/>
      <c r="CO7" s="117">
        <v>119</v>
      </c>
      <c r="CP7" s="170">
        <v>398</v>
      </c>
      <c r="CQ7" s="138"/>
      <c r="CR7" s="167"/>
      <c r="CS7" s="187">
        <v>104</v>
      </c>
      <c r="CT7" s="57">
        <v>364</v>
      </c>
    </row>
    <row r="8" spans="1:100" s="283" customFormat="1" ht="15.75" thickBot="1" x14ac:dyDescent="0.3">
      <c r="A8" s="244">
        <v>45934</v>
      </c>
      <c r="B8" s="245" t="s">
        <v>19</v>
      </c>
      <c r="C8" s="246"/>
      <c r="D8" s="247"/>
      <c r="E8" s="247"/>
      <c r="F8" s="248"/>
      <c r="G8" s="246"/>
      <c r="H8" s="249"/>
      <c r="I8" s="246"/>
      <c r="J8" s="247"/>
      <c r="K8" s="247"/>
      <c r="L8" s="248"/>
      <c r="M8" s="250"/>
      <c r="N8" s="251"/>
      <c r="O8" s="246"/>
      <c r="P8" s="252"/>
      <c r="Q8" s="253"/>
      <c r="R8" s="254"/>
      <c r="S8" s="255"/>
      <c r="T8" s="256"/>
      <c r="U8" s="257">
        <f t="shared" si="0"/>
        <v>0</v>
      </c>
      <c r="V8" s="258">
        <f t="shared" si="0"/>
        <v>0</v>
      </c>
      <c r="W8" s="259"/>
      <c r="X8" s="260"/>
      <c r="Y8" s="261"/>
      <c r="Z8" s="247"/>
      <c r="AA8" s="247"/>
      <c r="AB8" s="248"/>
      <c r="AC8" s="246"/>
      <c r="AD8" s="249"/>
      <c r="AE8" s="246"/>
      <c r="AF8" s="247"/>
      <c r="AG8" s="247"/>
      <c r="AH8" s="262"/>
      <c r="AI8" s="263"/>
      <c r="AJ8" s="248"/>
      <c r="AK8" s="246"/>
      <c r="AL8" s="262"/>
      <c r="AM8" s="247"/>
      <c r="AN8" s="248"/>
      <c r="AO8" s="246"/>
      <c r="AP8" s="249"/>
      <c r="AQ8" s="264">
        <f t="shared" si="4"/>
        <v>0</v>
      </c>
      <c r="AR8" s="265">
        <f t="shared" si="4"/>
        <v>0</v>
      </c>
      <c r="AS8" s="259"/>
      <c r="AT8" s="260"/>
      <c r="AU8" s="266"/>
      <c r="AV8" s="267"/>
      <c r="AW8" s="267"/>
      <c r="AX8" s="268"/>
      <c r="AY8" s="264"/>
      <c r="AZ8" s="268"/>
      <c r="BA8" s="264"/>
      <c r="BB8" s="267"/>
      <c r="BC8" s="267"/>
      <c r="BD8" s="269"/>
      <c r="BE8" s="270"/>
      <c r="BF8" s="268"/>
      <c r="BG8" s="264"/>
      <c r="BH8" s="269"/>
      <c r="BI8" s="267"/>
      <c r="BJ8" s="268"/>
      <c r="BK8" s="264"/>
      <c r="BL8" s="268"/>
      <c r="BM8" s="271">
        <f t="shared" si="1"/>
        <v>0</v>
      </c>
      <c r="BN8" s="272">
        <f t="shared" si="1"/>
        <v>0</v>
      </c>
      <c r="BO8" s="273"/>
      <c r="BP8" s="260"/>
      <c r="BQ8" s="274">
        <v>19</v>
      </c>
      <c r="BR8" s="275">
        <v>35</v>
      </c>
      <c r="BS8" s="267"/>
      <c r="BT8" s="265"/>
      <c r="BU8" s="276"/>
      <c r="BV8" s="248"/>
      <c r="BW8" s="277">
        <v>7</v>
      </c>
      <c r="BX8" s="275">
        <v>41</v>
      </c>
      <c r="BY8" s="267"/>
      <c r="BZ8" s="265"/>
      <c r="CA8" s="276"/>
      <c r="CB8" s="248"/>
      <c r="CC8" s="277">
        <v>26</v>
      </c>
      <c r="CD8" s="278">
        <v>107</v>
      </c>
      <c r="CE8" s="267"/>
      <c r="CF8" s="265"/>
      <c r="CG8" s="266"/>
      <c r="CH8" s="268"/>
      <c r="CI8" s="271">
        <f t="shared" si="2"/>
        <v>52</v>
      </c>
      <c r="CJ8" s="279">
        <f t="shared" si="2"/>
        <v>183</v>
      </c>
      <c r="CK8" s="280"/>
      <c r="CL8" s="281"/>
      <c r="CM8" s="282">
        <f t="shared" si="3"/>
        <v>19</v>
      </c>
      <c r="CN8" s="281"/>
      <c r="CO8" s="267"/>
      <c r="CP8" s="268"/>
      <c r="CQ8" s="246"/>
      <c r="CR8" s="248"/>
      <c r="CS8" s="277"/>
      <c r="CT8" s="275"/>
    </row>
    <row r="9" spans="1:100" s="283" customFormat="1" ht="15.75" thickBot="1" x14ac:dyDescent="0.3">
      <c r="A9" s="244">
        <v>45935</v>
      </c>
      <c r="B9" s="245" t="s">
        <v>20</v>
      </c>
      <c r="C9" s="246"/>
      <c r="D9" s="247"/>
      <c r="E9" s="247"/>
      <c r="F9" s="248"/>
      <c r="G9" s="246"/>
      <c r="H9" s="249"/>
      <c r="I9" s="246"/>
      <c r="J9" s="247"/>
      <c r="K9" s="247"/>
      <c r="L9" s="248"/>
      <c r="M9" s="264"/>
      <c r="N9" s="284"/>
      <c r="O9" s="246"/>
      <c r="P9" s="276"/>
      <c r="Q9" s="253"/>
      <c r="R9" s="254"/>
      <c r="S9" s="255"/>
      <c r="T9" s="256"/>
      <c r="U9" s="257">
        <f t="shared" si="0"/>
        <v>0</v>
      </c>
      <c r="V9" s="258">
        <f t="shared" si="0"/>
        <v>0</v>
      </c>
      <c r="W9" s="259"/>
      <c r="X9" s="260"/>
      <c r="Y9" s="261"/>
      <c r="Z9" s="247"/>
      <c r="AA9" s="247"/>
      <c r="AB9" s="248"/>
      <c r="AC9" s="246"/>
      <c r="AD9" s="249"/>
      <c r="AE9" s="246"/>
      <c r="AF9" s="247"/>
      <c r="AG9" s="247"/>
      <c r="AH9" s="262"/>
      <c r="AI9" s="263"/>
      <c r="AJ9" s="248"/>
      <c r="AK9" s="246"/>
      <c r="AL9" s="262"/>
      <c r="AM9" s="247"/>
      <c r="AN9" s="248"/>
      <c r="AO9" s="246"/>
      <c r="AP9" s="249"/>
      <c r="AQ9" s="264">
        <f t="shared" si="4"/>
        <v>0</v>
      </c>
      <c r="AR9" s="265">
        <f t="shared" si="4"/>
        <v>0</v>
      </c>
      <c r="AS9" s="259"/>
      <c r="AT9" s="260"/>
      <c r="AU9" s="266"/>
      <c r="AV9" s="267"/>
      <c r="AW9" s="267"/>
      <c r="AX9" s="268"/>
      <c r="AY9" s="264"/>
      <c r="AZ9" s="268"/>
      <c r="BA9" s="264"/>
      <c r="BB9" s="267"/>
      <c r="BC9" s="267"/>
      <c r="BD9" s="269"/>
      <c r="BE9" s="270"/>
      <c r="BF9" s="268"/>
      <c r="BG9" s="264"/>
      <c r="BH9" s="269"/>
      <c r="BI9" s="267"/>
      <c r="BJ9" s="268"/>
      <c r="BK9" s="264"/>
      <c r="BL9" s="268"/>
      <c r="BM9" s="271">
        <f t="shared" si="1"/>
        <v>0</v>
      </c>
      <c r="BN9" s="272">
        <f t="shared" si="1"/>
        <v>0</v>
      </c>
      <c r="BO9" s="273"/>
      <c r="BP9" s="260"/>
      <c r="BQ9" s="274">
        <v>19</v>
      </c>
      <c r="BR9" s="275">
        <v>35</v>
      </c>
      <c r="BS9" s="267"/>
      <c r="BT9" s="265"/>
      <c r="BU9" s="276"/>
      <c r="BV9" s="248"/>
      <c r="BW9" s="277">
        <v>7</v>
      </c>
      <c r="BX9" s="275">
        <v>41</v>
      </c>
      <c r="BY9" s="267"/>
      <c r="BZ9" s="265"/>
      <c r="CA9" s="276"/>
      <c r="CB9" s="248"/>
      <c r="CC9" s="277">
        <v>26</v>
      </c>
      <c r="CD9" s="278">
        <v>107</v>
      </c>
      <c r="CE9" s="267"/>
      <c r="CF9" s="265"/>
      <c r="CG9" s="266"/>
      <c r="CH9" s="268"/>
      <c r="CI9" s="271">
        <f t="shared" si="2"/>
        <v>52</v>
      </c>
      <c r="CJ9" s="279">
        <f t="shared" si="2"/>
        <v>183</v>
      </c>
      <c r="CK9" s="280"/>
      <c r="CL9" s="281"/>
      <c r="CM9" s="282">
        <f t="shared" si="3"/>
        <v>19</v>
      </c>
      <c r="CN9" s="281"/>
      <c r="CO9" s="267"/>
      <c r="CP9" s="268"/>
      <c r="CQ9" s="246">
        <v>2</v>
      </c>
      <c r="CR9" s="248">
        <v>3</v>
      </c>
      <c r="CS9" s="277">
        <v>106</v>
      </c>
      <c r="CT9" s="275">
        <v>367</v>
      </c>
    </row>
    <row r="10" spans="1:100" ht="15.75" thickBot="1" x14ac:dyDescent="0.3">
      <c r="A10" s="48">
        <v>45936</v>
      </c>
      <c r="B10" s="234" t="s">
        <v>14</v>
      </c>
      <c r="C10" s="236"/>
      <c r="D10" s="237"/>
      <c r="E10" s="120"/>
      <c r="F10" s="167"/>
      <c r="G10" s="138"/>
      <c r="H10" s="148"/>
      <c r="I10" s="236"/>
      <c r="J10" s="237"/>
      <c r="K10" s="120"/>
      <c r="L10" s="167"/>
      <c r="M10" s="162"/>
      <c r="N10" s="157"/>
      <c r="O10" s="236"/>
      <c r="P10" s="240"/>
      <c r="Q10" s="116"/>
      <c r="R10" s="169"/>
      <c r="S10" s="136"/>
      <c r="T10" s="173"/>
      <c r="U10" s="109">
        <f t="shared" si="0"/>
        <v>0</v>
      </c>
      <c r="V10" s="31">
        <f t="shared" si="0"/>
        <v>0</v>
      </c>
      <c r="W10" s="64"/>
      <c r="X10" s="6"/>
      <c r="Y10" s="54"/>
      <c r="Z10" s="51"/>
      <c r="AA10" s="120"/>
      <c r="AB10" s="167"/>
      <c r="AC10" s="138"/>
      <c r="AD10" s="148"/>
      <c r="AE10" s="50">
        <v>432</v>
      </c>
      <c r="AF10" s="51">
        <v>2485</v>
      </c>
      <c r="AG10" s="120">
        <v>26</v>
      </c>
      <c r="AH10" s="121">
        <v>181</v>
      </c>
      <c r="AI10" s="132"/>
      <c r="AJ10" s="167"/>
      <c r="AK10" s="50">
        <v>745</v>
      </c>
      <c r="AL10" s="65">
        <v>2105</v>
      </c>
      <c r="AM10" s="120">
        <v>141</v>
      </c>
      <c r="AN10" s="167">
        <v>419</v>
      </c>
      <c r="AO10" s="138"/>
      <c r="AP10" s="148"/>
      <c r="AQ10" s="108">
        <f t="shared" si="4"/>
        <v>1344</v>
      </c>
      <c r="AR10" s="38">
        <f t="shared" si="4"/>
        <v>5190</v>
      </c>
      <c r="AS10" s="64"/>
      <c r="AT10" s="6"/>
      <c r="AU10" s="40"/>
      <c r="AV10" s="41"/>
      <c r="AW10" s="117"/>
      <c r="AX10" s="170"/>
      <c r="AY10" s="162"/>
      <c r="AZ10" s="170"/>
      <c r="BA10" s="124"/>
      <c r="BB10" s="41"/>
      <c r="BC10" s="117"/>
      <c r="BD10" s="141"/>
      <c r="BE10" s="179"/>
      <c r="BF10" s="170"/>
      <c r="BG10" s="124"/>
      <c r="BH10" s="42"/>
      <c r="BI10" s="117"/>
      <c r="BJ10" s="170"/>
      <c r="BK10" s="162"/>
      <c r="BL10" s="170"/>
      <c r="BM10" s="28">
        <f t="shared" si="1"/>
        <v>0</v>
      </c>
      <c r="BN10" s="44">
        <f t="shared" si="1"/>
        <v>0</v>
      </c>
      <c r="BO10" s="64"/>
      <c r="BP10" s="6"/>
      <c r="BQ10" s="56">
        <v>19</v>
      </c>
      <c r="BR10" s="57">
        <v>35</v>
      </c>
      <c r="BS10" s="117">
        <v>17</v>
      </c>
      <c r="BT10" s="127">
        <v>30</v>
      </c>
      <c r="BU10" s="140"/>
      <c r="BV10" s="167"/>
      <c r="BW10" s="187">
        <v>7</v>
      </c>
      <c r="BX10" s="57">
        <v>41</v>
      </c>
      <c r="BY10" s="117"/>
      <c r="BZ10" s="127"/>
      <c r="CA10" s="140"/>
      <c r="CB10" s="167"/>
      <c r="CC10" s="187">
        <v>26</v>
      </c>
      <c r="CD10" s="58">
        <v>107</v>
      </c>
      <c r="CE10" s="117"/>
      <c r="CF10" s="127"/>
      <c r="CG10" s="152"/>
      <c r="CH10" s="170"/>
      <c r="CI10" s="28">
        <f t="shared" si="2"/>
        <v>69</v>
      </c>
      <c r="CJ10" s="45">
        <f t="shared" si="2"/>
        <v>213</v>
      </c>
      <c r="CK10" s="64"/>
      <c r="CL10" s="60"/>
      <c r="CM10" s="66">
        <f t="shared" si="3"/>
        <v>19</v>
      </c>
      <c r="CN10" s="60"/>
      <c r="CO10" s="117"/>
      <c r="CP10" s="170"/>
      <c r="CQ10" s="138"/>
      <c r="CR10" s="167"/>
      <c r="CS10" s="187">
        <v>77</v>
      </c>
      <c r="CT10" s="67">
        <v>278</v>
      </c>
    </row>
    <row r="11" spans="1:100" ht="15.75" thickBot="1" x14ac:dyDescent="0.3">
      <c r="A11" s="48">
        <v>45937</v>
      </c>
      <c r="B11" s="234" t="s">
        <v>15</v>
      </c>
      <c r="C11" s="236">
        <v>117</v>
      </c>
      <c r="D11" s="237">
        <v>213</v>
      </c>
      <c r="E11" s="120">
        <v>17</v>
      </c>
      <c r="F11" s="167">
        <v>39</v>
      </c>
      <c r="G11" s="138"/>
      <c r="H11" s="148"/>
      <c r="I11" s="236">
        <v>65</v>
      </c>
      <c r="J11" s="237">
        <v>360</v>
      </c>
      <c r="K11" s="120">
        <v>1</v>
      </c>
      <c r="L11" s="167">
        <v>4</v>
      </c>
      <c r="M11" s="162"/>
      <c r="N11" s="157"/>
      <c r="O11" s="236"/>
      <c r="P11" s="241"/>
      <c r="Q11" s="117">
        <v>1</v>
      </c>
      <c r="R11" s="170">
        <v>3</v>
      </c>
      <c r="S11" s="137"/>
      <c r="T11" s="174"/>
      <c r="U11" s="109">
        <f t="shared" si="0"/>
        <v>201</v>
      </c>
      <c r="V11" s="31">
        <f t="shared" si="0"/>
        <v>619</v>
      </c>
      <c r="W11" s="91"/>
      <c r="X11" s="6"/>
      <c r="Y11" s="34"/>
      <c r="Z11" s="35"/>
      <c r="AA11" s="120">
        <v>142</v>
      </c>
      <c r="AB11" s="167">
        <v>270</v>
      </c>
      <c r="AC11" s="138"/>
      <c r="AD11" s="148"/>
      <c r="AE11" s="50">
        <v>458</v>
      </c>
      <c r="AF11" s="51">
        <v>2666</v>
      </c>
      <c r="AG11" s="120"/>
      <c r="AH11" s="121"/>
      <c r="AI11" s="132"/>
      <c r="AJ11" s="167"/>
      <c r="AK11" s="50">
        <v>817</v>
      </c>
      <c r="AL11" s="65">
        <v>2324</v>
      </c>
      <c r="AM11" s="120"/>
      <c r="AN11" s="167"/>
      <c r="AO11" s="138">
        <v>1</v>
      </c>
      <c r="AP11" s="148">
        <v>1</v>
      </c>
      <c r="AQ11" s="108">
        <f t="shared" si="4"/>
        <v>1418</v>
      </c>
      <c r="AR11" s="38">
        <f t="shared" si="4"/>
        <v>5261</v>
      </c>
      <c r="AS11" s="91"/>
      <c r="AT11" s="6"/>
      <c r="AU11" s="37">
        <v>0</v>
      </c>
      <c r="AV11" s="92">
        <v>0</v>
      </c>
      <c r="AW11" s="117"/>
      <c r="AX11" s="170"/>
      <c r="AY11" s="162">
        <v>1</v>
      </c>
      <c r="AZ11" s="170">
        <v>2</v>
      </c>
      <c r="BA11" s="108">
        <v>544</v>
      </c>
      <c r="BB11" s="92">
        <v>5532</v>
      </c>
      <c r="BC11" s="117"/>
      <c r="BD11" s="141"/>
      <c r="BE11" s="179"/>
      <c r="BF11" s="170"/>
      <c r="BG11" s="108">
        <v>0</v>
      </c>
      <c r="BH11" s="93">
        <v>0</v>
      </c>
      <c r="BI11" s="117"/>
      <c r="BJ11" s="170"/>
      <c r="BK11" s="162">
        <v>3</v>
      </c>
      <c r="BL11" s="170">
        <v>4</v>
      </c>
      <c r="BM11" s="28">
        <f t="shared" si="1"/>
        <v>548</v>
      </c>
      <c r="BN11" s="44">
        <f t="shared" si="1"/>
        <v>5538</v>
      </c>
      <c r="BO11" s="91"/>
      <c r="BP11" s="6"/>
      <c r="BQ11" s="94">
        <v>36</v>
      </c>
      <c r="BR11" s="95">
        <v>65</v>
      </c>
      <c r="BS11" s="117"/>
      <c r="BT11" s="127"/>
      <c r="BU11" s="140"/>
      <c r="BV11" s="167"/>
      <c r="BW11" s="189">
        <v>7</v>
      </c>
      <c r="BX11" s="96">
        <v>41</v>
      </c>
      <c r="BY11" s="117"/>
      <c r="BZ11" s="127"/>
      <c r="CA11" s="141"/>
      <c r="CB11" s="170"/>
      <c r="CC11" s="191">
        <v>26</v>
      </c>
      <c r="CD11" s="97">
        <v>107</v>
      </c>
      <c r="CE11" s="117"/>
      <c r="CF11" s="127"/>
      <c r="CG11" s="152"/>
      <c r="CH11" s="170"/>
      <c r="CI11" s="28">
        <f t="shared" si="2"/>
        <v>69</v>
      </c>
      <c r="CJ11" s="45">
        <f t="shared" si="2"/>
        <v>213</v>
      </c>
      <c r="CK11" s="91"/>
      <c r="CL11" s="60"/>
      <c r="CM11" s="98">
        <f t="shared" si="3"/>
        <v>153</v>
      </c>
      <c r="CN11" s="60"/>
      <c r="CO11" s="117">
        <v>137</v>
      </c>
      <c r="CP11" s="170">
        <v>290</v>
      </c>
      <c r="CQ11" s="138"/>
      <c r="CR11" s="167"/>
      <c r="CS11" s="189">
        <v>187</v>
      </c>
      <c r="CT11" s="96">
        <v>470</v>
      </c>
    </row>
    <row r="12" spans="1:100" ht="15.75" thickBot="1" x14ac:dyDescent="0.3">
      <c r="A12" s="48">
        <v>45938</v>
      </c>
      <c r="B12" s="234" t="s">
        <v>16</v>
      </c>
      <c r="C12" s="236"/>
      <c r="D12" s="237"/>
      <c r="E12" s="120"/>
      <c r="F12" s="167"/>
      <c r="G12" s="138"/>
      <c r="H12" s="148"/>
      <c r="I12" s="236"/>
      <c r="J12" s="237"/>
      <c r="K12" s="120"/>
      <c r="L12" s="167"/>
      <c r="M12" s="162"/>
      <c r="N12" s="157"/>
      <c r="O12" s="236">
        <v>169</v>
      </c>
      <c r="P12" s="242"/>
      <c r="Q12" s="117"/>
      <c r="R12" s="170"/>
      <c r="S12" s="137"/>
      <c r="T12" s="174"/>
      <c r="U12" s="109">
        <f t="shared" si="0"/>
        <v>169</v>
      </c>
      <c r="V12" s="31">
        <f t="shared" si="0"/>
        <v>0</v>
      </c>
      <c r="W12" s="64"/>
      <c r="X12" s="6"/>
      <c r="Y12" s="54"/>
      <c r="Z12" s="51"/>
      <c r="AA12" s="120"/>
      <c r="AB12" s="167"/>
      <c r="AC12" s="138"/>
      <c r="AD12" s="148"/>
      <c r="AE12" s="50">
        <v>424</v>
      </c>
      <c r="AF12" s="51">
        <v>2520</v>
      </c>
      <c r="AG12" s="120"/>
      <c r="AH12" s="121"/>
      <c r="AI12" s="132"/>
      <c r="AJ12" s="167"/>
      <c r="AK12" s="50">
        <v>799</v>
      </c>
      <c r="AL12" s="65">
        <v>2300</v>
      </c>
      <c r="AM12" s="120"/>
      <c r="AN12" s="167"/>
      <c r="AO12" s="138">
        <v>1</v>
      </c>
      <c r="AP12" s="148">
        <v>2</v>
      </c>
      <c r="AQ12" s="108">
        <f t="shared" si="4"/>
        <v>1224</v>
      </c>
      <c r="AR12" s="38">
        <f t="shared" si="4"/>
        <v>4822</v>
      </c>
      <c r="AS12" s="64"/>
      <c r="AT12" s="6"/>
      <c r="AU12" s="40">
        <v>0</v>
      </c>
      <c r="AV12" s="41">
        <v>0</v>
      </c>
      <c r="AW12" s="117"/>
      <c r="AX12" s="170"/>
      <c r="AY12" s="162"/>
      <c r="AZ12" s="170"/>
      <c r="BA12" s="124">
        <v>516</v>
      </c>
      <c r="BB12" s="41">
        <v>5293</v>
      </c>
      <c r="BC12" s="117"/>
      <c r="BD12" s="141"/>
      <c r="BE12" s="179"/>
      <c r="BF12" s="170"/>
      <c r="BG12" s="124">
        <v>0</v>
      </c>
      <c r="BH12" s="42">
        <v>0</v>
      </c>
      <c r="BI12" s="117"/>
      <c r="BJ12" s="170"/>
      <c r="BK12" s="162">
        <v>1</v>
      </c>
      <c r="BL12" s="170">
        <v>2</v>
      </c>
      <c r="BM12" s="28">
        <f t="shared" si="1"/>
        <v>517</v>
      </c>
      <c r="BN12" s="44">
        <f t="shared" si="1"/>
        <v>5295</v>
      </c>
      <c r="BO12" s="64"/>
      <c r="BP12" s="6"/>
      <c r="BQ12" s="56">
        <v>36</v>
      </c>
      <c r="BR12" s="57">
        <v>65</v>
      </c>
      <c r="BS12" s="117"/>
      <c r="BT12" s="127"/>
      <c r="BU12" s="140"/>
      <c r="BV12" s="167"/>
      <c r="BW12" s="187">
        <v>7</v>
      </c>
      <c r="BX12" s="67">
        <v>41</v>
      </c>
      <c r="BY12" s="117"/>
      <c r="BZ12" s="127"/>
      <c r="CA12" s="141"/>
      <c r="CB12" s="170"/>
      <c r="CC12" s="190">
        <v>26</v>
      </c>
      <c r="CD12" s="58">
        <v>107</v>
      </c>
      <c r="CE12" s="117"/>
      <c r="CF12" s="127"/>
      <c r="CG12" s="152"/>
      <c r="CH12" s="170"/>
      <c r="CI12" s="28">
        <f t="shared" si="2"/>
        <v>69</v>
      </c>
      <c r="CJ12" s="45">
        <f t="shared" si="2"/>
        <v>213</v>
      </c>
      <c r="CK12" s="64"/>
      <c r="CL12" s="60"/>
      <c r="CM12" s="66">
        <f t="shared" si="3"/>
        <v>36</v>
      </c>
      <c r="CN12" s="60"/>
      <c r="CO12" s="117"/>
      <c r="CP12" s="170"/>
      <c r="CQ12" s="138"/>
      <c r="CR12" s="167"/>
      <c r="CS12" s="187">
        <v>168</v>
      </c>
      <c r="CT12" s="67">
        <v>401</v>
      </c>
    </row>
    <row r="13" spans="1:100" s="306" customFormat="1" ht="15.75" thickBot="1" x14ac:dyDescent="0.3">
      <c r="A13" s="290">
        <v>45939</v>
      </c>
      <c r="B13" s="291" t="s">
        <v>17</v>
      </c>
      <c r="C13" s="99">
        <v>117</v>
      </c>
      <c r="D13" s="74">
        <v>213</v>
      </c>
      <c r="E13" s="74"/>
      <c r="F13" s="292"/>
      <c r="G13" s="99"/>
      <c r="H13" s="293"/>
      <c r="I13" s="99">
        <v>43</v>
      </c>
      <c r="J13" s="74">
        <v>232</v>
      </c>
      <c r="K13" s="74"/>
      <c r="L13" s="292"/>
      <c r="M13" s="125"/>
      <c r="N13" s="294"/>
      <c r="O13" s="99">
        <v>172</v>
      </c>
      <c r="P13" s="78">
        <v>295</v>
      </c>
      <c r="Q13" s="77"/>
      <c r="R13" s="302"/>
      <c r="S13" s="307"/>
      <c r="T13" s="308"/>
      <c r="U13" s="211">
        <f t="shared" si="0"/>
        <v>332</v>
      </c>
      <c r="V13" s="212">
        <f t="shared" si="0"/>
        <v>740</v>
      </c>
      <c r="W13" s="79"/>
      <c r="X13" s="300"/>
      <c r="Y13" s="73">
        <v>693</v>
      </c>
      <c r="Z13" s="74">
        <v>1352</v>
      </c>
      <c r="AA13" s="74"/>
      <c r="AB13" s="292"/>
      <c r="AC13" s="99"/>
      <c r="AD13" s="293"/>
      <c r="AE13" s="99">
        <v>424</v>
      </c>
      <c r="AF13" s="74">
        <v>2520</v>
      </c>
      <c r="AG13" s="74"/>
      <c r="AH13" s="75"/>
      <c r="AI13" s="301"/>
      <c r="AJ13" s="292"/>
      <c r="AK13" s="99">
        <v>799</v>
      </c>
      <c r="AL13" s="75">
        <v>2300</v>
      </c>
      <c r="AM13" s="74"/>
      <c r="AN13" s="292"/>
      <c r="AO13" s="99"/>
      <c r="AP13" s="293"/>
      <c r="AQ13" s="125">
        <f t="shared" si="4"/>
        <v>1916</v>
      </c>
      <c r="AR13" s="210">
        <f t="shared" si="4"/>
        <v>6172</v>
      </c>
      <c r="AS13" s="79"/>
      <c r="AT13" s="300"/>
      <c r="AU13" s="76">
        <v>0</v>
      </c>
      <c r="AV13" s="77">
        <v>0</v>
      </c>
      <c r="AW13" s="77"/>
      <c r="AX13" s="302"/>
      <c r="AY13" s="125"/>
      <c r="AZ13" s="302"/>
      <c r="BA13" s="125">
        <v>515</v>
      </c>
      <c r="BB13" s="77">
        <v>5249</v>
      </c>
      <c r="BC13" s="77"/>
      <c r="BD13" s="78"/>
      <c r="BE13" s="303"/>
      <c r="BF13" s="302"/>
      <c r="BG13" s="125">
        <v>0</v>
      </c>
      <c r="BH13" s="78">
        <v>0</v>
      </c>
      <c r="BI13" s="77"/>
      <c r="BJ13" s="302"/>
      <c r="BK13" s="125"/>
      <c r="BL13" s="302"/>
      <c r="BM13" s="69">
        <f t="shared" si="1"/>
        <v>515</v>
      </c>
      <c r="BN13" s="209">
        <f t="shared" si="1"/>
        <v>5249</v>
      </c>
      <c r="BO13" s="79"/>
      <c r="BP13" s="300"/>
      <c r="BQ13" s="80">
        <v>36</v>
      </c>
      <c r="BR13" s="81">
        <v>65</v>
      </c>
      <c r="BS13" s="77"/>
      <c r="BT13" s="210"/>
      <c r="BU13" s="100"/>
      <c r="BV13" s="292"/>
      <c r="BW13" s="188">
        <v>7</v>
      </c>
      <c r="BX13" s="101">
        <v>41</v>
      </c>
      <c r="BY13" s="77"/>
      <c r="BZ13" s="210"/>
      <c r="CA13" s="78"/>
      <c r="CB13" s="302"/>
      <c r="CC13" s="192">
        <v>26</v>
      </c>
      <c r="CD13" s="82">
        <v>107</v>
      </c>
      <c r="CE13" s="77"/>
      <c r="CF13" s="210"/>
      <c r="CG13" s="76"/>
      <c r="CH13" s="302"/>
      <c r="CI13" s="69">
        <f t="shared" si="2"/>
        <v>69</v>
      </c>
      <c r="CJ13" s="213">
        <f t="shared" si="2"/>
        <v>213</v>
      </c>
      <c r="CK13" s="79"/>
      <c r="CL13" s="304"/>
      <c r="CM13" s="305">
        <f t="shared" si="3"/>
        <v>846</v>
      </c>
      <c r="CN13" s="304"/>
      <c r="CO13" s="77"/>
      <c r="CP13" s="302"/>
      <c r="CQ13" s="99"/>
      <c r="CR13" s="292"/>
      <c r="CS13" s="188">
        <v>168</v>
      </c>
      <c r="CT13" s="101">
        <v>401</v>
      </c>
      <c r="CU13" s="306">
        <v>151</v>
      </c>
      <c r="CV13" s="306">
        <v>320</v>
      </c>
    </row>
    <row r="14" spans="1:100" ht="15.75" thickBot="1" x14ac:dyDescent="0.3">
      <c r="A14" s="48">
        <v>45940</v>
      </c>
      <c r="B14" s="234" t="s">
        <v>18</v>
      </c>
      <c r="C14" s="236"/>
      <c r="D14" s="237"/>
      <c r="E14" s="120"/>
      <c r="F14" s="167"/>
      <c r="G14" s="138"/>
      <c r="H14" s="148"/>
      <c r="I14" s="236"/>
      <c r="J14" s="237"/>
      <c r="K14" s="120"/>
      <c r="L14" s="167"/>
      <c r="M14" s="162"/>
      <c r="N14" s="157"/>
      <c r="O14" s="236"/>
      <c r="P14" s="242"/>
      <c r="Q14" s="117"/>
      <c r="R14" s="170"/>
      <c r="S14" s="137">
        <v>5</v>
      </c>
      <c r="T14" s="174">
        <v>9</v>
      </c>
      <c r="U14" s="109">
        <f t="shared" si="0"/>
        <v>5</v>
      </c>
      <c r="V14" s="31">
        <f t="shared" si="0"/>
        <v>9</v>
      </c>
      <c r="W14" s="64"/>
      <c r="X14" s="6"/>
      <c r="Y14" s="54"/>
      <c r="Z14" s="51"/>
      <c r="AA14" s="120"/>
      <c r="AB14" s="167"/>
      <c r="AC14" s="138"/>
      <c r="AD14" s="148"/>
      <c r="AE14" s="50">
        <v>353</v>
      </c>
      <c r="AF14" s="51">
        <v>2144</v>
      </c>
      <c r="AG14" s="120"/>
      <c r="AH14" s="121"/>
      <c r="AI14" s="132"/>
      <c r="AJ14" s="167"/>
      <c r="AK14" s="50">
        <v>799</v>
      </c>
      <c r="AL14" s="65">
        <v>2300</v>
      </c>
      <c r="AM14" s="120"/>
      <c r="AN14" s="167"/>
      <c r="AO14" s="138"/>
      <c r="AP14" s="148"/>
      <c r="AQ14" s="108">
        <f t="shared" si="4"/>
        <v>1152</v>
      </c>
      <c r="AR14" s="38">
        <f t="shared" si="4"/>
        <v>4444</v>
      </c>
      <c r="AS14" s="64"/>
      <c r="AT14" s="6"/>
      <c r="AU14" s="40">
        <v>0</v>
      </c>
      <c r="AV14" s="41">
        <v>0</v>
      </c>
      <c r="AW14" s="117"/>
      <c r="AX14" s="170"/>
      <c r="AY14" s="162"/>
      <c r="AZ14" s="170"/>
      <c r="BA14" s="124">
        <v>478</v>
      </c>
      <c r="BB14" s="41">
        <v>4830</v>
      </c>
      <c r="BC14" s="117"/>
      <c r="BD14" s="141"/>
      <c r="BE14" s="179"/>
      <c r="BF14" s="170"/>
      <c r="BG14" s="124">
        <v>0</v>
      </c>
      <c r="BH14" s="42">
        <v>0</v>
      </c>
      <c r="BI14" s="117"/>
      <c r="BJ14" s="170"/>
      <c r="BK14" s="162">
        <v>3</v>
      </c>
      <c r="BL14" s="170">
        <v>4</v>
      </c>
      <c r="BM14" s="28">
        <f t="shared" si="1"/>
        <v>481</v>
      </c>
      <c r="BN14" s="44">
        <f t="shared" si="1"/>
        <v>4834</v>
      </c>
      <c r="BO14" s="64"/>
      <c r="BP14" s="6"/>
      <c r="BQ14" s="56">
        <v>36</v>
      </c>
      <c r="BR14" s="57">
        <v>65</v>
      </c>
      <c r="BS14" s="117"/>
      <c r="BT14" s="127"/>
      <c r="BU14" s="140"/>
      <c r="BV14" s="167"/>
      <c r="BW14" s="187">
        <v>7</v>
      </c>
      <c r="BX14" s="67">
        <v>41</v>
      </c>
      <c r="BY14" s="117"/>
      <c r="BZ14" s="127"/>
      <c r="CA14" s="141"/>
      <c r="CB14" s="170"/>
      <c r="CC14" s="190">
        <v>26</v>
      </c>
      <c r="CD14" s="58">
        <v>107</v>
      </c>
      <c r="CE14" s="117"/>
      <c r="CF14" s="127"/>
      <c r="CG14" s="152"/>
      <c r="CH14" s="170"/>
      <c r="CI14" s="28">
        <f t="shared" si="2"/>
        <v>69</v>
      </c>
      <c r="CJ14" s="45">
        <f t="shared" si="2"/>
        <v>213</v>
      </c>
      <c r="CK14" s="64"/>
      <c r="CL14" s="60"/>
      <c r="CM14" s="66">
        <f t="shared" si="3"/>
        <v>36</v>
      </c>
      <c r="CN14" s="60"/>
      <c r="CO14" s="117"/>
      <c r="CP14" s="170"/>
      <c r="CQ14" s="138"/>
      <c r="CR14" s="167"/>
      <c r="CS14" s="187">
        <v>122</v>
      </c>
      <c r="CT14" s="57">
        <v>272</v>
      </c>
    </row>
    <row r="15" spans="1:100" s="283" customFormat="1" ht="15.75" thickBot="1" x14ac:dyDescent="0.3">
      <c r="A15" s="244">
        <v>45941</v>
      </c>
      <c r="B15" s="245" t="s">
        <v>19</v>
      </c>
      <c r="C15" s="246"/>
      <c r="D15" s="247"/>
      <c r="E15" s="247"/>
      <c r="F15" s="248"/>
      <c r="G15" s="246"/>
      <c r="H15" s="249"/>
      <c r="I15" s="246"/>
      <c r="J15" s="247"/>
      <c r="K15" s="247"/>
      <c r="L15" s="248"/>
      <c r="M15" s="264"/>
      <c r="N15" s="284"/>
      <c r="O15" s="246"/>
      <c r="P15" s="276"/>
      <c r="Q15" s="267"/>
      <c r="R15" s="268"/>
      <c r="S15" s="285"/>
      <c r="T15" s="286"/>
      <c r="U15" s="257">
        <f t="shared" si="0"/>
        <v>0</v>
      </c>
      <c r="V15" s="258">
        <f t="shared" si="0"/>
        <v>0</v>
      </c>
      <c r="W15" s="259"/>
      <c r="X15" s="260"/>
      <c r="Y15" s="261"/>
      <c r="Z15" s="247"/>
      <c r="AA15" s="247"/>
      <c r="AB15" s="248"/>
      <c r="AC15" s="246"/>
      <c r="AD15" s="249"/>
      <c r="AE15" s="246"/>
      <c r="AF15" s="247"/>
      <c r="AG15" s="247"/>
      <c r="AH15" s="262"/>
      <c r="AI15" s="263"/>
      <c r="AJ15" s="248"/>
      <c r="AK15" s="246"/>
      <c r="AL15" s="262"/>
      <c r="AM15" s="247"/>
      <c r="AN15" s="248"/>
      <c r="AO15" s="246"/>
      <c r="AP15" s="249"/>
      <c r="AQ15" s="264">
        <f t="shared" si="4"/>
        <v>0</v>
      </c>
      <c r="AR15" s="265">
        <f t="shared" si="4"/>
        <v>0</v>
      </c>
      <c r="AS15" s="259"/>
      <c r="AT15" s="260"/>
      <c r="AU15" s="266"/>
      <c r="AV15" s="267"/>
      <c r="AW15" s="267"/>
      <c r="AX15" s="268"/>
      <c r="AY15" s="264"/>
      <c r="AZ15" s="268"/>
      <c r="BA15" s="264"/>
      <c r="BB15" s="267"/>
      <c r="BC15" s="267"/>
      <c r="BD15" s="269"/>
      <c r="BE15" s="270"/>
      <c r="BF15" s="268"/>
      <c r="BG15" s="264"/>
      <c r="BH15" s="269"/>
      <c r="BI15" s="267"/>
      <c r="BJ15" s="268"/>
      <c r="BK15" s="264"/>
      <c r="BL15" s="268"/>
      <c r="BM15" s="271">
        <f t="shared" si="1"/>
        <v>0</v>
      </c>
      <c r="BN15" s="272">
        <f t="shared" si="1"/>
        <v>0</v>
      </c>
      <c r="BO15" s="273"/>
      <c r="BP15" s="260"/>
      <c r="BQ15" s="274">
        <v>36</v>
      </c>
      <c r="BR15" s="275">
        <v>65</v>
      </c>
      <c r="BS15" s="267"/>
      <c r="BT15" s="265"/>
      <c r="BU15" s="276"/>
      <c r="BV15" s="248"/>
      <c r="BW15" s="277">
        <v>7</v>
      </c>
      <c r="BX15" s="287">
        <v>41</v>
      </c>
      <c r="BY15" s="267"/>
      <c r="BZ15" s="265"/>
      <c r="CA15" s="269"/>
      <c r="CB15" s="268"/>
      <c r="CC15" s="288">
        <v>26</v>
      </c>
      <c r="CD15" s="278">
        <v>107</v>
      </c>
      <c r="CE15" s="267"/>
      <c r="CF15" s="265"/>
      <c r="CG15" s="266"/>
      <c r="CH15" s="268"/>
      <c r="CI15" s="271">
        <f t="shared" si="2"/>
        <v>69</v>
      </c>
      <c r="CJ15" s="279">
        <f t="shared" si="2"/>
        <v>213</v>
      </c>
      <c r="CK15" s="280"/>
      <c r="CL15" s="281"/>
      <c r="CM15" s="282">
        <f t="shared" si="3"/>
        <v>36</v>
      </c>
      <c r="CN15" s="281"/>
      <c r="CO15" s="267"/>
      <c r="CP15" s="268"/>
      <c r="CQ15" s="246"/>
      <c r="CR15" s="248"/>
      <c r="CS15" s="277"/>
      <c r="CT15" s="275"/>
    </row>
    <row r="16" spans="1:100" s="283" customFormat="1" ht="15.75" thickBot="1" x14ac:dyDescent="0.3">
      <c r="A16" s="244">
        <v>45942</v>
      </c>
      <c r="B16" s="245" t="s">
        <v>20</v>
      </c>
      <c r="C16" s="246"/>
      <c r="D16" s="247"/>
      <c r="E16" s="247"/>
      <c r="F16" s="248"/>
      <c r="G16" s="246"/>
      <c r="H16" s="249"/>
      <c r="I16" s="246"/>
      <c r="J16" s="247"/>
      <c r="K16" s="247"/>
      <c r="L16" s="248"/>
      <c r="M16" s="264"/>
      <c r="N16" s="284"/>
      <c r="O16" s="246"/>
      <c r="P16" s="269"/>
      <c r="Q16" s="267"/>
      <c r="R16" s="268"/>
      <c r="S16" s="285"/>
      <c r="T16" s="286"/>
      <c r="U16" s="257">
        <f t="shared" si="0"/>
        <v>0</v>
      </c>
      <c r="V16" s="258">
        <f t="shared" si="0"/>
        <v>0</v>
      </c>
      <c r="W16" s="259"/>
      <c r="X16" s="260"/>
      <c r="Y16" s="261"/>
      <c r="Z16" s="247"/>
      <c r="AA16" s="247"/>
      <c r="AB16" s="248"/>
      <c r="AC16" s="246"/>
      <c r="AD16" s="249"/>
      <c r="AE16" s="246"/>
      <c r="AF16" s="247"/>
      <c r="AG16" s="247"/>
      <c r="AH16" s="262"/>
      <c r="AI16" s="263"/>
      <c r="AJ16" s="248"/>
      <c r="AK16" s="246"/>
      <c r="AL16" s="262"/>
      <c r="AM16" s="247"/>
      <c r="AN16" s="248"/>
      <c r="AO16" s="246"/>
      <c r="AP16" s="249"/>
      <c r="AQ16" s="264">
        <f t="shared" si="4"/>
        <v>0</v>
      </c>
      <c r="AR16" s="265">
        <f t="shared" si="4"/>
        <v>0</v>
      </c>
      <c r="AS16" s="259"/>
      <c r="AT16" s="260"/>
      <c r="AU16" s="266"/>
      <c r="AV16" s="267"/>
      <c r="AW16" s="267"/>
      <c r="AX16" s="268"/>
      <c r="AY16" s="264"/>
      <c r="AZ16" s="268"/>
      <c r="BA16" s="264"/>
      <c r="BB16" s="267"/>
      <c r="BC16" s="267"/>
      <c r="BD16" s="269"/>
      <c r="BE16" s="270"/>
      <c r="BF16" s="268"/>
      <c r="BG16" s="264"/>
      <c r="BH16" s="269"/>
      <c r="BI16" s="267"/>
      <c r="BJ16" s="268"/>
      <c r="BK16" s="264"/>
      <c r="BL16" s="268"/>
      <c r="BM16" s="271">
        <f t="shared" si="1"/>
        <v>0</v>
      </c>
      <c r="BN16" s="272">
        <f t="shared" si="1"/>
        <v>0</v>
      </c>
      <c r="BO16" s="273"/>
      <c r="BP16" s="260"/>
      <c r="BQ16" s="274">
        <v>36</v>
      </c>
      <c r="BR16" s="275">
        <v>65</v>
      </c>
      <c r="BS16" s="267"/>
      <c r="BT16" s="265"/>
      <c r="BU16" s="276"/>
      <c r="BV16" s="248"/>
      <c r="BW16" s="277">
        <v>7</v>
      </c>
      <c r="BX16" s="287">
        <v>41</v>
      </c>
      <c r="BY16" s="267"/>
      <c r="BZ16" s="265"/>
      <c r="CA16" s="269"/>
      <c r="CB16" s="268"/>
      <c r="CC16" s="288">
        <v>26</v>
      </c>
      <c r="CD16" s="278">
        <v>107</v>
      </c>
      <c r="CE16" s="267"/>
      <c r="CF16" s="265"/>
      <c r="CG16" s="266"/>
      <c r="CH16" s="268"/>
      <c r="CI16" s="271">
        <f t="shared" si="2"/>
        <v>69</v>
      </c>
      <c r="CJ16" s="279">
        <f t="shared" si="2"/>
        <v>213</v>
      </c>
      <c r="CK16" s="280"/>
      <c r="CL16" s="281"/>
      <c r="CM16" s="282">
        <f t="shared" si="3"/>
        <v>36</v>
      </c>
      <c r="CN16" s="281"/>
      <c r="CO16" s="267"/>
      <c r="CP16" s="268"/>
      <c r="CQ16" s="246"/>
      <c r="CR16" s="248"/>
      <c r="CS16" s="277"/>
      <c r="CT16" s="275"/>
    </row>
    <row r="17" spans="1:98" ht="15.75" thickBot="1" x14ac:dyDescent="0.3">
      <c r="A17" s="48">
        <v>45943</v>
      </c>
      <c r="B17" s="234" t="s">
        <v>14</v>
      </c>
      <c r="C17" s="236">
        <v>67</v>
      </c>
      <c r="D17" s="237">
        <v>135</v>
      </c>
      <c r="E17" s="120">
        <v>17</v>
      </c>
      <c r="F17" s="167">
        <v>24</v>
      </c>
      <c r="G17" s="138"/>
      <c r="H17" s="148"/>
      <c r="I17" s="236">
        <v>46</v>
      </c>
      <c r="J17" s="237">
        <v>241</v>
      </c>
      <c r="K17" s="120">
        <v>22</v>
      </c>
      <c r="L17" s="167">
        <v>88</v>
      </c>
      <c r="M17" s="162"/>
      <c r="N17" s="157"/>
      <c r="O17" s="236">
        <v>187</v>
      </c>
      <c r="P17" s="242"/>
      <c r="Q17" s="117"/>
      <c r="R17" s="170"/>
      <c r="S17" s="137"/>
      <c r="T17" s="174"/>
      <c r="U17" s="109">
        <f t="shared" si="0"/>
        <v>339</v>
      </c>
      <c r="V17" s="31">
        <f t="shared" si="0"/>
        <v>488</v>
      </c>
      <c r="W17" s="64"/>
      <c r="X17" s="6"/>
      <c r="Y17" s="54"/>
      <c r="Z17" s="51"/>
      <c r="AA17" s="120">
        <v>155</v>
      </c>
      <c r="AB17" s="167">
        <v>292</v>
      </c>
      <c r="AC17" s="138"/>
      <c r="AD17" s="148"/>
      <c r="AE17" s="50">
        <v>402</v>
      </c>
      <c r="AF17" s="51">
        <v>2421</v>
      </c>
      <c r="AG17" s="120">
        <v>97</v>
      </c>
      <c r="AH17" s="121">
        <v>537</v>
      </c>
      <c r="AI17" s="132"/>
      <c r="AJ17" s="167"/>
      <c r="AK17" s="50">
        <v>806</v>
      </c>
      <c r="AL17" s="65">
        <v>2284</v>
      </c>
      <c r="AM17" s="120">
        <v>109</v>
      </c>
      <c r="AN17" s="167">
        <v>277</v>
      </c>
      <c r="AO17" s="138"/>
      <c r="AP17" s="148"/>
      <c r="AQ17" s="108">
        <f t="shared" si="4"/>
        <v>1569</v>
      </c>
      <c r="AR17" s="38">
        <f t="shared" si="4"/>
        <v>5811</v>
      </c>
      <c r="AS17" s="64"/>
      <c r="AT17" s="6"/>
      <c r="AU17" s="40">
        <v>0</v>
      </c>
      <c r="AV17" s="41">
        <v>0</v>
      </c>
      <c r="AW17" s="117"/>
      <c r="AX17" s="170"/>
      <c r="AY17" s="162"/>
      <c r="AZ17" s="170"/>
      <c r="BA17" s="124">
        <v>455</v>
      </c>
      <c r="BB17" s="41">
        <v>4589</v>
      </c>
      <c r="BC17" s="117"/>
      <c r="BD17" s="141"/>
      <c r="BE17" s="179">
        <v>1</v>
      </c>
      <c r="BF17" s="170">
        <v>16</v>
      </c>
      <c r="BG17" s="124">
        <v>0</v>
      </c>
      <c r="BH17" s="42">
        <v>0</v>
      </c>
      <c r="BI17" s="117"/>
      <c r="BJ17" s="170"/>
      <c r="BK17" s="162">
        <v>1</v>
      </c>
      <c r="BL17" s="170">
        <v>2</v>
      </c>
      <c r="BM17" s="28">
        <f t="shared" si="1"/>
        <v>457</v>
      </c>
      <c r="BN17" s="44">
        <f t="shared" si="1"/>
        <v>4607</v>
      </c>
      <c r="BO17" s="64"/>
      <c r="BP17" s="6"/>
      <c r="BQ17" s="56">
        <v>36</v>
      </c>
      <c r="BR17" s="57">
        <v>65</v>
      </c>
      <c r="BS17" s="117">
        <v>11</v>
      </c>
      <c r="BT17" s="127">
        <v>18</v>
      </c>
      <c r="BU17" s="140"/>
      <c r="BV17" s="167"/>
      <c r="BW17" s="187">
        <v>7</v>
      </c>
      <c r="BX17" s="67">
        <v>41</v>
      </c>
      <c r="BY17" s="117">
        <v>11</v>
      </c>
      <c r="BZ17" s="127">
        <v>111</v>
      </c>
      <c r="CA17" s="141"/>
      <c r="CB17" s="170"/>
      <c r="CC17" s="190">
        <v>26</v>
      </c>
      <c r="CD17" s="58">
        <v>107</v>
      </c>
      <c r="CE17" s="117">
        <v>46</v>
      </c>
      <c r="CF17" s="127">
        <v>218</v>
      </c>
      <c r="CG17" s="152"/>
      <c r="CH17" s="170"/>
      <c r="CI17" s="28">
        <f t="shared" si="2"/>
        <v>137</v>
      </c>
      <c r="CJ17" s="45">
        <f t="shared" si="2"/>
        <v>560</v>
      </c>
      <c r="CK17" s="64"/>
      <c r="CL17" s="60"/>
      <c r="CM17" s="66">
        <f t="shared" si="3"/>
        <v>103</v>
      </c>
      <c r="CN17" s="60"/>
      <c r="CO17" s="117"/>
      <c r="CP17" s="170"/>
      <c r="CQ17" s="138"/>
      <c r="CR17" s="167"/>
      <c r="CS17" s="187">
        <v>96</v>
      </c>
      <c r="CT17" s="67">
        <v>218</v>
      </c>
    </row>
    <row r="18" spans="1:98" ht="15.75" thickBot="1" x14ac:dyDescent="0.3">
      <c r="A18" s="48">
        <v>45944</v>
      </c>
      <c r="B18" s="234" t="s">
        <v>15</v>
      </c>
      <c r="C18" s="236">
        <v>67</v>
      </c>
      <c r="D18" s="237">
        <v>135</v>
      </c>
      <c r="E18" s="120"/>
      <c r="F18" s="167"/>
      <c r="G18" s="138"/>
      <c r="H18" s="148"/>
      <c r="I18" s="236">
        <v>46</v>
      </c>
      <c r="J18" s="237">
        <v>241</v>
      </c>
      <c r="K18" s="120"/>
      <c r="L18" s="167"/>
      <c r="M18" s="162"/>
      <c r="N18" s="157"/>
      <c r="O18" s="236">
        <v>178</v>
      </c>
      <c r="P18" s="242"/>
      <c r="Q18" s="117"/>
      <c r="R18" s="170"/>
      <c r="S18" s="137">
        <v>1</v>
      </c>
      <c r="T18" s="174">
        <v>1</v>
      </c>
      <c r="U18" s="109">
        <f t="shared" si="0"/>
        <v>292</v>
      </c>
      <c r="V18" s="31">
        <f t="shared" si="0"/>
        <v>377</v>
      </c>
      <c r="W18" s="91"/>
      <c r="X18" s="6"/>
      <c r="Y18" s="34"/>
      <c r="Z18" s="35"/>
      <c r="AA18" s="120"/>
      <c r="AB18" s="167"/>
      <c r="AC18" s="138"/>
      <c r="AD18" s="148"/>
      <c r="AE18" s="89">
        <v>363</v>
      </c>
      <c r="AF18" s="35">
        <v>2283</v>
      </c>
      <c r="AG18" s="120"/>
      <c r="AH18" s="121"/>
      <c r="AI18" s="132"/>
      <c r="AJ18" s="167"/>
      <c r="AK18" s="89">
        <v>758</v>
      </c>
      <c r="AL18" s="36">
        <v>2318</v>
      </c>
      <c r="AM18" s="120"/>
      <c r="AN18" s="167"/>
      <c r="AO18" s="138"/>
      <c r="AP18" s="148"/>
      <c r="AQ18" s="108">
        <f t="shared" si="4"/>
        <v>1121</v>
      </c>
      <c r="AR18" s="38">
        <f t="shared" si="4"/>
        <v>4601</v>
      </c>
      <c r="AS18" s="91"/>
      <c r="AT18" s="6"/>
      <c r="AU18" s="37"/>
      <c r="AV18" s="92"/>
      <c r="AW18" s="117"/>
      <c r="AX18" s="170"/>
      <c r="AY18" s="162">
        <v>5</v>
      </c>
      <c r="AZ18" s="170">
        <v>8</v>
      </c>
      <c r="BA18" s="108">
        <v>435</v>
      </c>
      <c r="BB18" s="92">
        <v>4456</v>
      </c>
      <c r="BC18" s="117">
        <v>33</v>
      </c>
      <c r="BD18" s="141">
        <v>191</v>
      </c>
      <c r="BE18" s="179"/>
      <c r="BF18" s="170"/>
      <c r="BG18" s="108"/>
      <c r="BH18" s="93"/>
      <c r="BI18" s="117"/>
      <c r="BJ18" s="170"/>
      <c r="BK18" s="162">
        <v>1</v>
      </c>
      <c r="BL18" s="170">
        <v>6</v>
      </c>
      <c r="BM18" s="28">
        <f t="shared" si="1"/>
        <v>474</v>
      </c>
      <c r="BN18" s="44">
        <f t="shared" si="1"/>
        <v>4661</v>
      </c>
      <c r="BO18" s="91"/>
      <c r="BP18" s="6"/>
      <c r="BQ18" s="94">
        <v>47</v>
      </c>
      <c r="BR18" s="95">
        <v>83</v>
      </c>
      <c r="BS18" s="117"/>
      <c r="BT18" s="127"/>
      <c r="BU18" s="140"/>
      <c r="BV18" s="167"/>
      <c r="BW18" s="189">
        <v>18</v>
      </c>
      <c r="BX18" s="96">
        <v>152</v>
      </c>
      <c r="BY18" s="117"/>
      <c r="BZ18" s="127"/>
      <c r="CA18" s="141"/>
      <c r="CB18" s="170"/>
      <c r="CC18" s="191">
        <v>72</v>
      </c>
      <c r="CD18" s="97">
        <v>325</v>
      </c>
      <c r="CE18" s="117"/>
      <c r="CF18" s="127"/>
      <c r="CG18" s="152"/>
      <c r="CH18" s="170"/>
      <c r="CI18" s="28">
        <f t="shared" si="2"/>
        <v>137</v>
      </c>
      <c r="CJ18" s="45">
        <f t="shared" si="2"/>
        <v>560</v>
      </c>
      <c r="CK18" s="91"/>
      <c r="CL18" s="60"/>
      <c r="CM18" s="98">
        <f t="shared" si="3"/>
        <v>114</v>
      </c>
      <c r="CN18" s="60"/>
      <c r="CO18" s="117">
        <v>60</v>
      </c>
      <c r="CP18" s="170">
        <v>171</v>
      </c>
      <c r="CQ18" s="138">
        <v>2</v>
      </c>
      <c r="CR18" s="167">
        <v>29</v>
      </c>
      <c r="CS18" s="189">
        <v>146</v>
      </c>
      <c r="CT18" s="96">
        <v>375</v>
      </c>
    </row>
    <row r="19" spans="1:98" ht="15.75" thickBot="1" x14ac:dyDescent="0.3">
      <c r="A19" s="48">
        <v>45945</v>
      </c>
      <c r="B19" s="234" t="s">
        <v>16</v>
      </c>
      <c r="C19" s="236"/>
      <c r="D19" s="237"/>
      <c r="E19" s="120"/>
      <c r="F19" s="167"/>
      <c r="G19" s="138"/>
      <c r="H19" s="148"/>
      <c r="I19" s="236"/>
      <c r="J19" s="237"/>
      <c r="K19" s="120"/>
      <c r="L19" s="167"/>
      <c r="M19" s="162"/>
      <c r="N19" s="157"/>
      <c r="O19" s="236"/>
      <c r="P19" s="242"/>
      <c r="Q19" s="117"/>
      <c r="R19" s="170"/>
      <c r="S19" s="137">
        <v>2</v>
      </c>
      <c r="T19" s="174">
        <v>2</v>
      </c>
      <c r="U19" s="109">
        <f t="shared" si="0"/>
        <v>2</v>
      </c>
      <c r="V19" s="31">
        <f t="shared" si="0"/>
        <v>2</v>
      </c>
      <c r="W19" s="64"/>
      <c r="X19" s="6"/>
      <c r="Y19" s="54"/>
      <c r="Z19" s="51"/>
      <c r="AA19" s="120"/>
      <c r="AB19" s="167"/>
      <c r="AC19" s="138"/>
      <c r="AD19" s="148"/>
      <c r="AE19" s="89">
        <v>363</v>
      </c>
      <c r="AF19" s="35">
        <v>2283</v>
      </c>
      <c r="AG19" s="120"/>
      <c r="AH19" s="121"/>
      <c r="AI19" s="132"/>
      <c r="AJ19" s="167"/>
      <c r="AK19" s="50">
        <v>708</v>
      </c>
      <c r="AL19" s="65">
        <v>2205</v>
      </c>
      <c r="AM19" s="120"/>
      <c r="AN19" s="167"/>
      <c r="AO19" s="138"/>
      <c r="AP19" s="148"/>
      <c r="AQ19" s="108">
        <f t="shared" si="4"/>
        <v>1071</v>
      </c>
      <c r="AR19" s="38">
        <f t="shared" si="4"/>
        <v>4488</v>
      </c>
      <c r="AS19" s="64"/>
      <c r="AT19" s="6"/>
      <c r="AU19" s="40"/>
      <c r="AV19" s="41"/>
      <c r="AW19" s="117"/>
      <c r="AX19" s="170"/>
      <c r="AY19" s="162">
        <v>1</v>
      </c>
      <c r="AZ19" s="170">
        <v>16</v>
      </c>
      <c r="BA19" s="124">
        <v>468</v>
      </c>
      <c r="BB19" s="41">
        <v>4647</v>
      </c>
      <c r="BC19" s="117"/>
      <c r="BD19" s="141"/>
      <c r="BE19" s="179"/>
      <c r="BF19" s="170"/>
      <c r="BG19" s="124"/>
      <c r="BH19" s="42"/>
      <c r="BI19" s="117"/>
      <c r="BJ19" s="170"/>
      <c r="BK19" s="162">
        <v>1</v>
      </c>
      <c r="BL19" s="170">
        <v>2</v>
      </c>
      <c r="BM19" s="28">
        <f t="shared" si="1"/>
        <v>470</v>
      </c>
      <c r="BN19" s="44">
        <f t="shared" si="1"/>
        <v>4665</v>
      </c>
      <c r="BO19" s="64"/>
      <c r="BP19" s="6"/>
      <c r="BQ19" s="56">
        <v>47</v>
      </c>
      <c r="BR19" s="57">
        <v>83</v>
      </c>
      <c r="BS19" s="117"/>
      <c r="BT19" s="127"/>
      <c r="BU19" s="140"/>
      <c r="BV19" s="167"/>
      <c r="BW19" s="187">
        <v>18</v>
      </c>
      <c r="BX19" s="67">
        <v>152</v>
      </c>
      <c r="BY19" s="117"/>
      <c r="BZ19" s="127"/>
      <c r="CA19" s="141"/>
      <c r="CB19" s="170"/>
      <c r="CC19" s="190">
        <v>72</v>
      </c>
      <c r="CD19" s="58">
        <v>325</v>
      </c>
      <c r="CE19" s="117"/>
      <c r="CF19" s="127"/>
      <c r="CG19" s="152"/>
      <c r="CH19" s="170"/>
      <c r="CI19" s="28">
        <f t="shared" si="2"/>
        <v>137</v>
      </c>
      <c r="CJ19" s="45">
        <f t="shared" si="2"/>
        <v>560</v>
      </c>
      <c r="CK19" s="64"/>
      <c r="CL19" s="60"/>
      <c r="CM19" s="66">
        <f t="shared" si="3"/>
        <v>47</v>
      </c>
      <c r="CN19" s="60"/>
      <c r="CO19" s="117"/>
      <c r="CP19" s="170"/>
      <c r="CQ19" s="138"/>
      <c r="CR19" s="167"/>
      <c r="CS19" s="187">
        <v>133</v>
      </c>
      <c r="CT19" s="67">
        <v>339</v>
      </c>
    </row>
    <row r="20" spans="1:98" s="306" customFormat="1" ht="15.75" thickBot="1" x14ac:dyDescent="0.3">
      <c r="A20" s="290">
        <v>45946</v>
      </c>
      <c r="B20" s="291" t="s">
        <v>17</v>
      </c>
      <c r="C20" s="99">
        <v>67</v>
      </c>
      <c r="D20" s="74">
        <v>135</v>
      </c>
      <c r="E20" s="74"/>
      <c r="F20" s="292"/>
      <c r="G20" s="99"/>
      <c r="H20" s="293"/>
      <c r="I20" s="99">
        <v>46</v>
      </c>
      <c r="J20" s="74">
        <v>241</v>
      </c>
      <c r="K20" s="74"/>
      <c r="L20" s="292"/>
      <c r="M20" s="125"/>
      <c r="N20" s="294"/>
      <c r="O20" s="99">
        <v>157</v>
      </c>
      <c r="P20" s="78">
        <v>280</v>
      </c>
      <c r="Q20" s="77"/>
      <c r="R20" s="302"/>
      <c r="S20" s="307">
        <v>2</v>
      </c>
      <c r="T20" s="308">
        <v>4</v>
      </c>
      <c r="U20" s="211">
        <f t="shared" si="0"/>
        <v>272</v>
      </c>
      <c r="V20" s="212">
        <f t="shared" si="0"/>
        <v>660</v>
      </c>
      <c r="W20" s="79"/>
      <c r="X20" s="300"/>
      <c r="Y20" s="73">
        <v>646</v>
      </c>
      <c r="Z20" s="74">
        <v>1215</v>
      </c>
      <c r="AA20" s="74"/>
      <c r="AB20" s="292"/>
      <c r="AC20" s="99"/>
      <c r="AD20" s="293"/>
      <c r="AE20" s="99">
        <v>363</v>
      </c>
      <c r="AF20" s="74">
        <v>2283</v>
      </c>
      <c r="AG20" s="74"/>
      <c r="AH20" s="75"/>
      <c r="AI20" s="301"/>
      <c r="AJ20" s="292"/>
      <c r="AK20" s="99">
        <v>699</v>
      </c>
      <c r="AL20" s="75">
        <v>2028</v>
      </c>
      <c r="AM20" s="74"/>
      <c r="AN20" s="292"/>
      <c r="AO20" s="99"/>
      <c r="AP20" s="293"/>
      <c r="AQ20" s="125">
        <f t="shared" si="4"/>
        <v>1708</v>
      </c>
      <c r="AR20" s="210">
        <f t="shared" si="4"/>
        <v>5526</v>
      </c>
      <c r="AS20" s="79"/>
      <c r="AT20" s="300"/>
      <c r="AU20" s="76">
        <v>0</v>
      </c>
      <c r="AV20" s="77">
        <v>0</v>
      </c>
      <c r="AW20" s="77"/>
      <c r="AX20" s="302"/>
      <c r="AY20" s="125">
        <v>0</v>
      </c>
      <c r="AZ20" s="302">
        <v>0</v>
      </c>
      <c r="BA20" s="125">
        <v>451</v>
      </c>
      <c r="BB20" s="77">
        <v>4469</v>
      </c>
      <c r="BC20" s="77"/>
      <c r="BD20" s="78"/>
      <c r="BE20" s="303"/>
      <c r="BF20" s="302"/>
      <c r="BG20" s="125">
        <v>0</v>
      </c>
      <c r="BH20" s="78">
        <v>0</v>
      </c>
      <c r="BI20" s="77"/>
      <c r="BJ20" s="302"/>
      <c r="BK20" s="125"/>
      <c r="BL20" s="302"/>
      <c r="BM20" s="69">
        <f t="shared" si="1"/>
        <v>451</v>
      </c>
      <c r="BN20" s="209">
        <f t="shared" si="1"/>
        <v>4469</v>
      </c>
      <c r="BO20" s="79"/>
      <c r="BP20" s="300"/>
      <c r="BQ20" s="80">
        <v>47</v>
      </c>
      <c r="BR20" s="81">
        <v>83</v>
      </c>
      <c r="BS20" s="77"/>
      <c r="BT20" s="210"/>
      <c r="BU20" s="100"/>
      <c r="BV20" s="292"/>
      <c r="BW20" s="188">
        <v>18</v>
      </c>
      <c r="BX20" s="101">
        <v>152</v>
      </c>
      <c r="BY20" s="77"/>
      <c r="BZ20" s="210"/>
      <c r="CA20" s="78"/>
      <c r="CB20" s="302"/>
      <c r="CC20" s="192">
        <v>72</v>
      </c>
      <c r="CD20" s="82">
        <v>325</v>
      </c>
      <c r="CE20" s="77"/>
      <c r="CF20" s="210"/>
      <c r="CG20" s="76"/>
      <c r="CH20" s="302"/>
      <c r="CI20" s="69">
        <f t="shared" si="2"/>
        <v>137</v>
      </c>
      <c r="CJ20" s="213">
        <f t="shared" si="2"/>
        <v>560</v>
      </c>
      <c r="CK20" s="79"/>
      <c r="CL20" s="304"/>
      <c r="CM20" s="305">
        <f t="shared" si="3"/>
        <v>760</v>
      </c>
      <c r="CN20" s="304"/>
      <c r="CO20" s="77"/>
      <c r="CP20" s="302"/>
      <c r="CQ20" s="99"/>
      <c r="CR20" s="292"/>
      <c r="CS20" s="188">
        <v>133</v>
      </c>
      <c r="CT20" s="101">
        <v>339</v>
      </c>
    </row>
    <row r="21" spans="1:98" ht="15.75" thickBot="1" x14ac:dyDescent="0.3">
      <c r="A21" s="48">
        <v>45947</v>
      </c>
      <c r="B21" s="234" t="s">
        <v>18</v>
      </c>
      <c r="C21" s="236">
        <v>46</v>
      </c>
      <c r="D21" s="237">
        <v>96</v>
      </c>
      <c r="E21" s="120"/>
      <c r="F21" s="167"/>
      <c r="G21" s="138"/>
      <c r="H21" s="148"/>
      <c r="I21" s="236">
        <v>36</v>
      </c>
      <c r="J21" s="237">
        <v>145</v>
      </c>
      <c r="K21" s="120"/>
      <c r="L21" s="167"/>
      <c r="M21" s="162"/>
      <c r="N21" s="157"/>
      <c r="O21" s="236"/>
      <c r="P21" s="242"/>
      <c r="Q21" s="117"/>
      <c r="R21" s="170"/>
      <c r="S21" s="137"/>
      <c r="T21" s="174"/>
      <c r="U21" s="109">
        <f t="shared" si="0"/>
        <v>82</v>
      </c>
      <c r="V21" s="31">
        <f t="shared" si="0"/>
        <v>241</v>
      </c>
      <c r="W21" s="64"/>
      <c r="X21" s="6"/>
      <c r="Y21" s="54"/>
      <c r="Z21" s="51"/>
      <c r="AA21" s="120"/>
      <c r="AB21" s="167"/>
      <c r="AC21" s="138"/>
      <c r="AD21" s="148"/>
      <c r="AE21" s="50">
        <v>363</v>
      </c>
      <c r="AF21" s="51">
        <v>2283</v>
      </c>
      <c r="AG21" s="120"/>
      <c r="AH21" s="121"/>
      <c r="AI21" s="132"/>
      <c r="AJ21" s="167"/>
      <c r="AK21" s="50">
        <v>646</v>
      </c>
      <c r="AL21" s="65">
        <v>1853</v>
      </c>
      <c r="AM21" s="120"/>
      <c r="AN21" s="167"/>
      <c r="AO21" s="138">
        <v>8</v>
      </c>
      <c r="AP21" s="148">
        <v>25</v>
      </c>
      <c r="AQ21" s="108">
        <f t="shared" si="4"/>
        <v>1017</v>
      </c>
      <c r="AR21" s="38">
        <f t="shared" si="4"/>
        <v>4161</v>
      </c>
      <c r="AS21" s="64"/>
      <c r="AT21" s="6"/>
      <c r="AU21" s="40">
        <v>0</v>
      </c>
      <c r="AV21" s="41">
        <v>0</v>
      </c>
      <c r="AW21" s="117"/>
      <c r="AX21" s="170"/>
      <c r="AY21" s="162"/>
      <c r="AZ21" s="170"/>
      <c r="BA21" s="124">
        <v>379</v>
      </c>
      <c r="BB21" s="41">
        <v>3872</v>
      </c>
      <c r="BC21" s="117"/>
      <c r="BD21" s="141"/>
      <c r="BE21" s="179"/>
      <c r="BF21" s="170"/>
      <c r="BG21" s="124">
        <v>0</v>
      </c>
      <c r="BH21" s="42">
        <v>0</v>
      </c>
      <c r="BI21" s="117"/>
      <c r="BJ21" s="170"/>
      <c r="BK21" s="162"/>
      <c r="BL21" s="170"/>
      <c r="BM21" s="28">
        <f t="shared" si="1"/>
        <v>379</v>
      </c>
      <c r="BN21" s="44">
        <f t="shared" si="1"/>
        <v>3872</v>
      </c>
      <c r="BO21" s="64"/>
      <c r="BP21" s="6"/>
      <c r="BQ21" s="56">
        <v>47</v>
      </c>
      <c r="BR21" s="57">
        <v>83</v>
      </c>
      <c r="BS21" s="117"/>
      <c r="BT21" s="127"/>
      <c r="BU21" s="140"/>
      <c r="BV21" s="167"/>
      <c r="BW21" s="187">
        <v>18</v>
      </c>
      <c r="BX21" s="67">
        <v>152</v>
      </c>
      <c r="BY21" s="117"/>
      <c r="BZ21" s="127"/>
      <c r="CA21" s="141"/>
      <c r="CB21" s="170"/>
      <c r="CC21" s="190">
        <v>58</v>
      </c>
      <c r="CD21" s="58">
        <v>246</v>
      </c>
      <c r="CE21" s="117"/>
      <c r="CF21" s="127"/>
      <c r="CG21" s="152"/>
      <c r="CH21" s="170"/>
      <c r="CI21" s="28">
        <f t="shared" si="2"/>
        <v>123</v>
      </c>
      <c r="CJ21" s="45">
        <f t="shared" si="2"/>
        <v>481</v>
      </c>
      <c r="CK21" s="64"/>
      <c r="CL21" s="60"/>
      <c r="CM21" s="66">
        <f t="shared" si="3"/>
        <v>93</v>
      </c>
      <c r="CN21" s="60"/>
      <c r="CO21" s="117"/>
      <c r="CP21" s="170"/>
      <c r="CQ21" s="138"/>
      <c r="CR21" s="167"/>
      <c r="CS21" s="187">
        <v>107</v>
      </c>
      <c r="CT21" s="57">
        <v>256</v>
      </c>
    </row>
    <row r="22" spans="1:98" ht="15.75" thickBot="1" x14ac:dyDescent="0.3">
      <c r="A22" s="48">
        <v>45948</v>
      </c>
      <c r="B22" s="234" t="s">
        <v>19</v>
      </c>
      <c r="C22" s="236"/>
      <c r="D22" s="237"/>
      <c r="E22" s="120"/>
      <c r="F22" s="167"/>
      <c r="G22" s="138"/>
      <c r="H22" s="148"/>
      <c r="I22" s="236"/>
      <c r="J22" s="237"/>
      <c r="K22" s="120"/>
      <c r="L22" s="167"/>
      <c r="M22" s="162"/>
      <c r="N22" s="157"/>
      <c r="O22" s="236"/>
      <c r="P22" s="242"/>
      <c r="Q22" s="117"/>
      <c r="R22" s="170"/>
      <c r="S22" s="137"/>
      <c r="T22" s="174"/>
      <c r="U22" s="109">
        <f t="shared" si="0"/>
        <v>0</v>
      </c>
      <c r="V22" s="31">
        <f t="shared" si="0"/>
        <v>0</v>
      </c>
      <c r="W22" s="64"/>
      <c r="X22" s="6"/>
      <c r="Y22" s="54"/>
      <c r="Z22" s="51"/>
      <c r="AA22" s="120"/>
      <c r="AB22" s="167"/>
      <c r="AC22" s="138"/>
      <c r="AD22" s="148"/>
      <c r="AE22" s="50">
        <v>327</v>
      </c>
      <c r="AF22" s="51">
        <v>2075</v>
      </c>
      <c r="AG22" s="120"/>
      <c r="AH22" s="121"/>
      <c r="AI22" s="132"/>
      <c r="AJ22" s="167"/>
      <c r="AK22" s="50">
        <v>624</v>
      </c>
      <c r="AL22" s="65">
        <v>1808</v>
      </c>
      <c r="AM22" s="120"/>
      <c r="AN22" s="167"/>
      <c r="AO22" s="138"/>
      <c r="AP22" s="148"/>
      <c r="AQ22" s="108">
        <f t="shared" si="4"/>
        <v>951</v>
      </c>
      <c r="AR22" s="38">
        <f t="shared" si="4"/>
        <v>3883</v>
      </c>
      <c r="AS22" s="64"/>
      <c r="AT22" s="6"/>
      <c r="AU22" s="40"/>
      <c r="AV22" s="41"/>
      <c r="AW22" s="117"/>
      <c r="AX22" s="170"/>
      <c r="AY22" s="162"/>
      <c r="AZ22" s="170"/>
      <c r="BA22" s="124"/>
      <c r="BB22" s="41"/>
      <c r="BC22" s="117"/>
      <c r="BD22" s="141"/>
      <c r="BE22" s="179"/>
      <c r="BF22" s="170"/>
      <c r="BG22" s="124"/>
      <c r="BH22" s="42"/>
      <c r="BI22" s="117"/>
      <c r="BJ22" s="170"/>
      <c r="BK22" s="162"/>
      <c r="BL22" s="170"/>
      <c r="BM22" s="28">
        <f t="shared" si="1"/>
        <v>0</v>
      </c>
      <c r="BN22" s="44">
        <f t="shared" si="1"/>
        <v>0</v>
      </c>
      <c r="BO22" s="64"/>
      <c r="BP22" s="6"/>
      <c r="BQ22" s="56">
        <v>28</v>
      </c>
      <c r="BR22" s="57">
        <v>48</v>
      </c>
      <c r="BS22" s="117"/>
      <c r="BT22" s="127"/>
      <c r="BU22" s="140"/>
      <c r="BV22" s="167"/>
      <c r="BW22" s="187">
        <v>11</v>
      </c>
      <c r="BX22" s="67">
        <v>111</v>
      </c>
      <c r="BY22" s="117"/>
      <c r="BZ22" s="127"/>
      <c r="CA22" s="141"/>
      <c r="CB22" s="170"/>
      <c r="CC22" s="190">
        <v>46</v>
      </c>
      <c r="CD22" s="58">
        <v>218</v>
      </c>
      <c r="CE22" s="117"/>
      <c r="CF22" s="127"/>
      <c r="CG22" s="152"/>
      <c r="CH22" s="170"/>
      <c r="CI22" s="28">
        <f t="shared" si="2"/>
        <v>85</v>
      </c>
      <c r="CJ22" s="45">
        <f t="shared" si="2"/>
        <v>377</v>
      </c>
      <c r="CK22" s="64"/>
      <c r="CL22" s="60"/>
      <c r="CM22" s="66">
        <f t="shared" si="3"/>
        <v>28</v>
      </c>
      <c r="CN22" s="60"/>
      <c r="CO22" s="117"/>
      <c r="CP22" s="170"/>
      <c r="CQ22" s="138"/>
      <c r="CR22" s="167"/>
      <c r="CS22" s="187">
        <v>81</v>
      </c>
      <c r="CT22" s="57">
        <v>213</v>
      </c>
    </row>
    <row r="23" spans="1:98" s="283" customFormat="1" ht="15.75" thickBot="1" x14ac:dyDescent="0.3">
      <c r="A23" s="244">
        <v>45949</v>
      </c>
      <c r="B23" s="245" t="s">
        <v>20</v>
      </c>
      <c r="C23" s="246"/>
      <c r="D23" s="247"/>
      <c r="E23" s="247"/>
      <c r="F23" s="248"/>
      <c r="G23" s="246"/>
      <c r="H23" s="249"/>
      <c r="I23" s="246"/>
      <c r="J23" s="247"/>
      <c r="K23" s="247"/>
      <c r="L23" s="248"/>
      <c r="M23" s="264"/>
      <c r="N23" s="284"/>
      <c r="O23" s="246"/>
      <c r="P23" s="269"/>
      <c r="Q23" s="267"/>
      <c r="R23" s="268"/>
      <c r="S23" s="285"/>
      <c r="T23" s="286"/>
      <c r="U23" s="257">
        <f t="shared" si="0"/>
        <v>0</v>
      </c>
      <c r="V23" s="258">
        <f t="shared" si="0"/>
        <v>0</v>
      </c>
      <c r="W23" s="259"/>
      <c r="X23" s="260"/>
      <c r="Y23" s="261"/>
      <c r="Z23" s="247"/>
      <c r="AA23" s="247"/>
      <c r="AB23" s="248"/>
      <c r="AC23" s="246"/>
      <c r="AD23" s="249"/>
      <c r="AE23" s="246"/>
      <c r="AF23" s="247"/>
      <c r="AG23" s="247"/>
      <c r="AH23" s="262"/>
      <c r="AI23" s="263"/>
      <c r="AJ23" s="248"/>
      <c r="AK23" s="246"/>
      <c r="AL23" s="262"/>
      <c r="AM23" s="247"/>
      <c r="AN23" s="248"/>
      <c r="AO23" s="246"/>
      <c r="AP23" s="249"/>
      <c r="AQ23" s="264">
        <f t="shared" si="4"/>
        <v>0</v>
      </c>
      <c r="AR23" s="265">
        <f t="shared" si="4"/>
        <v>0</v>
      </c>
      <c r="AS23" s="259"/>
      <c r="AT23" s="260"/>
      <c r="AU23" s="266"/>
      <c r="AV23" s="267"/>
      <c r="AW23" s="267"/>
      <c r="AX23" s="268"/>
      <c r="AY23" s="264"/>
      <c r="AZ23" s="268"/>
      <c r="BA23" s="264">
        <v>354</v>
      </c>
      <c r="BB23" s="267">
        <v>3471</v>
      </c>
      <c r="BC23" s="267"/>
      <c r="BD23" s="269"/>
      <c r="BE23" s="270"/>
      <c r="BF23" s="268"/>
      <c r="BG23" s="264"/>
      <c r="BH23" s="269"/>
      <c r="BI23" s="267"/>
      <c r="BJ23" s="268"/>
      <c r="BK23" s="264"/>
      <c r="BL23" s="268"/>
      <c r="BM23" s="271">
        <f t="shared" si="1"/>
        <v>354</v>
      </c>
      <c r="BN23" s="272">
        <f t="shared" si="1"/>
        <v>3471</v>
      </c>
      <c r="BO23" s="273"/>
      <c r="BP23" s="260"/>
      <c r="BQ23" s="274">
        <v>28</v>
      </c>
      <c r="BR23" s="275">
        <v>48</v>
      </c>
      <c r="BS23" s="267"/>
      <c r="BT23" s="265"/>
      <c r="BU23" s="276"/>
      <c r="BV23" s="248"/>
      <c r="BW23" s="277">
        <v>11</v>
      </c>
      <c r="BX23" s="287">
        <v>111</v>
      </c>
      <c r="BY23" s="267"/>
      <c r="BZ23" s="265"/>
      <c r="CA23" s="269"/>
      <c r="CB23" s="268"/>
      <c r="CC23" s="288">
        <v>46</v>
      </c>
      <c r="CD23" s="278">
        <v>218</v>
      </c>
      <c r="CE23" s="267"/>
      <c r="CF23" s="265"/>
      <c r="CG23" s="266"/>
      <c r="CH23" s="268"/>
      <c r="CI23" s="271">
        <f t="shared" si="2"/>
        <v>85</v>
      </c>
      <c r="CJ23" s="279">
        <f t="shared" si="2"/>
        <v>377</v>
      </c>
      <c r="CK23" s="280"/>
      <c r="CL23" s="281"/>
      <c r="CM23" s="282">
        <f t="shared" si="3"/>
        <v>28</v>
      </c>
      <c r="CN23" s="281"/>
      <c r="CO23" s="267"/>
      <c r="CP23" s="268"/>
      <c r="CQ23" s="246"/>
      <c r="CR23" s="248"/>
      <c r="CS23" s="277">
        <v>60</v>
      </c>
      <c r="CT23" s="275">
        <v>171</v>
      </c>
    </row>
    <row r="24" spans="1:98" ht="15.75" thickBot="1" x14ac:dyDescent="0.3">
      <c r="A24" s="48">
        <v>45950</v>
      </c>
      <c r="B24" s="234" t="s">
        <v>14</v>
      </c>
      <c r="C24" s="236">
        <v>63</v>
      </c>
      <c r="D24" s="237">
        <v>135</v>
      </c>
      <c r="E24" s="120"/>
      <c r="F24" s="167"/>
      <c r="G24" s="138"/>
      <c r="H24" s="148"/>
      <c r="I24" s="236"/>
      <c r="J24" s="237"/>
      <c r="K24" s="120"/>
      <c r="L24" s="167"/>
      <c r="M24" s="162"/>
      <c r="N24" s="157"/>
      <c r="O24" s="236">
        <v>140</v>
      </c>
      <c r="P24" s="242"/>
      <c r="Q24" s="117">
        <v>2</v>
      </c>
      <c r="R24" s="170">
        <v>4</v>
      </c>
      <c r="S24" s="137">
        <v>1</v>
      </c>
      <c r="T24" s="174">
        <v>1</v>
      </c>
      <c r="U24" s="109">
        <f t="shared" si="0"/>
        <v>206</v>
      </c>
      <c r="V24" s="31">
        <f t="shared" si="0"/>
        <v>140</v>
      </c>
      <c r="W24" s="64"/>
      <c r="X24" s="6"/>
      <c r="Y24" s="54"/>
      <c r="Z24" s="51"/>
      <c r="AA24" s="120">
        <v>149</v>
      </c>
      <c r="AB24" s="167">
        <v>311</v>
      </c>
      <c r="AC24" s="138"/>
      <c r="AD24" s="148"/>
      <c r="AE24" s="50">
        <v>362</v>
      </c>
      <c r="AF24" s="51">
        <v>2328</v>
      </c>
      <c r="AG24" s="120">
        <v>75</v>
      </c>
      <c r="AH24" s="121">
        <v>374</v>
      </c>
      <c r="AI24" s="132"/>
      <c r="AJ24" s="167"/>
      <c r="AK24" s="50">
        <v>721</v>
      </c>
      <c r="AL24" s="65">
        <v>2174</v>
      </c>
      <c r="AM24" s="120">
        <v>97</v>
      </c>
      <c r="AN24" s="167">
        <v>366</v>
      </c>
      <c r="AO24" s="138">
        <v>12</v>
      </c>
      <c r="AP24" s="148">
        <v>48</v>
      </c>
      <c r="AQ24" s="108">
        <f t="shared" si="4"/>
        <v>1416</v>
      </c>
      <c r="AR24" s="38">
        <f t="shared" si="4"/>
        <v>5601</v>
      </c>
      <c r="AS24" s="64"/>
      <c r="AT24" s="6"/>
      <c r="AU24" s="40"/>
      <c r="AV24" s="41"/>
      <c r="AW24" s="117"/>
      <c r="AX24" s="170"/>
      <c r="AY24" s="162"/>
      <c r="AZ24" s="170"/>
      <c r="BA24" s="124"/>
      <c r="BB24" s="41"/>
      <c r="BC24" s="117"/>
      <c r="BD24" s="141"/>
      <c r="BE24" s="179"/>
      <c r="BF24" s="170"/>
      <c r="BG24" s="124"/>
      <c r="BH24" s="42"/>
      <c r="BI24" s="117"/>
      <c r="BJ24" s="170"/>
      <c r="BK24" s="162"/>
      <c r="BL24" s="170"/>
      <c r="BM24" s="28">
        <f t="shared" si="1"/>
        <v>0</v>
      </c>
      <c r="BN24" s="44">
        <f t="shared" si="1"/>
        <v>0</v>
      </c>
      <c r="BO24" s="64"/>
      <c r="BP24" s="6"/>
      <c r="BQ24" s="56">
        <v>28</v>
      </c>
      <c r="BR24" s="57">
        <v>48</v>
      </c>
      <c r="BS24" s="117">
        <v>17</v>
      </c>
      <c r="BT24" s="127">
        <v>27</v>
      </c>
      <c r="BU24" s="140">
        <v>1</v>
      </c>
      <c r="BV24" s="167">
        <v>2</v>
      </c>
      <c r="BW24" s="187">
        <v>11</v>
      </c>
      <c r="BX24" s="67">
        <v>111</v>
      </c>
      <c r="BY24" s="117"/>
      <c r="BZ24" s="127"/>
      <c r="CA24" s="141"/>
      <c r="CB24" s="170"/>
      <c r="CC24" s="190">
        <v>46</v>
      </c>
      <c r="CD24" s="58">
        <v>218</v>
      </c>
      <c r="CE24" s="117"/>
      <c r="CF24" s="127"/>
      <c r="CG24" s="152"/>
      <c r="CH24" s="170"/>
      <c r="CI24" s="28">
        <f t="shared" si="2"/>
        <v>103</v>
      </c>
      <c r="CJ24" s="45">
        <f t="shared" si="2"/>
        <v>406</v>
      </c>
      <c r="CK24" s="64"/>
      <c r="CL24" s="60"/>
      <c r="CM24" s="66">
        <f t="shared" si="3"/>
        <v>91</v>
      </c>
      <c r="CN24" s="60"/>
      <c r="CO24" s="117">
        <v>26</v>
      </c>
      <c r="CP24" s="170">
        <v>93</v>
      </c>
      <c r="CQ24" s="138"/>
      <c r="CR24" s="167"/>
      <c r="CS24" s="187">
        <v>86</v>
      </c>
      <c r="CT24" s="67">
        <v>264</v>
      </c>
    </row>
    <row r="25" spans="1:98" ht="15.75" thickBot="1" x14ac:dyDescent="0.3">
      <c r="A25" s="48">
        <v>45951</v>
      </c>
      <c r="B25" s="234" t="s">
        <v>15</v>
      </c>
      <c r="C25" s="236">
        <v>82</v>
      </c>
      <c r="D25" s="237">
        <v>174</v>
      </c>
      <c r="E25" s="120">
        <v>19</v>
      </c>
      <c r="F25" s="167">
        <v>39</v>
      </c>
      <c r="G25" s="138"/>
      <c r="H25" s="148"/>
      <c r="I25" s="236">
        <v>51</v>
      </c>
      <c r="J25" s="237">
        <v>236</v>
      </c>
      <c r="K25" s="120">
        <v>15</v>
      </c>
      <c r="L25" s="167">
        <v>91</v>
      </c>
      <c r="M25" s="162"/>
      <c r="N25" s="157"/>
      <c r="O25" s="243">
        <v>148</v>
      </c>
      <c r="P25" s="242"/>
      <c r="Q25" s="117"/>
      <c r="R25" s="170"/>
      <c r="S25" s="137"/>
      <c r="T25" s="174"/>
      <c r="U25" s="109">
        <f t="shared" si="0"/>
        <v>315</v>
      </c>
      <c r="V25" s="31">
        <f t="shared" si="0"/>
        <v>540</v>
      </c>
      <c r="W25" s="91"/>
      <c r="X25" s="6"/>
      <c r="Y25" s="34">
        <v>570</v>
      </c>
      <c r="Z25" s="35">
        <v>1098</v>
      </c>
      <c r="AA25" s="120"/>
      <c r="AB25" s="167"/>
      <c r="AC25" s="138"/>
      <c r="AD25" s="148"/>
      <c r="AE25" s="89">
        <v>346</v>
      </c>
      <c r="AF25" s="35">
        <v>2243</v>
      </c>
      <c r="AG25" s="120"/>
      <c r="AH25" s="121"/>
      <c r="AI25" s="132"/>
      <c r="AJ25" s="167"/>
      <c r="AK25" s="89">
        <v>660</v>
      </c>
      <c r="AL25" s="36">
        <v>2004</v>
      </c>
      <c r="AM25" s="120"/>
      <c r="AN25" s="167"/>
      <c r="AO25" s="138"/>
      <c r="AP25" s="148"/>
      <c r="AQ25" s="108">
        <f t="shared" si="4"/>
        <v>1576</v>
      </c>
      <c r="AR25" s="38">
        <f t="shared" si="4"/>
        <v>5345</v>
      </c>
      <c r="AS25" s="91"/>
      <c r="AT25" s="6"/>
      <c r="AU25" s="40"/>
      <c r="AV25" s="41"/>
      <c r="AW25" s="117"/>
      <c r="AX25" s="170"/>
      <c r="AY25" s="162"/>
      <c r="AZ25" s="170"/>
      <c r="BA25" s="124">
        <v>354</v>
      </c>
      <c r="BB25" s="41">
        <v>3471</v>
      </c>
      <c r="BC25" s="117"/>
      <c r="BD25" s="141"/>
      <c r="BE25" s="179"/>
      <c r="BF25" s="170"/>
      <c r="BG25" s="124"/>
      <c r="BH25" s="42"/>
      <c r="BI25" s="117"/>
      <c r="BJ25" s="170"/>
      <c r="BK25" s="162"/>
      <c r="BL25" s="170"/>
      <c r="BM25" s="28">
        <f t="shared" si="1"/>
        <v>354</v>
      </c>
      <c r="BN25" s="44">
        <f t="shared" si="1"/>
        <v>3471</v>
      </c>
      <c r="BO25" s="91"/>
      <c r="BP25" s="6"/>
      <c r="BQ25" s="94">
        <v>45</v>
      </c>
      <c r="BR25" s="95">
        <v>78</v>
      </c>
      <c r="BS25" s="117"/>
      <c r="BT25" s="127"/>
      <c r="BU25" s="140"/>
      <c r="BV25" s="167"/>
      <c r="BW25" s="189">
        <v>11</v>
      </c>
      <c r="BX25" s="96">
        <v>111</v>
      </c>
      <c r="BY25" s="117"/>
      <c r="BZ25" s="127"/>
      <c r="CA25" s="141"/>
      <c r="CB25" s="170"/>
      <c r="CC25" s="191">
        <v>46</v>
      </c>
      <c r="CD25" s="97">
        <v>218</v>
      </c>
      <c r="CE25" s="117"/>
      <c r="CF25" s="127"/>
      <c r="CG25" s="152"/>
      <c r="CH25" s="170"/>
      <c r="CI25" s="28">
        <f t="shared" si="2"/>
        <v>102</v>
      </c>
      <c r="CJ25" s="45">
        <f t="shared" si="2"/>
        <v>407</v>
      </c>
      <c r="CK25" s="91"/>
      <c r="CL25" s="60"/>
      <c r="CM25" s="98">
        <f t="shared" si="3"/>
        <v>697</v>
      </c>
      <c r="CN25" s="60"/>
      <c r="CO25" s="117"/>
      <c r="CP25" s="170"/>
      <c r="CQ25" s="138"/>
      <c r="CR25" s="167"/>
      <c r="CS25" s="189">
        <v>82</v>
      </c>
      <c r="CT25" s="96">
        <v>256</v>
      </c>
    </row>
    <row r="26" spans="1:98" s="306" customFormat="1" ht="15.75" thickBot="1" x14ac:dyDescent="0.3">
      <c r="A26" s="290">
        <v>45952</v>
      </c>
      <c r="B26" s="291" t="s">
        <v>16</v>
      </c>
      <c r="C26" s="74">
        <v>82</v>
      </c>
      <c r="D26" s="292">
        <v>174</v>
      </c>
      <c r="E26" s="74"/>
      <c r="F26" s="292"/>
      <c r="G26" s="99"/>
      <c r="H26" s="293"/>
      <c r="I26" s="74">
        <v>51</v>
      </c>
      <c r="J26" s="292">
        <v>236</v>
      </c>
      <c r="K26" s="74"/>
      <c r="L26" s="292"/>
      <c r="M26" s="125"/>
      <c r="N26" s="294"/>
      <c r="O26" s="99">
        <v>145</v>
      </c>
      <c r="P26" s="78">
        <v>256</v>
      </c>
      <c r="Q26" s="77"/>
      <c r="R26" s="302"/>
      <c r="S26" s="307"/>
      <c r="T26" s="308"/>
      <c r="U26" s="211">
        <f t="shared" si="0"/>
        <v>278</v>
      </c>
      <c r="V26" s="212">
        <f t="shared" si="0"/>
        <v>666</v>
      </c>
      <c r="W26" s="79"/>
      <c r="X26" s="300"/>
      <c r="Y26" s="73">
        <v>570</v>
      </c>
      <c r="Z26" s="74">
        <v>1098</v>
      </c>
      <c r="AA26" s="74"/>
      <c r="AB26" s="292"/>
      <c r="AC26" s="99"/>
      <c r="AD26" s="293"/>
      <c r="AE26" s="99">
        <v>346</v>
      </c>
      <c r="AF26" s="74">
        <v>2243</v>
      </c>
      <c r="AG26" s="74"/>
      <c r="AH26" s="75"/>
      <c r="AI26" s="301"/>
      <c r="AJ26" s="292"/>
      <c r="AK26" s="99">
        <v>660</v>
      </c>
      <c r="AL26" s="75">
        <v>2004</v>
      </c>
      <c r="AM26" s="74"/>
      <c r="AN26" s="292"/>
      <c r="AO26" s="99"/>
      <c r="AP26" s="293"/>
      <c r="AQ26" s="125">
        <f t="shared" si="4"/>
        <v>1576</v>
      </c>
      <c r="AR26" s="210">
        <f t="shared" si="4"/>
        <v>5345</v>
      </c>
      <c r="AS26" s="79"/>
      <c r="AT26" s="300"/>
      <c r="AU26" s="76">
        <v>0</v>
      </c>
      <c r="AV26" s="77">
        <v>0</v>
      </c>
      <c r="AW26" s="77"/>
      <c r="AX26" s="302"/>
      <c r="AY26" s="125"/>
      <c r="AZ26" s="302"/>
      <c r="BA26" s="125">
        <v>318</v>
      </c>
      <c r="BB26" s="77">
        <v>2968</v>
      </c>
      <c r="BC26" s="77"/>
      <c r="BD26" s="78"/>
      <c r="BE26" s="303"/>
      <c r="BF26" s="302"/>
      <c r="BG26" s="125">
        <v>0</v>
      </c>
      <c r="BH26" s="78">
        <v>0</v>
      </c>
      <c r="BI26" s="77"/>
      <c r="BJ26" s="302"/>
      <c r="BK26" s="125"/>
      <c r="BL26" s="302"/>
      <c r="BM26" s="69">
        <f t="shared" si="1"/>
        <v>318</v>
      </c>
      <c r="BN26" s="209">
        <f t="shared" si="1"/>
        <v>2968</v>
      </c>
      <c r="BO26" s="79"/>
      <c r="BP26" s="300"/>
      <c r="BQ26" s="80">
        <v>45</v>
      </c>
      <c r="BR26" s="81">
        <v>78</v>
      </c>
      <c r="BS26" s="77"/>
      <c r="BT26" s="210"/>
      <c r="BU26" s="100"/>
      <c r="BV26" s="292"/>
      <c r="BW26" s="188">
        <v>11</v>
      </c>
      <c r="BX26" s="101">
        <v>111</v>
      </c>
      <c r="BY26" s="77"/>
      <c r="BZ26" s="210"/>
      <c r="CA26" s="78"/>
      <c r="CB26" s="302"/>
      <c r="CC26" s="192">
        <v>2</v>
      </c>
      <c r="CD26" s="82">
        <v>3</v>
      </c>
      <c r="CE26" s="77"/>
      <c r="CF26" s="210"/>
      <c r="CG26" s="76"/>
      <c r="CH26" s="302"/>
      <c r="CI26" s="69">
        <f t="shared" si="2"/>
        <v>58</v>
      </c>
      <c r="CJ26" s="213">
        <f t="shared" si="2"/>
        <v>192</v>
      </c>
      <c r="CK26" s="79"/>
      <c r="CL26" s="304"/>
      <c r="CM26" s="305">
        <f t="shared" si="3"/>
        <v>697</v>
      </c>
      <c r="CN26" s="304"/>
      <c r="CO26" s="77"/>
      <c r="CP26" s="302"/>
      <c r="CQ26" s="99">
        <v>4</v>
      </c>
      <c r="CR26" s="292">
        <v>75</v>
      </c>
      <c r="CS26" s="188">
        <v>59</v>
      </c>
      <c r="CT26" s="101">
        <v>220</v>
      </c>
    </row>
    <row r="27" spans="1:98" s="283" customFormat="1" ht="15.75" thickBot="1" x14ac:dyDescent="0.3">
      <c r="A27" s="244">
        <v>45953</v>
      </c>
      <c r="B27" s="245" t="s">
        <v>17</v>
      </c>
      <c r="C27" s="246"/>
      <c r="D27" s="247"/>
      <c r="E27" s="247"/>
      <c r="F27" s="248"/>
      <c r="G27" s="246"/>
      <c r="H27" s="249"/>
      <c r="I27" s="246"/>
      <c r="J27" s="247"/>
      <c r="K27" s="247"/>
      <c r="L27" s="248"/>
      <c r="M27" s="264"/>
      <c r="N27" s="284"/>
      <c r="O27" s="246"/>
      <c r="P27" s="269"/>
      <c r="Q27" s="267"/>
      <c r="R27" s="268"/>
      <c r="S27" s="285"/>
      <c r="T27" s="286"/>
      <c r="U27" s="257">
        <f t="shared" si="0"/>
        <v>0</v>
      </c>
      <c r="V27" s="258">
        <f t="shared" si="0"/>
        <v>0</v>
      </c>
      <c r="W27" s="273"/>
      <c r="X27" s="260"/>
      <c r="Y27" s="261"/>
      <c r="Z27" s="247"/>
      <c r="AA27" s="247"/>
      <c r="AB27" s="248"/>
      <c r="AC27" s="246"/>
      <c r="AD27" s="249"/>
      <c r="AE27" s="246"/>
      <c r="AF27" s="247"/>
      <c r="AG27" s="247"/>
      <c r="AH27" s="262"/>
      <c r="AI27" s="263"/>
      <c r="AJ27" s="248"/>
      <c r="AK27" s="246"/>
      <c r="AL27" s="262"/>
      <c r="AM27" s="247"/>
      <c r="AN27" s="248"/>
      <c r="AO27" s="246"/>
      <c r="AP27" s="249"/>
      <c r="AQ27" s="264">
        <f t="shared" si="4"/>
        <v>0</v>
      </c>
      <c r="AR27" s="265">
        <f t="shared" si="4"/>
        <v>0</v>
      </c>
      <c r="AS27" s="273"/>
      <c r="AT27" s="260"/>
      <c r="AU27" s="266"/>
      <c r="AV27" s="267"/>
      <c r="AW27" s="267"/>
      <c r="AX27" s="268"/>
      <c r="AY27" s="264"/>
      <c r="AZ27" s="268"/>
      <c r="BA27" s="264"/>
      <c r="BB27" s="267"/>
      <c r="BC27" s="267"/>
      <c r="BD27" s="269"/>
      <c r="BE27" s="270"/>
      <c r="BF27" s="268"/>
      <c r="BG27" s="264"/>
      <c r="BH27" s="269"/>
      <c r="BI27" s="267"/>
      <c r="BJ27" s="268"/>
      <c r="BK27" s="264"/>
      <c r="BL27" s="268"/>
      <c r="BM27" s="271">
        <f t="shared" si="1"/>
        <v>0</v>
      </c>
      <c r="BN27" s="272">
        <f t="shared" si="1"/>
        <v>0</v>
      </c>
      <c r="BO27" s="273"/>
      <c r="BP27" s="260"/>
      <c r="BQ27" s="274">
        <v>45</v>
      </c>
      <c r="BR27" s="275">
        <v>78</v>
      </c>
      <c r="BS27" s="267"/>
      <c r="BT27" s="265"/>
      <c r="BU27" s="276"/>
      <c r="BV27" s="248"/>
      <c r="BW27" s="277">
        <v>11</v>
      </c>
      <c r="BX27" s="287">
        <v>111</v>
      </c>
      <c r="BY27" s="267"/>
      <c r="BZ27" s="265"/>
      <c r="CA27" s="269"/>
      <c r="CB27" s="268"/>
      <c r="CC27" s="288">
        <v>2</v>
      </c>
      <c r="CD27" s="278">
        <v>3</v>
      </c>
      <c r="CE27" s="267"/>
      <c r="CF27" s="265"/>
      <c r="CG27" s="266"/>
      <c r="CH27" s="268"/>
      <c r="CI27" s="271">
        <f t="shared" si="2"/>
        <v>58</v>
      </c>
      <c r="CJ27" s="279">
        <f t="shared" si="2"/>
        <v>192</v>
      </c>
      <c r="CK27" s="273"/>
      <c r="CL27" s="281"/>
      <c r="CM27" s="289">
        <f t="shared" si="3"/>
        <v>45</v>
      </c>
      <c r="CN27" s="281"/>
      <c r="CO27" s="267"/>
      <c r="CP27" s="268"/>
      <c r="CQ27" s="246"/>
      <c r="CR27" s="248"/>
      <c r="CS27" s="277">
        <v>47</v>
      </c>
      <c r="CT27" s="287">
        <v>265</v>
      </c>
    </row>
    <row r="28" spans="1:98" s="283" customFormat="1" ht="15.75" thickBot="1" x14ac:dyDescent="0.3">
      <c r="A28" s="244">
        <v>45954</v>
      </c>
      <c r="B28" s="245" t="s">
        <v>18</v>
      </c>
      <c r="C28" s="246"/>
      <c r="D28" s="247"/>
      <c r="E28" s="247"/>
      <c r="F28" s="248"/>
      <c r="G28" s="246"/>
      <c r="H28" s="249"/>
      <c r="I28" s="246"/>
      <c r="J28" s="247"/>
      <c r="K28" s="247"/>
      <c r="L28" s="248"/>
      <c r="M28" s="264"/>
      <c r="N28" s="284"/>
      <c r="O28" s="246"/>
      <c r="P28" s="269"/>
      <c r="Q28" s="267"/>
      <c r="R28" s="268"/>
      <c r="S28" s="285"/>
      <c r="T28" s="286"/>
      <c r="U28" s="257">
        <f t="shared" si="0"/>
        <v>0</v>
      </c>
      <c r="V28" s="258">
        <f t="shared" si="0"/>
        <v>0</v>
      </c>
      <c r="W28" s="273"/>
      <c r="X28" s="260"/>
      <c r="Y28" s="261"/>
      <c r="Z28" s="247"/>
      <c r="AA28" s="247"/>
      <c r="AB28" s="248"/>
      <c r="AC28" s="246"/>
      <c r="AD28" s="249"/>
      <c r="AE28" s="246"/>
      <c r="AF28" s="247"/>
      <c r="AG28" s="247"/>
      <c r="AH28" s="262"/>
      <c r="AI28" s="263"/>
      <c r="AJ28" s="248"/>
      <c r="AK28" s="246"/>
      <c r="AL28" s="262"/>
      <c r="AM28" s="247"/>
      <c r="AN28" s="248"/>
      <c r="AO28" s="246"/>
      <c r="AP28" s="249"/>
      <c r="AQ28" s="264">
        <f t="shared" si="4"/>
        <v>0</v>
      </c>
      <c r="AR28" s="265">
        <f t="shared" si="4"/>
        <v>0</v>
      </c>
      <c r="AS28" s="273"/>
      <c r="AT28" s="260"/>
      <c r="AU28" s="266"/>
      <c r="AV28" s="267"/>
      <c r="AW28" s="267"/>
      <c r="AX28" s="268"/>
      <c r="AY28" s="264"/>
      <c r="AZ28" s="268"/>
      <c r="BA28" s="264"/>
      <c r="BB28" s="267"/>
      <c r="BC28" s="267"/>
      <c r="BD28" s="269"/>
      <c r="BE28" s="270"/>
      <c r="BF28" s="268"/>
      <c r="BG28" s="264"/>
      <c r="BH28" s="269"/>
      <c r="BI28" s="267"/>
      <c r="BJ28" s="268"/>
      <c r="BK28" s="264"/>
      <c r="BL28" s="268"/>
      <c r="BM28" s="271">
        <f t="shared" si="1"/>
        <v>0</v>
      </c>
      <c r="BN28" s="272">
        <f t="shared" si="1"/>
        <v>0</v>
      </c>
      <c r="BO28" s="273"/>
      <c r="BP28" s="260"/>
      <c r="BQ28" s="274">
        <v>45</v>
      </c>
      <c r="BR28" s="275">
        <v>78</v>
      </c>
      <c r="BS28" s="267"/>
      <c r="BT28" s="265"/>
      <c r="BU28" s="276"/>
      <c r="BV28" s="248"/>
      <c r="BW28" s="277">
        <v>11</v>
      </c>
      <c r="BX28" s="287">
        <v>111</v>
      </c>
      <c r="BY28" s="267"/>
      <c r="BZ28" s="265"/>
      <c r="CA28" s="269"/>
      <c r="CB28" s="268"/>
      <c r="CC28" s="288">
        <v>2</v>
      </c>
      <c r="CD28" s="278">
        <v>3</v>
      </c>
      <c r="CE28" s="267"/>
      <c r="CF28" s="265"/>
      <c r="CG28" s="266"/>
      <c r="CH28" s="268"/>
      <c r="CI28" s="271">
        <f t="shared" si="2"/>
        <v>58</v>
      </c>
      <c r="CJ28" s="279">
        <f t="shared" si="2"/>
        <v>192</v>
      </c>
      <c r="CK28" s="273"/>
      <c r="CL28" s="281"/>
      <c r="CM28" s="289">
        <f t="shared" si="3"/>
        <v>45</v>
      </c>
      <c r="CN28" s="281"/>
      <c r="CO28" s="267"/>
      <c r="CP28" s="268"/>
      <c r="CQ28" s="246"/>
      <c r="CR28" s="248"/>
      <c r="CS28" s="277">
        <v>47</v>
      </c>
      <c r="CT28" s="287">
        <v>265</v>
      </c>
    </row>
    <row r="29" spans="1:98" s="283" customFormat="1" ht="15.75" thickBot="1" x14ac:dyDescent="0.3">
      <c r="A29" s="244">
        <v>45955</v>
      </c>
      <c r="B29" s="245" t="s">
        <v>19</v>
      </c>
      <c r="C29" s="246"/>
      <c r="D29" s="247"/>
      <c r="E29" s="247"/>
      <c r="F29" s="248"/>
      <c r="G29" s="246"/>
      <c r="H29" s="249"/>
      <c r="I29" s="246"/>
      <c r="J29" s="247"/>
      <c r="K29" s="247"/>
      <c r="L29" s="248"/>
      <c r="M29" s="264"/>
      <c r="N29" s="284"/>
      <c r="O29" s="246"/>
      <c r="P29" s="276"/>
      <c r="Q29" s="267"/>
      <c r="R29" s="268"/>
      <c r="S29" s="285"/>
      <c r="T29" s="286"/>
      <c r="U29" s="257">
        <f t="shared" si="0"/>
        <v>0</v>
      </c>
      <c r="V29" s="258">
        <f t="shared" si="0"/>
        <v>0</v>
      </c>
      <c r="W29" s="259"/>
      <c r="X29" s="260"/>
      <c r="Y29" s="246"/>
      <c r="Z29" s="247"/>
      <c r="AA29" s="247"/>
      <c r="AB29" s="248"/>
      <c r="AC29" s="246"/>
      <c r="AD29" s="249"/>
      <c r="AE29" s="246"/>
      <c r="AF29" s="247"/>
      <c r="AG29" s="247"/>
      <c r="AH29" s="262"/>
      <c r="AI29" s="263"/>
      <c r="AJ29" s="248"/>
      <c r="AK29" s="246"/>
      <c r="AL29" s="262"/>
      <c r="AM29" s="247"/>
      <c r="AN29" s="248"/>
      <c r="AO29" s="246"/>
      <c r="AP29" s="249"/>
      <c r="AQ29" s="264">
        <f t="shared" si="4"/>
        <v>0</v>
      </c>
      <c r="AR29" s="265">
        <f t="shared" si="4"/>
        <v>0</v>
      </c>
      <c r="AS29" s="259"/>
      <c r="AT29" s="260"/>
      <c r="AU29" s="266"/>
      <c r="AV29" s="267"/>
      <c r="AW29" s="267"/>
      <c r="AX29" s="268"/>
      <c r="AY29" s="264"/>
      <c r="AZ29" s="268"/>
      <c r="BA29" s="264"/>
      <c r="BB29" s="267"/>
      <c r="BC29" s="267"/>
      <c r="BD29" s="269"/>
      <c r="BE29" s="270"/>
      <c r="BF29" s="268"/>
      <c r="BG29" s="264"/>
      <c r="BH29" s="269"/>
      <c r="BI29" s="267"/>
      <c r="BJ29" s="268"/>
      <c r="BK29" s="264"/>
      <c r="BL29" s="268"/>
      <c r="BM29" s="271">
        <f t="shared" si="1"/>
        <v>0</v>
      </c>
      <c r="BN29" s="272">
        <f t="shared" si="1"/>
        <v>0</v>
      </c>
      <c r="BO29" s="273"/>
      <c r="BP29" s="260"/>
      <c r="BQ29" s="274">
        <v>45</v>
      </c>
      <c r="BR29" s="275">
        <v>78</v>
      </c>
      <c r="BS29" s="267"/>
      <c r="BT29" s="265"/>
      <c r="BU29" s="276"/>
      <c r="BV29" s="248"/>
      <c r="BW29" s="277">
        <v>11</v>
      </c>
      <c r="BX29" s="287">
        <v>111</v>
      </c>
      <c r="BY29" s="267"/>
      <c r="BZ29" s="265"/>
      <c r="CA29" s="269"/>
      <c r="CB29" s="268"/>
      <c r="CC29" s="288">
        <v>2</v>
      </c>
      <c r="CD29" s="278">
        <v>3</v>
      </c>
      <c r="CE29" s="267"/>
      <c r="CF29" s="265"/>
      <c r="CG29" s="266"/>
      <c r="CH29" s="268"/>
      <c r="CI29" s="271">
        <f t="shared" si="2"/>
        <v>58</v>
      </c>
      <c r="CJ29" s="279">
        <f t="shared" si="2"/>
        <v>192</v>
      </c>
      <c r="CK29" s="280"/>
      <c r="CL29" s="281"/>
      <c r="CM29" s="282">
        <f t="shared" si="3"/>
        <v>45</v>
      </c>
      <c r="CN29" s="281"/>
      <c r="CO29" s="267"/>
      <c r="CP29" s="268"/>
      <c r="CQ29" s="246"/>
      <c r="CR29" s="248"/>
      <c r="CS29" s="277">
        <v>47</v>
      </c>
      <c r="CT29" s="287">
        <v>265</v>
      </c>
    </row>
    <row r="30" spans="1:98" s="283" customFormat="1" ht="15.75" thickBot="1" x14ac:dyDescent="0.3">
      <c r="A30" s="244">
        <v>45956</v>
      </c>
      <c r="B30" s="245" t="s">
        <v>20</v>
      </c>
      <c r="C30" s="246"/>
      <c r="D30" s="247"/>
      <c r="E30" s="247"/>
      <c r="F30" s="248"/>
      <c r="G30" s="246"/>
      <c r="H30" s="249"/>
      <c r="I30" s="246"/>
      <c r="J30" s="247"/>
      <c r="K30" s="247"/>
      <c r="L30" s="248"/>
      <c r="M30" s="264"/>
      <c r="N30" s="284"/>
      <c r="O30" s="246"/>
      <c r="P30" s="269"/>
      <c r="Q30" s="267"/>
      <c r="R30" s="268"/>
      <c r="S30" s="285"/>
      <c r="T30" s="286"/>
      <c r="U30" s="257">
        <f t="shared" si="0"/>
        <v>0</v>
      </c>
      <c r="V30" s="258">
        <f t="shared" si="0"/>
        <v>0</v>
      </c>
      <c r="W30" s="259"/>
      <c r="X30" s="260"/>
      <c r="Y30" s="261"/>
      <c r="Z30" s="247"/>
      <c r="AA30" s="247"/>
      <c r="AB30" s="248"/>
      <c r="AC30" s="246"/>
      <c r="AD30" s="249"/>
      <c r="AE30" s="246"/>
      <c r="AF30" s="247"/>
      <c r="AG30" s="247"/>
      <c r="AH30" s="262"/>
      <c r="AI30" s="263"/>
      <c r="AJ30" s="248"/>
      <c r="AK30" s="246"/>
      <c r="AL30" s="262"/>
      <c r="AM30" s="247"/>
      <c r="AN30" s="248"/>
      <c r="AO30" s="246"/>
      <c r="AP30" s="249"/>
      <c r="AQ30" s="264">
        <f t="shared" si="4"/>
        <v>0</v>
      </c>
      <c r="AR30" s="265">
        <f t="shared" si="4"/>
        <v>0</v>
      </c>
      <c r="AS30" s="259"/>
      <c r="AT30" s="260"/>
      <c r="AU30" s="266"/>
      <c r="AV30" s="267"/>
      <c r="AW30" s="267"/>
      <c r="AX30" s="268"/>
      <c r="AY30" s="264"/>
      <c r="AZ30" s="268"/>
      <c r="BA30" s="264"/>
      <c r="BB30" s="267"/>
      <c r="BC30" s="267"/>
      <c r="BD30" s="269"/>
      <c r="BE30" s="270"/>
      <c r="BF30" s="268"/>
      <c r="BG30" s="264"/>
      <c r="BH30" s="269"/>
      <c r="BI30" s="267"/>
      <c r="BJ30" s="268"/>
      <c r="BK30" s="264"/>
      <c r="BL30" s="268"/>
      <c r="BM30" s="271">
        <f t="shared" si="1"/>
        <v>0</v>
      </c>
      <c r="BN30" s="272">
        <f t="shared" si="1"/>
        <v>0</v>
      </c>
      <c r="BO30" s="273"/>
      <c r="BP30" s="260"/>
      <c r="BQ30" s="274">
        <v>45</v>
      </c>
      <c r="BR30" s="275">
        <v>78</v>
      </c>
      <c r="BS30" s="267"/>
      <c r="BT30" s="265"/>
      <c r="BU30" s="276"/>
      <c r="BV30" s="248"/>
      <c r="BW30" s="277">
        <v>11</v>
      </c>
      <c r="BX30" s="287">
        <v>111</v>
      </c>
      <c r="BY30" s="267"/>
      <c r="BZ30" s="265"/>
      <c r="CA30" s="269"/>
      <c r="CB30" s="268"/>
      <c r="CC30" s="288">
        <v>2</v>
      </c>
      <c r="CD30" s="278">
        <v>3</v>
      </c>
      <c r="CE30" s="267"/>
      <c r="CF30" s="265"/>
      <c r="CG30" s="266"/>
      <c r="CH30" s="268"/>
      <c r="CI30" s="271">
        <f t="shared" si="2"/>
        <v>58</v>
      </c>
      <c r="CJ30" s="279">
        <f t="shared" si="2"/>
        <v>192</v>
      </c>
      <c r="CK30" s="280"/>
      <c r="CL30" s="281"/>
      <c r="CM30" s="282">
        <f t="shared" si="3"/>
        <v>45</v>
      </c>
      <c r="CN30" s="281"/>
      <c r="CO30" s="267"/>
      <c r="CP30" s="268"/>
      <c r="CQ30" s="246"/>
      <c r="CR30" s="248"/>
      <c r="CS30" s="277">
        <v>47</v>
      </c>
      <c r="CT30" s="287">
        <v>265</v>
      </c>
    </row>
    <row r="31" spans="1:98" ht="15.75" thickBot="1" x14ac:dyDescent="0.3">
      <c r="A31" s="48">
        <v>45957</v>
      </c>
      <c r="B31" s="234" t="s">
        <v>14</v>
      </c>
      <c r="C31" s="236">
        <v>74</v>
      </c>
      <c r="D31" s="237">
        <v>158</v>
      </c>
      <c r="E31" s="120"/>
      <c r="F31" s="167"/>
      <c r="G31" s="138"/>
      <c r="H31" s="148"/>
      <c r="I31" s="50">
        <v>41</v>
      </c>
      <c r="J31" s="51">
        <v>195</v>
      </c>
      <c r="K31" s="120">
        <v>15</v>
      </c>
      <c r="L31" s="167">
        <v>91</v>
      </c>
      <c r="M31" s="162"/>
      <c r="N31" s="157"/>
      <c r="O31" s="50">
        <v>138</v>
      </c>
      <c r="P31" s="42"/>
      <c r="Q31" s="117"/>
      <c r="R31" s="170"/>
      <c r="S31" s="137"/>
      <c r="T31" s="174"/>
      <c r="U31" s="109">
        <f t="shared" si="0"/>
        <v>268</v>
      </c>
      <c r="V31" s="31">
        <f t="shared" si="0"/>
        <v>444</v>
      </c>
      <c r="W31" s="64"/>
      <c r="X31" s="6"/>
      <c r="Y31" s="54"/>
      <c r="Z31" s="51"/>
      <c r="AA31" s="120">
        <v>160</v>
      </c>
      <c r="AB31" s="167">
        <v>318</v>
      </c>
      <c r="AC31" s="138"/>
      <c r="AD31" s="148"/>
      <c r="AE31" s="50">
        <v>364</v>
      </c>
      <c r="AF31" s="51">
        <v>2364</v>
      </c>
      <c r="AG31" s="120">
        <v>33</v>
      </c>
      <c r="AH31" s="121">
        <v>171</v>
      </c>
      <c r="AI31" s="132"/>
      <c r="AJ31" s="167"/>
      <c r="AK31" s="50">
        <v>628</v>
      </c>
      <c r="AL31" s="65">
        <v>1917</v>
      </c>
      <c r="AM31" s="120">
        <v>142</v>
      </c>
      <c r="AN31" s="167">
        <v>278</v>
      </c>
      <c r="AO31" s="138">
        <v>1</v>
      </c>
      <c r="AP31" s="148">
        <v>6</v>
      </c>
      <c r="AQ31" s="108">
        <f t="shared" si="4"/>
        <v>1328</v>
      </c>
      <c r="AR31" s="38">
        <f t="shared" si="4"/>
        <v>5054</v>
      </c>
      <c r="AS31" s="64"/>
      <c r="AT31" s="6"/>
      <c r="AU31" s="40">
        <v>0</v>
      </c>
      <c r="AV31" s="41">
        <v>0</v>
      </c>
      <c r="AW31" s="117"/>
      <c r="AX31" s="170"/>
      <c r="AY31" s="162">
        <v>1</v>
      </c>
      <c r="AZ31" s="170">
        <v>2</v>
      </c>
      <c r="BA31" s="124">
        <v>311</v>
      </c>
      <c r="BB31" s="41">
        <v>2837</v>
      </c>
      <c r="BC31" s="117"/>
      <c r="BD31" s="141"/>
      <c r="BE31" s="179">
        <v>4</v>
      </c>
      <c r="BF31" s="170">
        <v>17</v>
      </c>
      <c r="BG31" s="124">
        <v>0</v>
      </c>
      <c r="BH31" s="42">
        <v>0</v>
      </c>
      <c r="BI31" s="117"/>
      <c r="BJ31" s="170"/>
      <c r="BK31" s="162">
        <v>1</v>
      </c>
      <c r="BL31" s="170">
        <v>16</v>
      </c>
      <c r="BM31" s="28">
        <f t="shared" si="1"/>
        <v>317</v>
      </c>
      <c r="BN31" s="44">
        <f t="shared" si="1"/>
        <v>2872</v>
      </c>
      <c r="BO31" s="64"/>
      <c r="BP31" s="6"/>
      <c r="BQ31" s="56">
        <v>34</v>
      </c>
      <c r="BR31" s="57">
        <v>55</v>
      </c>
      <c r="BS31" s="117">
        <v>11</v>
      </c>
      <c r="BT31" s="127">
        <v>19</v>
      </c>
      <c r="BU31" s="140"/>
      <c r="BV31" s="167"/>
      <c r="BW31" s="187">
        <v>11</v>
      </c>
      <c r="BX31" s="67">
        <v>111</v>
      </c>
      <c r="BY31" s="117"/>
      <c r="BZ31" s="127"/>
      <c r="CA31" s="141"/>
      <c r="CB31" s="170"/>
      <c r="CC31" s="190">
        <v>0</v>
      </c>
      <c r="CD31" s="58">
        <v>0</v>
      </c>
      <c r="CE31" s="117"/>
      <c r="CF31" s="127"/>
      <c r="CG31" s="152">
        <v>2</v>
      </c>
      <c r="CH31" s="170">
        <v>4</v>
      </c>
      <c r="CI31" s="28">
        <f t="shared" si="2"/>
        <v>58</v>
      </c>
      <c r="CJ31" s="45">
        <f t="shared" si="2"/>
        <v>189</v>
      </c>
      <c r="CK31" s="64"/>
      <c r="CL31" s="60"/>
      <c r="CM31" s="66">
        <f t="shared" si="3"/>
        <v>108</v>
      </c>
      <c r="CN31" s="60"/>
      <c r="CO31" s="117"/>
      <c r="CP31" s="170"/>
      <c r="CQ31" s="138"/>
      <c r="CR31" s="167"/>
      <c r="CS31" s="277">
        <v>47</v>
      </c>
      <c r="CT31" s="287">
        <v>265</v>
      </c>
    </row>
    <row r="32" spans="1:98" ht="15.75" thickBot="1" x14ac:dyDescent="0.3">
      <c r="A32" s="48">
        <v>45958</v>
      </c>
      <c r="B32" s="234" t="s">
        <v>15</v>
      </c>
      <c r="C32" s="236">
        <v>56</v>
      </c>
      <c r="D32" s="237">
        <v>130</v>
      </c>
      <c r="E32" s="120">
        <v>15</v>
      </c>
      <c r="F32" s="167">
        <v>91</v>
      </c>
      <c r="G32" s="138"/>
      <c r="H32" s="148"/>
      <c r="I32" s="89">
        <v>37</v>
      </c>
      <c r="J32" s="35">
        <v>179</v>
      </c>
      <c r="K32" s="120"/>
      <c r="L32" s="167"/>
      <c r="M32" s="162"/>
      <c r="N32" s="157"/>
      <c r="O32" s="89">
        <v>123</v>
      </c>
      <c r="P32" s="93"/>
      <c r="Q32" s="117"/>
      <c r="R32" s="170"/>
      <c r="S32" s="137"/>
      <c r="T32" s="174"/>
      <c r="U32" s="109">
        <f t="shared" si="0"/>
        <v>231</v>
      </c>
      <c r="V32" s="31">
        <f t="shared" si="0"/>
        <v>400</v>
      </c>
      <c r="W32" s="91"/>
      <c r="X32" s="6"/>
      <c r="Y32" s="34">
        <v>456</v>
      </c>
      <c r="Z32" s="35">
        <v>916</v>
      </c>
      <c r="AA32" s="120"/>
      <c r="AB32" s="167"/>
      <c r="AC32" s="138"/>
      <c r="AD32" s="148"/>
      <c r="AE32" s="50">
        <v>316</v>
      </c>
      <c r="AF32" s="51">
        <v>2087</v>
      </c>
      <c r="AG32" s="120"/>
      <c r="AH32" s="121"/>
      <c r="AI32" s="132"/>
      <c r="AJ32" s="167"/>
      <c r="AK32" s="50">
        <v>628</v>
      </c>
      <c r="AL32" s="65">
        <v>1917</v>
      </c>
      <c r="AM32" s="120"/>
      <c r="AN32" s="167"/>
      <c r="AO32" s="138"/>
      <c r="AP32" s="148"/>
      <c r="AQ32" s="108">
        <f t="shared" si="4"/>
        <v>1400</v>
      </c>
      <c r="AR32" s="38">
        <f t="shared" si="4"/>
        <v>4920</v>
      </c>
      <c r="AS32" s="91"/>
      <c r="AT32" s="6"/>
      <c r="AU32" s="37"/>
      <c r="AV32" s="92"/>
      <c r="AW32" s="117"/>
      <c r="AX32" s="170"/>
      <c r="AY32" s="162"/>
      <c r="AZ32" s="170"/>
      <c r="BA32" s="108">
        <v>311</v>
      </c>
      <c r="BB32" s="92">
        <v>2837</v>
      </c>
      <c r="BC32" s="117">
        <v>20</v>
      </c>
      <c r="BD32" s="141">
        <v>116</v>
      </c>
      <c r="BE32" s="179"/>
      <c r="BF32" s="170"/>
      <c r="BG32" s="108"/>
      <c r="BH32" s="93"/>
      <c r="BI32" s="117"/>
      <c r="BJ32" s="170"/>
      <c r="BK32" s="162">
        <v>1</v>
      </c>
      <c r="BL32" s="170">
        <v>1</v>
      </c>
      <c r="BM32" s="28">
        <f t="shared" si="1"/>
        <v>332</v>
      </c>
      <c r="BN32" s="44">
        <f t="shared" si="1"/>
        <v>2954</v>
      </c>
      <c r="BO32" s="91"/>
      <c r="BP32" s="6"/>
      <c r="BQ32" s="94">
        <v>45</v>
      </c>
      <c r="BR32" s="95">
        <v>74</v>
      </c>
      <c r="BS32" s="117"/>
      <c r="BT32" s="127"/>
      <c r="BU32" s="140"/>
      <c r="BV32" s="167"/>
      <c r="BW32" s="189">
        <v>11</v>
      </c>
      <c r="BX32" s="96">
        <v>111</v>
      </c>
      <c r="BY32" s="117"/>
      <c r="BZ32" s="127"/>
      <c r="CA32" s="141"/>
      <c r="CB32" s="170"/>
      <c r="CC32" s="191">
        <v>0</v>
      </c>
      <c r="CD32" s="97">
        <v>0</v>
      </c>
      <c r="CE32" s="117"/>
      <c r="CF32" s="127"/>
      <c r="CG32" s="152"/>
      <c r="CH32" s="170"/>
      <c r="CI32" s="28">
        <f t="shared" si="2"/>
        <v>56</v>
      </c>
      <c r="CJ32" s="45">
        <f t="shared" si="2"/>
        <v>185</v>
      </c>
      <c r="CK32" s="91"/>
      <c r="CL32" s="60"/>
      <c r="CM32" s="98">
        <f t="shared" si="3"/>
        <v>557</v>
      </c>
      <c r="CN32" s="60"/>
      <c r="CO32" s="117"/>
      <c r="CP32" s="170"/>
      <c r="CQ32" s="138"/>
      <c r="CR32" s="167"/>
      <c r="CS32" s="189">
        <v>24</v>
      </c>
      <c r="CT32" s="96">
        <v>83</v>
      </c>
    </row>
    <row r="33" spans="1:98" ht="15.75" thickBot="1" x14ac:dyDescent="0.3">
      <c r="A33" s="48">
        <v>45959</v>
      </c>
      <c r="B33" s="234" t="s">
        <v>16</v>
      </c>
      <c r="C33" s="236">
        <v>60</v>
      </c>
      <c r="D33" s="237">
        <v>167</v>
      </c>
      <c r="E33" s="120">
        <v>17</v>
      </c>
      <c r="F33" s="167">
        <v>54</v>
      </c>
      <c r="G33" s="138"/>
      <c r="H33" s="148"/>
      <c r="I33" s="50">
        <v>37</v>
      </c>
      <c r="J33" s="51">
        <v>179</v>
      </c>
      <c r="K33" s="120"/>
      <c r="L33" s="167"/>
      <c r="M33" s="162"/>
      <c r="N33" s="157"/>
      <c r="O33" s="50">
        <v>133</v>
      </c>
      <c r="P33" s="42">
        <v>233</v>
      </c>
      <c r="Q33" s="117"/>
      <c r="R33" s="170"/>
      <c r="S33" s="117">
        <v>7</v>
      </c>
      <c r="T33" s="170">
        <v>9</v>
      </c>
      <c r="U33" s="109">
        <f t="shared" si="0"/>
        <v>254</v>
      </c>
      <c r="V33" s="31">
        <f t="shared" si="0"/>
        <v>642</v>
      </c>
      <c r="W33" s="64"/>
      <c r="X33" s="6"/>
      <c r="Y33" s="54">
        <v>382</v>
      </c>
      <c r="Z33" s="51">
        <v>754</v>
      </c>
      <c r="AA33" s="120"/>
      <c r="AB33" s="167"/>
      <c r="AC33" s="138"/>
      <c r="AD33" s="148"/>
      <c r="AE33" s="50">
        <v>287</v>
      </c>
      <c r="AF33" s="51">
        <v>1747</v>
      </c>
      <c r="AG33" s="120"/>
      <c r="AH33" s="121"/>
      <c r="AI33" s="132"/>
      <c r="AJ33" s="167"/>
      <c r="AK33" s="50">
        <v>609</v>
      </c>
      <c r="AL33" s="65">
        <v>1779</v>
      </c>
      <c r="AM33" s="120"/>
      <c r="AN33" s="167"/>
      <c r="AO33" s="138"/>
      <c r="AP33" s="148"/>
      <c r="AQ33" s="108">
        <f t="shared" si="4"/>
        <v>1278</v>
      </c>
      <c r="AR33" s="38">
        <f t="shared" si="4"/>
        <v>4280</v>
      </c>
      <c r="AS33" s="64"/>
      <c r="AT33" s="6"/>
      <c r="AU33" s="40">
        <v>0</v>
      </c>
      <c r="AV33" s="41">
        <v>0</v>
      </c>
      <c r="AW33" s="117"/>
      <c r="AX33" s="170"/>
      <c r="AY33" s="162"/>
      <c r="AZ33" s="170"/>
      <c r="BA33" s="124">
        <v>314</v>
      </c>
      <c r="BB33" s="41">
        <v>2843</v>
      </c>
      <c r="BC33" s="117"/>
      <c r="BD33" s="141"/>
      <c r="BE33" s="179"/>
      <c r="BF33" s="170"/>
      <c r="BG33" s="124">
        <v>0</v>
      </c>
      <c r="BH33" s="42">
        <v>0</v>
      </c>
      <c r="BI33" s="117"/>
      <c r="BJ33" s="170"/>
      <c r="BK33" s="162"/>
      <c r="BL33" s="170"/>
      <c r="BM33" s="28">
        <f t="shared" si="1"/>
        <v>314</v>
      </c>
      <c r="BN33" s="44">
        <f t="shared" si="1"/>
        <v>2843</v>
      </c>
      <c r="BO33" s="64"/>
      <c r="BP33" s="6"/>
      <c r="BQ33" s="56">
        <v>34</v>
      </c>
      <c r="BR33" s="57">
        <v>56</v>
      </c>
      <c r="BS33" s="117"/>
      <c r="BT33" s="127"/>
      <c r="BU33" s="141"/>
      <c r="BV33" s="170"/>
      <c r="BW33" s="190">
        <v>11</v>
      </c>
      <c r="BX33" s="67">
        <v>111</v>
      </c>
      <c r="BY33" s="117"/>
      <c r="BZ33" s="127"/>
      <c r="CA33" s="141"/>
      <c r="CB33" s="170"/>
      <c r="CC33" s="190">
        <v>0</v>
      </c>
      <c r="CD33" s="67">
        <v>0</v>
      </c>
      <c r="CE33" s="117"/>
      <c r="CF33" s="127"/>
      <c r="CG33" s="152"/>
      <c r="CH33" s="170"/>
      <c r="CI33" s="28">
        <f t="shared" si="2"/>
        <v>45</v>
      </c>
      <c r="CJ33" s="45">
        <f t="shared" si="2"/>
        <v>167</v>
      </c>
      <c r="CK33" s="64"/>
      <c r="CL33" s="60"/>
      <c r="CM33" s="66">
        <f t="shared" si="3"/>
        <v>476</v>
      </c>
      <c r="CN33" s="60"/>
      <c r="CO33" s="117"/>
      <c r="CP33" s="170"/>
      <c r="CQ33" s="138">
        <v>1</v>
      </c>
      <c r="CR33" s="167">
        <v>1</v>
      </c>
      <c r="CS33" s="187">
        <v>11</v>
      </c>
      <c r="CT33" s="67">
        <v>59</v>
      </c>
    </row>
    <row r="34" spans="1:98" s="306" customFormat="1" ht="15.75" thickBot="1" x14ac:dyDescent="0.3">
      <c r="A34" s="290">
        <v>45960</v>
      </c>
      <c r="B34" s="291" t="s">
        <v>17</v>
      </c>
      <c r="C34" s="99">
        <v>60</v>
      </c>
      <c r="D34" s="74">
        <v>167</v>
      </c>
      <c r="E34" s="74"/>
      <c r="F34" s="292"/>
      <c r="G34" s="99">
        <v>1</v>
      </c>
      <c r="H34" s="293">
        <v>2</v>
      </c>
      <c r="I34" s="99">
        <v>37</v>
      </c>
      <c r="J34" s="74">
        <v>179</v>
      </c>
      <c r="K34" s="74"/>
      <c r="L34" s="292"/>
      <c r="M34" s="125"/>
      <c r="N34" s="294"/>
      <c r="O34" s="99">
        <v>133</v>
      </c>
      <c r="P34" s="78">
        <v>233</v>
      </c>
      <c r="Q34" s="77"/>
      <c r="R34" s="302"/>
      <c r="S34" s="77"/>
      <c r="T34" s="302"/>
      <c r="U34" s="211">
        <f t="shared" si="0"/>
        <v>231</v>
      </c>
      <c r="V34" s="212">
        <f t="shared" si="0"/>
        <v>581</v>
      </c>
      <c r="W34" s="79"/>
      <c r="X34" s="300"/>
      <c r="Y34" s="73">
        <v>382</v>
      </c>
      <c r="Z34" s="74">
        <v>754</v>
      </c>
      <c r="AA34" s="74"/>
      <c r="AB34" s="292"/>
      <c r="AC34" s="99"/>
      <c r="AD34" s="293"/>
      <c r="AE34" s="99">
        <v>287</v>
      </c>
      <c r="AF34" s="74">
        <v>1747</v>
      </c>
      <c r="AG34" s="74"/>
      <c r="AH34" s="75"/>
      <c r="AI34" s="301"/>
      <c r="AJ34" s="292"/>
      <c r="AK34" s="99">
        <v>609</v>
      </c>
      <c r="AL34" s="75">
        <v>1779</v>
      </c>
      <c r="AM34" s="74"/>
      <c r="AN34" s="292"/>
      <c r="AO34" s="125"/>
      <c r="AP34" s="302"/>
      <c r="AQ34" s="125">
        <f t="shared" si="4"/>
        <v>1278</v>
      </c>
      <c r="AR34" s="210">
        <f t="shared" si="4"/>
        <v>4280</v>
      </c>
      <c r="AS34" s="79"/>
      <c r="AT34" s="300"/>
      <c r="AU34" s="76">
        <v>0</v>
      </c>
      <c r="AV34" s="77">
        <v>0</v>
      </c>
      <c r="AW34" s="77"/>
      <c r="AX34" s="302"/>
      <c r="AY34" s="125"/>
      <c r="AZ34" s="302"/>
      <c r="BA34" s="125">
        <v>314</v>
      </c>
      <c r="BB34" s="77">
        <v>2843</v>
      </c>
      <c r="BC34" s="77"/>
      <c r="BD34" s="78"/>
      <c r="BE34" s="303"/>
      <c r="BF34" s="302"/>
      <c r="BG34" s="125">
        <v>0</v>
      </c>
      <c r="BH34" s="78">
        <v>0</v>
      </c>
      <c r="BI34" s="77"/>
      <c r="BJ34" s="302"/>
      <c r="BK34" s="125">
        <v>1</v>
      </c>
      <c r="BL34" s="302">
        <v>2</v>
      </c>
      <c r="BM34" s="69">
        <f t="shared" si="1"/>
        <v>315</v>
      </c>
      <c r="BN34" s="209">
        <f t="shared" si="1"/>
        <v>2845</v>
      </c>
      <c r="BO34" s="79"/>
      <c r="BP34" s="300"/>
      <c r="BQ34" s="80">
        <v>14</v>
      </c>
      <c r="BR34" s="81">
        <v>23</v>
      </c>
      <c r="BS34" s="77"/>
      <c r="BT34" s="210"/>
      <c r="BU34" s="77"/>
      <c r="BV34" s="302"/>
      <c r="BW34" s="192">
        <v>11</v>
      </c>
      <c r="BX34" s="101">
        <v>111</v>
      </c>
      <c r="BY34" s="77"/>
      <c r="BZ34" s="210"/>
      <c r="CA34" s="77"/>
      <c r="CB34" s="302"/>
      <c r="CC34" s="192">
        <v>0</v>
      </c>
      <c r="CD34" s="101">
        <v>0</v>
      </c>
      <c r="CE34" s="77"/>
      <c r="CF34" s="210"/>
      <c r="CG34" s="76"/>
      <c r="CH34" s="302"/>
      <c r="CI34" s="69">
        <f t="shared" si="2"/>
        <v>25</v>
      </c>
      <c r="CJ34" s="213">
        <f t="shared" si="2"/>
        <v>134</v>
      </c>
      <c r="CK34" s="79"/>
      <c r="CL34" s="304"/>
      <c r="CM34" s="305">
        <f t="shared" si="3"/>
        <v>456</v>
      </c>
      <c r="CN34" s="304"/>
      <c r="CO34" s="77"/>
      <c r="CP34" s="302"/>
      <c r="CQ34" s="77"/>
      <c r="CR34" s="302"/>
      <c r="CS34" s="188">
        <v>11</v>
      </c>
      <c r="CT34" s="101">
        <v>59</v>
      </c>
    </row>
    <row r="35" spans="1:98" ht="15.75" thickBot="1" x14ac:dyDescent="0.3">
      <c r="A35" s="48">
        <v>45961</v>
      </c>
      <c r="B35" s="235" t="s">
        <v>18</v>
      </c>
      <c r="C35" s="238"/>
      <c r="D35" s="239"/>
      <c r="E35" s="218">
        <v>18</v>
      </c>
      <c r="F35" s="219">
        <v>31</v>
      </c>
      <c r="G35" s="220">
        <v>2</v>
      </c>
      <c r="H35" s="221">
        <v>6</v>
      </c>
      <c r="I35" s="216"/>
      <c r="J35" s="217"/>
      <c r="K35" s="218"/>
      <c r="L35" s="219"/>
      <c r="M35" s="220">
        <v>1</v>
      </c>
      <c r="N35" s="221">
        <v>3</v>
      </c>
      <c r="O35" s="216"/>
      <c r="P35" s="222"/>
      <c r="Q35" s="117">
        <v>4</v>
      </c>
      <c r="R35" s="117">
        <v>8</v>
      </c>
      <c r="S35" s="117"/>
      <c r="T35" s="117"/>
      <c r="U35" s="109"/>
      <c r="V35" s="31"/>
      <c r="W35" s="224"/>
      <c r="X35" s="6"/>
      <c r="Y35" s="225"/>
      <c r="Z35" s="217"/>
      <c r="AA35" s="218"/>
      <c r="AB35" s="219"/>
      <c r="AC35" s="220"/>
      <c r="AD35" s="221"/>
      <c r="AE35" s="216">
        <v>287</v>
      </c>
      <c r="AF35" s="217">
        <v>1747</v>
      </c>
      <c r="AG35" s="218"/>
      <c r="AH35" s="226"/>
      <c r="AI35" s="223"/>
      <c r="AJ35" s="219"/>
      <c r="AK35" s="216">
        <v>561</v>
      </c>
      <c r="AL35" s="227">
        <v>1600</v>
      </c>
      <c r="AM35" s="218"/>
      <c r="AN35" s="219"/>
      <c r="AO35" s="162"/>
      <c r="AP35" s="170"/>
      <c r="AQ35" s="108"/>
      <c r="AR35" s="38"/>
      <c r="AS35" s="224"/>
      <c r="AT35" s="6"/>
      <c r="AU35" s="40">
        <v>0</v>
      </c>
      <c r="AV35" s="41">
        <v>0</v>
      </c>
      <c r="AW35" s="117"/>
      <c r="AX35" s="170"/>
      <c r="AY35" s="162">
        <v>1</v>
      </c>
      <c r="AZ35" s="170">
        <v>2</v>
      </c>
      <c r="BA35" s="124">
        <v>301</v>
      </c>
      <c r="BB35" s="41">
        <v>3755</v>
      </c>
      <c r="BC35" s="117"/>
      <c r="BD35" s="141"/>
      <c r="BE35" s="179">
        <v>1</v>
      </c>
      <c r="BF35" s="170">
        <v>26</v>
      </c>
      <c r="BG35" s="124">
        <v>0</v>
      </c>
      <c r="BH35" s="42">
        <v>0</v>
      </c>
      <c r="BI35" s="117"/>
      <c r="BJ35" s="170"/>
      <c r="BK35" s="162">
        <v>3</v>
      </c>
      <c r="BL35" s="170">
        <v>3</v>
      </c>
      <c r="BM35" s="28">
        <f t="shared" si="1"/>
        <v>306</v>
      </c>
      <c r="BN35" s="44">
        <f t="shared" si="1"/>
        <v>3786</v>
      </c>
      <c r="BO35" s="224"/>
      <c r="BP35" s="6"/>
      <c r="BQ35" s="56">
        <v>14</v>
      </c>
      <c r="BR35" s="57">
        <v>23</v>
      </c>
      <c r="BS35" s="117"/>
      <c r="BT35" s="127"/>
      <c r="BU35" s="117"/>
      <c r="BV35" s="170"/>
      <c r="BW35" s="228">
        <v>11</v>
      </c>
      <c r="BX35" s="229">
        <v>111</v>
      </c>
      <c r="BY35" s="117"/>
      <c r="BZ35" s="127"/>
      <c r="CA35" s="117"/>
      <c r="CB35" s="170"/>
      <c r="CC35" s="228">
        <v>0</v>
      </c>
      <c r="CD35" s="230">
        <v>0</v>
      </c>
      <c r="CE35" s="117"/>
      <c r="CF35" s="127"/>
      <c r="CG35" s="152"/>
      <c r="CH35" s="170"/>
      <c r="CI35" s="28">
        <f t="shared" si="2"/>
        <v>25</v>
      </c>
      <c r="CJ35" s="45">
        <f t="shared" si="2"/>
        <v>134</v>
      </c>
      <c r="CK35" s="224"/>
      <c r="CL35" s="60"/>
      <c r="CM35" s="231"/>
      <c r="CN35" s="60"/>
      <c r="CO35" s="117"/>
      <c r="CP35" s="170"/>
      <c r="CQ35" s="117"/>
      <c r="CR35" s="170"/>
      <c r="CS35" s="228">
        <v>11</v>
      </c>
      <c r="CT35" s="232">
        <v>59</v>
      </c>
    </row>
    <row r="36" spans="1:98" ht="15.75" thickBot="1" x14ac:dyDescent="0.3">
      <c r="A36" s="368" t="s">
        <v>21</v>
      </c>
      <c r="B36" s="104"/>
      <c r="C36" s="28">
        <v>78</v>
      </c>
      <c r="D36" s="29">
        <v>198</v>
      </c>
      <c r="E36" s="113"/>
      <c r="F36" s="166"/>
      <c r="G36" s="143"/>
      <c r="H36" s="147"/>
      <c r="I36" s="28">
        <v>37</v>
      </c>
      <c r="J36" s="29">
        <v>179</v>
      </c>
      <c r="K36" s="113"/>
      <c r="L36" s="166"/>
      <c r="M36" s="143"/>
      <c r="N36" s="147"/>
      <c r="O36" s="28">
        <v>133</v>
      </c>
      <c r="P36" s="30">
        <v>233</v>
      </c>
      <c r="Q36" s="116"/>
      <c r="R36" s="116"/>
      <c r="S36" s="116"/>
      <c r="T36" s="116"/>
      <c r="U36" s="109">
        <f t="shared" si="0"/>
        <v>248</v>
      </c>
      <c r="V36" s="31">
        <f t="shared" si="0"/>
        <v>610</v>
      </c>
      <c r="W36" s="105"/>
      <c r="X36" s="3"/>
      <c r="Y36" s="43"/>
      <c r="Z36" s="29"/>
      <c r="AA36" s="113"/>
      <c r="AB36" s="166"/>
      <c r="AC36" s="143"/>
      <c r="AD36" s="147"/>
      <c r="AE36" s="28"/>
      <c r="AF36" s="29"/>
      <c r="AG36" s="113"/>
      <c r="AH36" s="114"/>
      <c r="AI36" s="131"/>
      <c r="AJ36" s="166"/>
      <c r="AK36" s="28"/>
      <c r="AL36" s="45"/>
      <c r="AM36" s="113"/>
      <c r="AN36" s="166"/>
      <c r="AO36" s="162"/>
      <c r="AP36" s="170"/>
      <c r="AQ36" s="108">
        <f t="shared" si="4"/>
        <v>0</v>
      </c>
      <c r="AR36" s="38">
        <f t="shared" si="4"/>
        <v>0</v>
      </c>
      <c r="AS36" s="32"/>
      <c r="AT36" s="3"/>
      <c r="AU36" s="43">
        <v>0</v>
      </c>
      <c r="AV36" s="29">
        <v>0</v>
      </c>
      <c r="AW36" s="113"/>
      <c r="AX36" s="166"/>
      <c r="AY36" s="143"/>
      <c r="AZ36" s="147"/>
      <c r="BA36" s="28">
        <v>301</v>
      </c>
      <c r="BB36" s="29">
        <v>3755</v>
      </c>
      <c r="BC36" s="113"/>
      <c r="BD36" s="114"/>
      <c r="BE36" s="131"/>
      <c r="BF36" s="166"/>
      <c r="BG36" s="28">
        <v>0</v>
      </c>
      <c r="BH36" s="45">
        <v>0</v>
      </c>
      <c r="BI36" s="113"/>
      <c r="BJ36" s="166"/>
      <c r="BK36" s="43"/>
      <c r="BL36" s="29"/>
      <c r="BM36" s="28">
        <f t="shared" si="1"/>
        <v>301</v>
      </c>
      <c r="BN36" s="44">
        <f t="shared" si="1"/>
        <v>3755</v>
      </c>
      <c r="BO36" s="32"/>
      <c r="BP36" s="3"/>
      <c r="BQ36" s="94">
        <v>14</v>
      </c>
      <c r="BR36" s="95">
        <v>23</v>
      </c>
      <c r="BS36" s="117"/>
      <c r="BT36" s="127"/>
      <c r="BU36" s="117"/>
      <c r="BV36" s="170"/>
      <c r="BW36" s="28">
        <v>11</v>
      </c>
      <c r="BX36" s="29">
        <v>111</v>
      </c>
      <c r="BY36" s="117"/>
      <c r="BZ36" s="127"/>
      <c r="CA36" s="117"/>
      <c r="CB36" s="170"/>
      <c r="CC36" s="28">
        <v>0</v>
      </c>
      <c r="CD36" s="45">
        <v>0</v>
      </c>
      <c r="CE36" s="117"/>
      <c r="CF36" s="127"/>
      <c r="CG36" s="152"/>
      <c r="CH36" s="170"/>
      <c r="CI36" s="28">
        <f t="shared" si="2"/>
        <v>25</v>
      </c>
      <c r="CJ36" s="45">
        <f t="shared" si="2"/>
        <v>134</v>
      </c>
      <c r="CK36" s="32"/>
      <c r="CL36" s="106"/>
      <c r="CM36" s="32">
        <v>0</v>
      </c>
      <c r="CN36" s="106"/>
      <c r="CO36" s="117"/>
      <c r="CP36" s="170"/>
      <c r="CQ36" s="117"/>
      <c r="CR36" s="170"/>
      <c r="CS36" s="28">
        <v>11</v>
      </c>
      <c r="CT36" s="32">
        <v>59</v>
      </c>
    </row>
    <row r="37" spans="1:98" ht="15.75" thickBot="1" x14ac:dyDescent="0.3">
      <c r="M37" s="195"/>
      <c r="N37" s="196"/>
      <c r="U37" s="109">
        <f t="shared" si="0"/>
        <v>0</v>
      </c>
      <c r="V37" s="31">
        <f t="shared" si="0"/>
        <v>0</v>
      </c>
      <c r="AQ37" s="108">
        <f t="shared" si="4"/>
        <v>0</v>
      </c>
      <c r="AR37" s="38">
        <f t="shared" si="4"/>
        <v>0</v>
      </c>
      <c r="AY37" s="145"/>
      <c r="AZ37" s="150"/>
      <c r="BD37" s="122"/>
      <c r="BE37" s="134"/>
      <c r="BK37"/>
      <c r="BL37"/>
      <c r="BM37" s="28">
        <f t="shared" si="1"/>
        <v>0</v>
      </c>
      <c r="BN37" s="44">
        <f t="shared" si="1"/>
        <v>0</v>
      </c>
      <c r="BQ37" s="310">
        <v>14</v>
      </c>
      <c r="BR37" s="310">
        <v>23</v>
      </c>
      <c r="BW37" s="228">
        <v>11</v>
      </c>
      <c r="BX37" s="229">
        <v>111</v>
      </c>
      <c r="CC37" s="228">
        <v>0</v>
      </c>
      <c r="CD37" s="230">
        <v>0</v>
      </c>
      <c r="CG37" s="198"/>
      <c r="CH37" s="197"/>
      <c r="CI37" s="28">
        <f t="shared" si="2"/>
        <v>25</v>
      </c>
      <c r="CJ37" s="45">
        <f t="shared" si="2"/>
        <v>134</v>
      </c>
      <c r="CS37" s="374">
        <v>11</v>
      </c>
      <c r="CT37" s="374">
        <v>59</v>
      </c>
    </row>
    <row r="38" spans="1:98" s="184" customFormat="1" x14ac:dyDescent="0.25">
      <c r="Y38" s="203"/>
      <c r="Z38" s="204"/>
      <c r="AA38" s="204"/>
      <c r="AB38" s="204"/>
      <c r="AC38" s="204"/>
      <c r="AD38" s="204"/>
      <c r="AE38" s="204"/>
    </row>
    <row r="39" spans="1:98" s="184" customFormat="1" x14ac:dyDescent="0.25">
      <c r="H39" s="203" t="s">
        <v>30</v>
      </c>
      <c r="I39" s="203" t="s">
        <v>31</v>
      </c>
      <c r="J39" s="203" t="s">
        <v>32</v>
      </c>
      <c r="Y39" s="205"/>
    </row>
    <row r="40" spans="1:98" s="184" customFormat="1" x14ac:dyDescent="0.25">
      <c r="H40" s="311">
        <v>45932</v>
      </c>
      <c r="I40" s="184">
        <f>U6+AQ6+BM6+CI6</f>
        <v>3094</v>
      </c>
      <c r="J40" s="184">
        <f>V6+AR6+BN6+CJ6</f>
        <v>13281</v>
      </c>
      <c r="Y40" s="206"/>
    </row>
    <row r="41" spans="1:98" s="184" customFormat="1" x14ac:dyDescent="0.25">
      <c r="H41" s="311">
        <v>45939</v>
      </c>
      <c r="I41" s="184">
        <f>U13+AQ13+BM13+CI13</f>
        <v>2832</v>
      </c>
      <c r="J41" s="184">
        <f>V13+AR13+BN13+CJ13</f>
        <v>12374</v>
      </c>
    </row>
    <row r="42" spans="1:98" s="184" customFormat="1" x14ac:dyDescent="0.25">
      <c r="H42" s="311">
        <v>45946</v>
      </c>
      <c r="I42" s="184">
        <f>U20+AQ20+BM20+CI20</f>
        <v>2568</v>
      </c>
      <c r="J42" s="184">
        <f>V20+AR20+BN20+CJ20</f>
        <v>11215</v>
      </c>
    </row>
    <row r="43" spans="1:98" s="184" customFormat="1" x14ac:dyDescent="0.25">
      <c r="H43" s="311">
        <v>45951</v>
      </c>
      <c r="I43" s="184">
        <f>U26+AQ26+BM26+CI26</f>
        <v>2230</v>
      </c>
      <c r="J43" s="184">
        <f>V26+AR26+BN26+CJ26</f>
        <v>9171</v>
      </c>
    </row>
    <row r="44" spans="1:98" s="184" customFormat="1" x14ac:dyDescent="0.25">
      <c r="H44" s="311">
        <v>45960</v>
      </c>
      <c r="I44" s="184">
        <f>U34+AQ34+BM34+CI34</f>
        <v>1849</v>
      </c>
      <c r="J44" s="184">
        <f>V34+AR34+BN34+CJ34</f>
        <v>7840</v>
      </c>
    </row>
    <row r="45" spans="1:98" s="184" customFormat="1" x14ac:dyDescent="0.25"/>
    <row r="46" spans="1:98" s="184" customFormat="1" x14ac:dyDescent="0.25"/>
    <row r="47" spans="1:98" s="184" customFormat="1" x14ac:dyDescent="0.25"/>
    <row r="48" spans="1:98" s="184" customFormat="1" x14ac:dyDescent="0.25"/>
    <row r="49" s="184" customFormat="1" x14ac:dyDescent="0.25"/>
    <row r="50" s="184" customFormat="1" x14ac:dyDescent="0.25"/>
    <row r="51" s="184" customFormat="1" x14ac:dyDescent="0.25"/>
    <row r="52" s="184" customFormat="1" x14ac:dyDescent="0.25"/>
    <row r="53" s="184" customFormat="1" x14ac:dyDescent="0.25"/>
    <row r="54" s="184" customFormat="1" x14ac:dyDescent="0.25"/>
    <row r="55" s="184" customFormat="1" x14ac:dyDescent="0.25"/>
    <row r="56" s="184" customFormat="1" x14ac:dyDescent="0.25"/>
    <row r="57" s="184" customFormat="1" x14ac:dyDescent="0.25"/>
    <row r="58" s="184" customFormat="1" x14ac:dyDescent="0.25"/>
    <row r="59" s="184" customFormat="1" x14ac:dyDescent="0.25"/>
    <row r="60" s="184" customFormat="1" x14ac:dyDescent="0.25"/>
    <row r="61" s="184" customFormat="1" x14ac:dyDescent="0.25"/>
    <row r="62" s="184" customFormat="1" x14ac:dyDescent="0.25"/>
    <row r="63" s="184" customFormat="1" x14ac:dyDescent="0.25"/>
    <row r="64" s="184" customFormat="1" x14ac:dyDescent="0.25"/>
    <row r="65" s="184" customFormat="1" x14ac:dyDescent="0.25"/>
    <row r="66" s="184" customFormat="1" x14ac:dyDescent="0.25"/>
    <row r="67" s="184" customFormat="1" x14ac:dyDescent="0.25"/>
    <row r="68" s="184" customFormat="1" x14ac:dyDescent="0.25"/>
    <row r="69" s="184" customFormat="1" x14ac:dyDescent="0.25"/>
    <row r="70" s="184" customFormat="1" x14ac:dyDescent="0.25"/>
    <row r="71" s="184" customFormat="1" x14ac:dyDescent="0.25"/>
    <row r="72" s="184" customFormat="1" x14ac:dyDescent="0.25"/>
    <row r="73" s="184" customFormat="1" x14ac:dyDescent="0.25"/>
    <row r="74" s="184" customFormat="1" x14ac:dyDescent="0.25"/>
    <row r="75" s="184" customFormat="1" x14ac:dyDescent="0.25"/>
    <row r="76" s="184" customFormat="1" x14ac:dyDescent="0.25"/>
    <row r="77" s="184" customFormat="1" x14ac:dyDescent="0.25"/>
    <row r="78" s="184" customFormat="1" x14ac:dyDescent="0.25"/>
    <row r="79" s="184" customFormat="1" x14ac:dyDescent="0.25"/>
    <row r="80" s="184" customFormat="1" x14ac:dyDescent="0.25"/>
    <row r="81" spans="50:53" s="184" customFormat="1" x14ac:dyDescent="0.25"/>
    <row r="82" spans="50:53" s="184" customFormat="1" x14ac:dyDescent="0.25"/>
    <row r="83" spans="50:53" s="184" customFormat="1" x14ac:dyDescent="0.25">
      <c r="AX83" s="185"/>
      <c r="AY83" s="163"/>
      <c r="AZ83" s="185"/>
      <c r="BA83" s="163"/>
    </row>
    <row r="84" spans="50:53" s="184" customFormat="1" x14ac:dyDescent="0.25">
      <c r="AX84" s="185"/>
      <c r="AY84" s="163"/>
      <c r="AZ84" s="185"/>
      <c r="BA84" s="163"/>
    </row>
    <row r="85" spans="50:53" s="184" customFormat="1" x14ac:dyDescent="0.25">
      <c r="AX85" s="185"/>
      <c r="AY85" s="163"/>
      <c r="AZ85" s="185"/>
      <c r="BA85" s="163"/>
    </row>
    <row r="86" spans="50:53" s="184" customFormat="1" x14ac:dyDescent="0.25">
      <c r="AX86" s="185"/>
      <c r="AY86" s="163"/>
      <c r="AZ86" s="185"/>
      <c r="BA86" s="163"/>
    </row>
    <row r="87" spans="50:53" s="184" customFormat="1" x14ac:dyDescent="0.25">
      <c r="AX87" s="185"/>
      <c r="AY87" s="163"/>
      <c r="AZ87" s="185"/>
      <c r="BA87" s="163"/>
    </row>
    <row r="88" spans="50:53" s="184" customFormat="1" x14ac:dyDescent="0.25">
      <c r="AX88" s="185"/>
      <c r="AY88" s="163"/>
      <c r="AZ88" s="185"/>
      <c r="BA88" s="163"/>
    </row>
    <row r="89" spans="50:53" s="184" customFormat="1" x14ac:dyDescent="0.25">
      <c r="AX89" s="185"/>
      <c r="AY89" s="163"/>
      <c r="AZ89" s="185"/>
      <c r="BA89" s="163"/>
    </row>
    <row r="90" spans="50:53" s="184" customFormat="1" x14ac:dyDescent="0.25">
      <c r="AX90" s="185"/>
      <c r="AY90" s="163"/>
      <c r="AZ90" s="185"/>
      <c r="BA90" s="163"/>
    </row>
    <row r="91" spans="50:53" s="184" customFormat="1" x14ac:dyDescent="0.25">
      <c r="AX91" s="185"/>
      <c r="AY91" s="163"/>
      <c r="AZ91" s="185"/>
      <c r="BA91" s="163"/>
    </row>
    <row r="92" spans="50:53" s="184" customFormat="1" x14ac:dyDescent="0.25">
      <c r="AX92" s="185"/>
      <c r="AY92" s="163"/>
      <c r="AZ92" s="185"/>
      <c r="BA92" s="163"/>
    </row>
    <row r="93" spans="50:53" s="184" customFormat="1" x14ac:dyDescent="0.25">
      <c r="AX93" s="185"/>
      <c r="AY93" s="163"/>
      <c r="AZ93" s="185"/>
      <c r="BA93" s="163"/>
    </row>
    <row r="94" spans="50:53" s="184" customFormat="1" x14ac:dyDescent="0.25">
      <c r="AX94" s="185"/>
      <c r="AY94" s="163"/>
      <c r="AZ94" s="185"/>
      <c r="BA94" s="163"/>
    </row>
    <row r="95" spans="50:53" s="184" customFormat="1" x14ac:dyDescent="0.25">
      <c r="AX95" s="185"/>
      <c r="AY95" s="163"/>
      <c r="AZ95" s="185"/>
      <c r="BA95" s="163"/>
    </row>
    <row r="96" spans="50:53" s="184" customFormat="1" x14ac:dyDescent="0.25">
      <c r="AX96" s="185"/>
      <c r="AY96" s="163"/>
      <c r="AZ96" s="185"/>
      <c r="BA96" s="163"/>
    </row>
    <row r="97" spans="50:53" s="184" customFormat="1" x14ac:dyDescent="0.25">
      <c r="AX97" s="185"/>
      <c r="AY97" s="163"/>
      <c r="AZ97" s="185"/>
      <c r="BA97" s="163"/>
    </row>
    <row r="98" spans="50:53" s="184" customFormat="1" x14ac:dyDescent="0.25">
      <c r="AX98" s="185"/>
      <c r="AY98" s="163"/>
      <c r="AZ98" s="185"/>
      <c r="BA98" s="163"/>
    </row>
    <row r="99" spans="50:53" s="184" customFormat="1" x14ac:dyDescent="0.25">
      <c r="AX99" s="185"/>
      <c r="AY99" s="163"/>
      <c r="AZ99" s="185"/>
      <c r="BA99" s="163"/>
    </row>
    <row r="100" spans="50:53" s="184" customFormat="1" x14ac:dyDescent="0.25">
      <c r="AX100" s="185"/>
      <c r="AY100" s="163"/>
      <c r="AZ100" s="185"/>
      <c r="BA100" s="163"/>
    </row>
    <row r="101" spans="50:53" s="184" customFormat="1" x14ac:dyDescent="0.25">
      <c r="AX101" s="185"/>
      <c r="AY101" s="163"/>
      <c r="AZ101" s="185"/>
      <c r="BA101" s="163"/>
    </row>
    <row r="102" spans="50:53" s="184" customFormat="1" x14ac:dyDescent="0.25">
      <c r="AX102" s="185"/>
      <c r="AY102" s="163"/>
      <c r="AZ102" s="185"/>
      <c r="BA102" s="163"/>
    </row>
    <row r="103" spans="50:53" s="184" customFormat="1" x14ac:dyDescent="0.25">
      <c r="AX103" s="185"/>
      <c r="AY103" s="163"/>
      <c r="AZ103" s="185"/>
      <c r="BA103" s="163"/>
    </row>
    <row r="104" spans="50:53" s="184" customFormat="1" x14ac:dyDescent="0.25">
      <c r="AX104" s="185"/>
      <c r="AY104" s="163"/>
      <c r="AZ104" s="185"/>
      <c r="BA104" s="163"/>
    </row>
    <row r="105" spans="50:53" s="184" customFormat="1" x14ac:dyDescent="0.25">
      <c r="AX105" s="185"/>
      <c r="AY105" s="163"/>
      <c r="AZ105" s="185"/>
      <c r="BA105" s="163"/>
    </row>
    <row r="106" spans="50:53" s="184" customFormat="1" x14ac:dyDescent="0.25">
      <c r="AX106" s="185"/>
      <c r="AY106" s="163"/>
      <c r="AZ106" s="185"/>
      <c r="BA106" s="163"/>
    </row>
    <row r="107" spans="50:53" s="184" customFormat="1" x14ac:dyDescent="0.25">
      <c r="AX107" s="185"/>
      <c r="AY107" s="163"/>
      <c r="AZ107" s="185"/>
      <c r="BA107" s="163"/>
    </row>
    <row r="108" spans="50:53" s="184" customFormat="1" x14ac:dyDescent="0.25">
      <c r="AX108" s="185"/>
      <c r="AY108" s="163"/>
      <c r="AZ108" s="185"/>
      <c r="BA108" s="163"/>
    </row>
    <row r="109" spans="50:53" s="184" customFormat="1" x14ac:dyDescent="0.25">
      <c r="AX109" s="185"/>
      <c r="AY109" s="163"/>
      <c r="AZ109" s="185"/>
      <c r="BA109" s="163"/>
    </row>
    <row r="110" spans="50:53" s="184" customFormat="1" x14ac:dyDescent="0.25">
      <c r="AX110" s="185"/>
      <c r="AY110" s="163"/>
      <c r="AZ110" s="185"/>
      <c r="BA110" s="163"/>
    </row>
    <row r="111" spans="50:53" s="184" customFormat="1" x14ac:dyDescent="0.25">
      <c r="AX111" s="185"/>
      <c r="AY111" s="163"/>
      <c r="AZ111" s="185"/>
      <c r="BA111" s="163"/>
    </row>
    <row r="112" spans="50:53" s="184" customFormat="1" x14ac:dyDescent="0.25">
      <c r="AX112" s="185"/>
      <c r="AY112" s="163"/>
      <c r="AZ112" s="185"/>
      <c r="BA112" s="163"/>
    </row>
    <row r="113" spans="50:53" s="184" customFormat="1" x14ac:dyDescent="0.25">
      <c r="AX113" s="185"/>
      <c r="AY113" s="163"/>
      <c r="AZ113" s="185"/>
      <c r="BA113" s="163"/>
    </row>
    <row r="114" spans="50:53" s="184" customFormat="1" x14ac:dyDescent="0.25">
      <c r="AX114" s="185"/>
      <c r="AY114" s="163"/>
      <c r="AZ114" s="185"/>
      <c r="BA114" s="163"/>
    </row>
    <row r="115" spans="50:53" s="184" customFormat="1" x14ac:dyDescent="0.25">
      <c r="AX115" s="185"/>
      <c r="AY115" s="163"/>
      <c r="AZ115" s="185"/>
      <c r="BA115" s="163"/>
    </row>
    <row r="116" spans="50:53" s="184" customFormat="1" x14ac:dyDescent="0.25">
      <c r="AX116" s="185"/>
      <c r="AY116" s="163"/>
      <c r="AZ116" s="185"/>
      <c r="BA116" s="163"/>
    </row>
    <row r="117" spans="50:53" s="184" customFormat="1" x14ac:dyDescent="0.25">
      <c r="AX117" s="185"/>
      <c r="AY117" s="163"/>
      <c r="AZ117" s="185"/>
      <c r="BA117" s="163"/>
    </row>
    <row r="118" spans="50:53" s="184" customFormat="1" x14ac:dyDescent="0.25">
      <c r="AX118" s="185"/>
      <c r="AY118" s="163"/>
      <c r="AZ118" s="185"/>
      <c r="BA118" s="163"/>
    </row>
    <row r="119" spans="50:53" s="184" customFormat="1" x14ac:dyDescent="0.25">
      <c r="AX119" s="185"/>
      <c r="AY119" s="163"/>
      <c r="AZ119" s="185"/>
      <c r="BA119" s="163"/>
    </row>
    <row r="120" spans="50:53" s="184" customFormat="1" x14ac:dyDescent="0.25">
      <c r="AX120" s="185"/>
      <c r="AY120" s="163"/>
      <c r="AZ120" s="185"/>
      <c r="BA120" s="163"/>
    </row>
    <row r="121" spans="50:53" s="184" customFormat="1" x14ac:dyDescent="0.25">
      <c r="AX121" s="185"/>
      <c r="AY121" s="163"/>
      <c r="AZ121" s="185"/>
      <c r="BA121" s="163"/>
    </row>
    <row r="122" spans="50:53" s="184" customFormat="1" x14ac:dyDescent="0.25">
      <c r="AX122" s="185"/>
      <c r="AY122" s="163"/>
      <c r="AZ122" s="185"/>
      <c r="BA122" s="163"/>
    </row>
    <row r="123" spans="50:53" s="184" customFormat="1" x14ac:dyDescent="0.25">
      <c r="AX123" s="185"/>
      <c r="AY123" s="163"/>
      <c r="AZ123" s="185"/>
      <c r="BA123" s="163"/>
    </row>
    <row r="124" spans="50:53" s="184" customFormat="1" x14ac:dyDescent="0.25">
      <c r="AX124" s="185"/>
      <c r="AY124" s="163"/>
      <c r="AZ124" s="185"/>
      <c r="BA124" s="163"/>
    </row>
    <row r="125" spans="50:53" s="184" customFormat="1" x14ac:dyDescent="0.25">
      <c r="AX125" s="185"/>
      <c r="AY125" s="163"/>
      <c r="AZ125" s="185"/>
      <c r="BA125" s="163"/>
    </row>
    <row r="126" spans="50:53" s="184" customFormat="1" x14ac:dyDescent="0.25">
      <c r="AX126" s="185"/>
      <c r="AY126" s="163"/>
      <c r="AZ126" s="185"/>
      <c r="BA126" s="163"/>
    </row>
    <row r="127" spans="50:53" s="184" customFormat="1" x14ac:dyDescent="0.25">
      <c r="AX127" s="185"/>
      <c r="AY127" s="163"/>
      <c r="AZ127" s="185"/>
      <c r="BA127" s="163"/>
    </row>
    <row r="128" spans="50:53" s="184" customFormat="1" x14ac:dyDescent="0.25">
      <c r="AX128" s="185"/>
      <c r="AY128" s="163"/>
      <c r="AZ128" s="185"/>
      <c r="BA128" s="163"/>
    </row>
    <row r="129" spans="50:53" s="184" customFormat="1" x14ac:dyDescent="0.25">
      <c r="AX129" s="185"/>
      <c r="AY129" s="163"/>
      <c r="AZ129" s="185"/>
      <c r="BA129" s="163"/>
    </row>
    <row r="130" spans="50:53" s="184" customFormat="1" x14ac:dyDescent="0.25">
      <c r="AX130" s="185"/>
      <c r="AY130" s="163"/>
      <c r="AZ130" s="185"/>
      <c r="BA130" s="163"/>
    </row>
    <row r="131" spans="50:53" s="184" customFormat="1" x14ac:dyDescent="0.25">
      <c r="AX131" s="185"/>
      <c r="AY131" s="163"/>
      <c r="AZ131" s="185"/>
      <c r="BA131" s="163"/>
    </row>
    <row r="132" spans="50:53" s="184" customFormat="1" x14ac:dyDescent="0.25">
      <c r="AX132" s="185"/>
      <c r="AY132" s="163"/>
      <c r="AZ132" s="185"/>
      <c r="BA132" s="163"/>
    </row>
    <row r="133" spans="50:53" s="184" customFormat="1" x14ac:dyDescent="0.25">
      <c r="AX133" s="185"/>
      <c r="AY133" s="163"/>
      <c r="AZ133" s="185"/>
      <c r="BA133" s="163"/>
    </row>
    <row r="134" spans="50:53" s="184" customFormat="1" x14ac:dyDescent="0.25">
      <c r="AX134" s="185"/>
      <c r="AY134" s="163"/>
      <c r="AZ134" s="185"/>
      <c r="BA134" s="163"/>
    </row>
    <row r="135" spans="50:53" s="184" customFormat="1" x14ac:dyDescent="0.25">
      <c r="AX135" s="185"/>
      <c r="AY135" s="163"/>
      <c r="AZ135" s="185"/>
      <c r="BA135" s="163"/>
    </row>
    <row r="136" spans="50:53" s="184" customFormat="1" x14ac:dyDescent="0.25">
      <c r="AX136" s="185"/>
      <c r="AY136" s="163"/>
      <c r="AZ136" s="185"/>
      <c r="BA136" s="163"/>
    </row>
    <row r="137" spans="50:53" s="184" customFormat="1" x14ac:dyDescent="0.25">
      <c r="AX137" s="185"/>
      <c r="AY137" s="163"/>
      <c r="AZ137" s="185"/>
      <c r="BA137" s="163"/>
    </row>
    <row r="138" spans="50:53" s="184" customFormat="1" x14ac:dyDescent="0.25">
      <c r="AX138" s="185"/>
      <c r="AY138" s="163"/>
      <c r="AZ138" s="185"/>
      <c r="BA138" s="163"/>
    </row>
    <row r="139" spans="50:53" s="184" customFormat="1" x14ac:dyDescent="0.25">
      <c r="AX139" s="185"/>
      <c r="AY139" s="163"/>
      <c r="AZ139" s="185"/>
      <c r="BA139" s="163"/>
    </row>
    <row r="140" spans="50:53" s="184" customFormat="1" x14ac:dyDescent="0.25">
      <c r="AX140" s="185"/>
      <c r="AY140" s="163"/>
      <c r="AZ140" s="185"/>
      <c r="BA140" s="163"/>
    </row>
    <row r="141" spans="50:53" s="184" customFormat="1" x14ac:dyDescent="0.25">
      <c r="AX141" s="185"/>
      <c r="AY141" s="163"/>
      <c r="AZ141" s="185"/>
      <c r="BA141" s="163"/>
    </row>
    <row r="142" spans="50:53" s="184" customFormat="1" x14ac:dyDescent="0.25">
      <c r="AX142" s="185"/>
      <c r="AY142" s="163"/>
      <c r="AZ142" s="185"/>
      <c r="BA142" s="163"/>
    </row>
    <row r="143" spans="50:53" s="184" customFormat="1" x14ac:dyDescent="0.25">
      <c r="AX143" s="185"/>
      <c r="AY143" s="163"/>
      <c r="AZ143" s="185"/>
      <c r="BA143" s="163"/>
    </row>
    <row r="144" spans="50:53" s="184" customFormat="1" x14ac:dyDescent="0.25">
      <c r="AX144" s="185"/>
      <c r="AY144" s="163"/>
      <c r="AZ144" s="185"/>
      <c r="BA144" s="163"/>
    </row>
    <row r="145" spans="50:53" s="184" customFormat="1" x14ac:dyDescent="0.25">
      <c r="AX145" s="185"/>
      <c r="AY145" s="163"/>
      <c r="AZ145" s="185"/>
      <c r="BA145" s="163"/>
    </row>
    <row r="146" spans="50:53" s="184" customFormat="1" x14ac:dyDescent="0.25">
      <c r="AX146" s="185"/>
      <c r="AY146" s="163"/>
      <c r="AZ146" s="185"/>
      <c r="BA146" s="163"/>
    </row>
    <row r="147" spans="50:53" s="184" customFormat="1" x14ac:dyDescent="0.25">
      <c r="AX147" s="185"/>
      <c r="AY147" s="163"/>
      <c r="AZ147" s="185"/>
      <c r="BA147" s="163"/>
    </row>
    <row r="148" spans="50:53" s="184" customFormat="1" x14ac:dyDescent="0.25">
      <c r="AX148" s="185"/>
      <c r="AY148" s="163"/>
      <c r="AZ148" s="185"/>
      <c r="BA148" s="163"/>
    </row>
    <row r="149" spans="50:53" s="184" customFormat="1" x14ac:dyDescent="0.25">
      <c r="AX149" s="185"/>
      <c r="AY149" s="163"/>
      <c r="AZ149" s="185"/>
      <c r="BA149" s="163"/>
    </row>
    <row r="150" spans="50:53" s="184" customFormat="1" x14ac:dyDescent="0.25">
      <c r="AX150" s="185"/>
      <c r="AY150" s="163"/>
      <c r="AZ150" s="185"/>
      <c r="BA150" s="163"/>
    </row>
    <row r="151" spans="50:53" s="184" customFormat="1" x14ac:dyDescent="0.25">
      <c r="AX151" s="185"/>
      <c r="AY151" s="163"/>
      <c r="AZ151" s="185"/>
      <c r="BA151" s="163"/>
    </row>
    <row r="152" spans="50:53" s="184" customFormat="1" x14ac:dyDescent="0.25">
      <c r="AX152" s="185"/>
      <c r="AY152" s="163"/>
      <c r="AZ152" s="185"/>
      <c r="BA152" s="163"/>
    </row>
    <row r="153" spans="50:53" s="184" customFormat="1" x14ac:dyDescent="0.25">
      <c r="AX153" s="185"/>
      <c r="AY153" s="163"/>
      <c r="AZ153" s="185"/>
      <c r="BA153" s="163"/>
    </row>
    <row r="154" spans="50:53" s="184" customFormat="1" x14ac:dyDescent="0.25">
      <c r="AX154" s="185"/>
      <c r="AY154" s="163"/>
      <c r="AZ154" s="185"/>
      <c r="BA154" s="163"/>
    </row>
    <row r="155" spans="50:53" s="184" customFormat="1" x14ac:dyDescent="0.25">
      <c r="AX155" s="185"/>
      <c r="AY155" s="163"/>
      <c r="AZ155" s="185"/>
      <c r="BA155" s="163"/>
    </row>
    <row r="156" spans="50:53" s="184" customFormat="1" x14ac:dyDescent="0.25">
      <c r="AX156" s="185"/>
      <c r="AY156" s="163"/>
      <c r="AZ156" s="185"/>
      <c r="BA156" s="163"/>
    </row>
    <row r="157" spans="50:53" s="184" customFormat="1" x14ac:dyDescent="0.25">
      <c r="AX157" s="185"/>
      <c r="AY157" s="163"/>
      <c r="AZ157" s="185"/>
      <c r="BA157" s="163"/>
    </row>
    <row r="158" spans="50:53" s="184" customFormat="1" x14ac:dyDescent="0.25">
      <c r="AX158" s="185"/>
      <c r="AY158" s="163"/>
      <c r="AZ158" s="185"/>
      <c r="BA158" s="163"/>
    </row>
    <row r="159" spans="50:53" s="184" customFormat="1" x14ac:dyDescent="0.25">
      <c r="AX159" s="185"/>
      <c r="AY159" s="163"/>
      <c r="AZ159" s="185"/>
      <c r="BA159" s="163"/>
    </row>
    <row r="160" spans="50:53" s="184" customFormat="1" x14ac:dyDescent="0.25">
      <c r="AX160" s="185"/>
      <c r="AY160" s="163"/>
      <c r="AZ160" s="185"/>
      <c r="BA160" s="163"/>
    </row>
    <row r="161" spans="50:53" s="184" customFormat="1" x14ac:dyDescent="0.25">
      <c r="AX161" s="185"/>
      <c r="AY161" s="163"/>
      <c r="AZ161" s="185"/>
      <c r="BA161" s="163"/>
    </row>
    <row r="162" spans="50:53" s="184" customFormat="1" x14ac:dyDescent="0.25">
      <c r="AX162" s="185"/>
      <c r="AY162" s="163"/>
      <c r="AZ162" s="185"/>
      <c r="BA162" s="163"/>
    </row>
    <row r="163" spans="50:53" s="184" customFormat="1" x14ac:dyDescent="0.25">
      <c r="AX163" s="185"/>
      <c r="AY163" s="163"/>
      <c r="AZ163" s="185"/>
      <c r="BA163" s="163"/>
    </row>
    <row r="164" spans="50:53" s="184" customFormat="1" x14ac:dyDescent="0.25">
      <c r="AX164" s="185"/>
      <c r="AY164" s="163"/>
      <c r="AZ164" s="185"/>
      <c r="BA164" s="163"/>
    </row>
    <row r="165" spans="50:53" s="184" customFormat="1" x14ac:dyDescent="0.25">
      <c r="AX165" s="185"/>
      <c r="AY165" s="163"/>
      <c r="AZ165" s="185"/>
      <c r="BA165" s="163"/>
    </row>
    <row r="166" spans="50:53" s="184" customFormat="1" x14ac:dyDescent="0.25">
      <c r="AX166" s="185"/>
      <c r="AY166" s="163"/>
      <c r="AZ166" s="185"/>
      <c r="BA166" s="163"/>
    </row>
    <row r="167" spans="50:53" s="184" customFormat="1" x14ac:dyDescent="0.25">
      <c r="AX167" s="185"/>
      <c r="AY167" s="163"/>
      <c r="AZ167" s="185"/>
      <c r="BA167" s="163"/>
    </row>
    <row r="168" spans="50:53" s="184" customFormat="1" x14ac:dyDescent="0.25">
      <c r="AX168" s="185"/>
      <c r="AY168" s="163"/>
      <c r="AZ168" s="185"/>
      <c r="BA168" s="163"/>
    </row>
    <row r="169" spans="50:53" s="184" customFormat="1" x14ac:dyDescent="0.25">
      <c r="AX169" s="185"/>
      <c r="AY169" s="163"/>
      <c r="AZ169" s="185"/>
      <c r="BA169" s="163"/>
    </row>
    <row r="170" spans="50:53" s="184" customFormat="1" x14ac:dyDescent="0.25">
      <c r="AX170" s="185"/>
      <c r="AY170" s="163"/>
      <c r="AZ170" s="185"/>
      <c r="BA170" s="163"/>
    </row>
    <row r="171" spans="50:53" s="184" customFormat="1" x14ac:dyDescent="0.25">
      <c r="AX171" s="185"/>
      <c r="AY171" s="163"/>
      <c r="AZ171" s="185"/>
      <c r="BA171" s="163"/>
    </row>
    <row r="172" spans="50:53" s="184" customFormat="1" x14ac:dyDescent="0.25">
      <c r="AX172" s="185"/>
      <c r="AY172" s="163"/>
      <c r="AZ172" s="185"/>
      <c r="BA172" s="163"/>
    </row>
    <row r="173" spans="50:53" s="184" customFormat="1" x14ac:dyDescent="0.25">
      <c r="AX173" s="185"/>
      <c r="AY173" s="163"/>
      <c r="AZ173" s="185"/>
      <c r="BA173" s="163"/>
    </row>
    <row r="174" spans="50:53" s="184" customFormat="1" x14ac:dyDescent="0.25">
      <c r="AX174" s="185"/>
      <c r="AY174" s="163"/>
      <c r="AZ174" s="185"/>
      <c r="BA174" s="163"/>
    </row>
    <row r="175" spans="50:53" s="184" customFormat="1" x14ac:dyDescent="0.25">
      <c r="AX175" s="185"/>
      <c r="AY175" s="163"/>
      <c r="AZ175" s="185"/>
      <c r="BA175" s="163"/>
    </row>
    <row r="176" spans="50:53" s="184" customFormat="1" x14ac:dyDescent="0.25">
      <c r="AX176" s="185"/>
      <c r="AY176" s="163"/>
      <c r="AZ176" s="185"/>
      <c r="BA176" s="163"/>
    </row>
    <row r="177" spans="50:53" s="184" customFormat="1" x14ac:dyDescent="0.25">
      <c r="AX177" s="185"/>
      <c r="AY177" s="163"/>
      <c r="AZ177" s="185"/>
      <c r="BA177" s="163"/>
    </row>
    <row r="178" spans="50:53" s="184" customFormat="1" x14ac:dyDescent="0.25">
      <c r="AX178" s="185"/>
      <c r="AY178" s="163"/>
      <c r="AZ178" s="185"/>
      <c r="BA178" s="163"/>
    </row>
    <row r="179" spans="50:53" s="184" customFormat="1" x14ac:dyDescent="0.25">
      <c r="AX179" s="185"/>
      <c r="AY179" s="163"/>
      <c r="AZ179" s="185"/>
      <c r="BA179" s="163"/>
    </row>
    <row r="180" spans="50:53" s="184" customFormat="1" x14ac:dyDescent="0.25">
      <c r="AX180" s="185"/>
      <c r="AY180" s="163"/>
      <c r="AZ180" s="185"/>
      <c r="BA180" s="163"/>
    </row>
    <row r="181" spans="50:53" s="184" customFormat="1" x14ac:dyDescent="0.25">
      <c r="AX181" s="185"/>
      <c r="AY181" s="163"/>
      <c r="AZ181" s="185"/>
      <c r="BA181" s="163"/>
    </row>
    <row r="182" spans="50:53" s="184" customFormat="1" x14ac:dyDescent="0.25">
      <c r="AX182" s="185"/>
      <c r="AY182" s="163"/>
      <c r="AZ182" s="185"/>
      <c r="BA182" s="163"/>
    </row>
    <row r="183" spans="50:53" s="184" customFormat="1" x14ac:dyDescent="0.25">
      <c r="AX183" s="185"/>
      <c r="AY183" s="163"/>
      <c r="AZ183" s="185"/>
      <c r="BA183" s="163"/>
    </row>
    <row r="184" spans="50:53" s="184" customFormat="1" x14ac:dyDescent="0.25">
      <c r="AX184" s="185"/>
      <c r="AY184" s="163"/>
      <c r="AZ184" s="185"/>
      <c r="BA184" s="163"/>
    </row>
    <row r="185" spans="50:53" s="184" customFormat="1" x14ac:dyDescent="0.25">
      <c r="AX185" s="185"/>
      <c r="AY185" s="163"/>
      <c r="AZ185" s="185"/>
      <c r="BA185" s="163"/>
    </row>
    <row r="186" spans="50:53" s="184" customFormat="1" x14ac:dyDescent="0.25">
      <c r="AX186" s="185"/>
      <c r="AY186" s="163"/>
      <c r="AZ186" s="185"/>
      <c r="BA186" s="163"/>
    </row>
    <row r="187" spans="50:53" s="184" customFormat="1" x14ac:dyDescent="0.25">
      <c r="AX187" s="185"/>
      <c r="AY187" s="163"/>
      <c r="AZ187" s="185"/>
      <c r="BA187" s="163"/>
    </row>
    <row r="188" spans="50:53" s="184" customFormat="1" x14ac:dyDescent="0.25">
      <c r="AX188" s="185"/>
      <c r="AY188" s="163"/>
      <c r="AZ188" s="185"/>
      <c r="BA188" s="163"/>
    </row>
    <row r="189" spans="50:53" s="184" customFormat="1" x14ac:dyDescent="0.25">
      <c r="AX189" s="185"/>
      <c r="AY189" s="163"/>
      <c r="AZ189" s="185"/>
      <c r="BA189" s="163"/>
    </row>
    <row r="190" spans="50:53" s="184" customFormat="1" x14ac:dyDescent="0.25">
      <c r="AX190" s="185"/>
      <c r="AY190" s="163"/>
      <c r="AZ190" s="185"/>
      <c r="BA190" s="163"/>
    </row>
    <row r="191" spans="50:53" s="184" customFormat="1" x14ac:dyDescent="0.25">
      <c r="AX191" s="185"/>
      <c r="AY191" s="163"/>
      <c r="AZ191" s="185"/>
      <c r="BA191" s="163"/>
    </row>
    <row r="192" spans="50:53" s="184" customFormat="1" x14ac:dyDescent="0.25">
      <c r="AX192" s="185"/>
      <c r="AY192" s="163"/>
      <c r="AZ192" s="185"/>
      <c r="BA192" s="163"/>
    </row>
    <row r="193" spans="50:53" s="184" customFormat="1" x14ac:dyDescent="0.25">
      <c r="AX193" s="185"/>
      <c r="AY193" s="163"/>
      <c r="AZ193" s="185"/>
      <c r="BA193" s="163"/>
    </row>
    <row r="194" spans="50:53" s="184" customFormat="1" x14ac:dyDescent="0.25">
      <c r="AX194" s="185"/>
      <c r="AY194" s="163"/>
      <c r="AZ194" s="185"/>
      <c r="BA194" s="163"/>
    </row>
    <row r="195" spans="50:53" s="184" customFormat="1" x14ac:dyDescent="0.25">
      <c r="AX195" s="185"/>
      <c r="AY195" s="163"/>
      <c r="AZ195" s="185"/>
      <c r="BA195" s="163"/>
    </row>
    <row r="196" spans="50:53" s="184" customFormat="1" x14ac:dyDescent="0.25">
      <c r="AX196" s="185"/>
      <c r="AY196" s="163"/>
      <c r="AZ196" s="185"/>
      <c r="BA196" s="163"/>
    </row>
    <row r="197" spans="50:53" s="184" customFormat="1" x14ac:dyDescent="0.25">
      <c r="AX197" s="185"/>
      <c r="AY197" s="163"/>
      <c r="AZ197" s="185"/>
      <c r="BA197" s="163"/>
    </row>
    <row r="198" spans="50:53" s="184" customFormat="1" x14ac:dyDescent="0.25">
      <c r="AX198" s="185"/>
      <c r="AY198" s="163"/>
      <c r="AZ198" s="185"/>
      <c r="BA198" s="163"/>
    </row>
    <row r="199" spans="50:53" s="184" customFormat="1" x14ac:dyDescent="0.25">
      <c r="AX199" s="185"/>
      <c r="AY199" s="163"/>
      <c r="AZ199" s="185"/>
      <c r="BA199" s="163"/>
    </row>
    <row r="200" spans="50:53" s="184" customFormat="1" x14ac:dyDescent="0.25">
      <c r="AX200" s="185"/>
      <c r="AY200" s="163"/>
      <c r="AZ200" s="185"/>
      <c r="BA200" s="163"/>
    </row>
    <row r="201" spans="50:53" s="184" customFormat="1" x14ac:dyDescent="0.25">
      <c r="AX201" s="185"/>
      <c r="AY201" s="163"/>
      <c r="AZ201" s="185"/>
      <c r="BA201" s="163"/>
    </row>
    <row r="202" spans="50:53" s="184" customFormat="1" x14ac:dyDescent="0.25">
      <c r="AX202" s="185"/>
      <c r="AY202" s="163"/>
      <c r="AZ202" s="185"/>
      <c r="BA202" s="163"/>
    </row>
    <row r="203" spans="50:53" s="184" customFormat="1" x14ac:dyDescent="0.25">
      <c r="AX203" s="185"/>
      <c r="AY203" s="163"/>
      <c r="AZ203" s="185"/>
      <c r="BA203" s="163"/>
    </row>
    <row r="204" spans="50:53" s="184" customFormat="1" x14ac:dyDescent="0.25">
      <c r="AX204" s="185"/>
      <c r="AY204" s="163"/>
      <c r="AZ204" s="185"/>
      <c r="BA204" s="163"/>
    </row>
    <row r="205" spans="50:53" s="184" customFormat="1" x14ac:dyDescent="0.25">
      <c r="AX205" s="185"/>
      <c r="AY205" s="163"/>
      <c r="AZ205" s="185"/>
      <c r="BA205" s="163"/>
    </row>
    <row r="206" spans="50:53" s="184" customFormat="1" x14ac:dyDescent="0.25">
      <c r="AX206" s="185"/>
      <c r="AY206" s="163"/>
      <c r="AZ206" s="185"/>
      <c r="BA206" s="163"/>
    </row>
    <row r="207" spans="50:53" s="184" customFormat="1" x14ac:dyDescent="0.25">
      <c r="AX207" s="185"/>
      <c r="AY207" s="163"/>
      <c r="AZ207" s="185"/>
      <c r="BA207" s="163"/>
    </row>
    <row r="208" spans="50:53" s="184" customFormat="1" x14ac:dyDescent="0.25">
      <c r="AX208" s="185"/>
      <c r="AY208" s="163"/>
      <c r="AZ208" s="185"/>
      <c r="BA208" s="163"/>
    </row>
    <row r="209" spans="50:53" s="184" customFormat="1" x14ac:dyDescent="0.25">
      <c r="AX209" s="185"/>
      <c r="AY209" s="163"/>
      <c r="AZ209" s="185"/>
      <c r="BA209" s="163"/>
    </row>
    <row r="210" spans="50:53" s="184" customFormat="1" x14ac:dyDescent="0.25">
      <c r="AX210" s="185"/>
      <c r="AY210" s="163"/>
      <c r="AZ210" s="185"/>
      <c r="BA210" s="163"/>
    </row>
    <row r="211" spans="50:53" s="184" customFormat="1" x14ac:dyDescent="0.25">
      <c r="AX211" s="185"/>
      <c r="AY211" s="163"/>
      <c r="AZ211" s="185"/>
      <c r="BA211" s="163"/>
    </row>
    <row r="212" spans="50:53" s="184" customFormat="1" x14ac:dyDescent="0.25">
      <c r="AX212" s="185"/>
      <c r="AY212" s="163"/>
      <c r="AZ212" s="185"/>
      <c r="BA212" s="163"/>
    </row>
    <row r="213" spans="50:53" s="184" customFormat="1" x14ac:dyDescent="0.25">
      <c r="AX213" s="185"/>
      <c r="AY213" s="163"/>
      <c r="AZ213" s="185"/>
      <c r="BA213" s="163"/>
    </row>
    <row r="214" spans="50:53" s="184" customFormat="1" x14ac:dyDescent="0.25">
      <c r="AX214" s="185"/>
      <c r="AY214" s="163"/>
      <c r="AZ214" s="185"/>
      <c r="BA214" s="163"/>
    </row>
    <row r="215" spans="50:53" s="184" customFormat="1" x14ac:dyDescent="0.25">
      <c r="AX215" s="185"/>
      <c r="AY215" s="163"/>
      <c r="AZ215" s="185"/>
      <c r="BA215" s="163"/>
    </row>
    <row r="216" spans="50:53" s="184" customFormat="1" x14ac:dyDescent="0.25">
      <c r="AX216" s="185"/>
      <c r="AY216" s="163"/>
      <c r="AZ216" s="185"/>
      <c r="BA216" s="163"/>
    </row>
    <row r="217" spans="50:53" s="184" customFormat="1" x14ac:dyDescent="0.25">
      <c r="AX217" s="185"/>
      <c r="AY217" s="163"/>
      <c r="AZ217" s="185"/>
      <c r="BA217" s="163"/>
    </row>
    <row r="218" spans="50:53" s="184" customFormat="1" x14ac:dyDescent="0.25">
      <c r="AX218" s="185"/>
      <c r="AY218" s="163"/>
      <c r="AZ218" s="185"/>
      <c r="BA218" s="163"/>
    </row>
    <row r="219" spans="50:53" s="184" customFormat="1" x14ac:dyDescent="0.25">
      <c r="AX219" s="185"/>
      <c r="AY219" s="163"/>
      <c r="AZ219" s="185"/>
      <c r="BA219" s="163"/>
    </row>
    <row r="220" spans="50:53" s="184" customFormat="1" x14ac:dyDescent="0.25">
      <c r="AX220" s="185"/>
      <c r="AY220" s="163"/>
      <c r="AZ220" s="185"/>
      <c r="BA220" s="163"/>
    </row>
    <row r="221" spans="50:53" s="184" customFormat="1" x14ac:dyDescent="0.25">
      <c r="AX221" s="185"/>
      <c r="AY221" s="163"/>
      <c r="AZ221" s="185"/>
      <c r="BA221" s="163"/>
    </row>
    <row r="222" spans="50:53" s="184" customFormat="1" x14ac:dyDescent="0.25">
      <c r="AX222" s="185"/>
      <c r="AY222" s="163"/>
      <c r="AZ222" s="185"/>
      <c r="BA222" s="163"/>
    </row>
    <row r="223" spans="50:53" s="184" customFormat="1" x14ac:dyDescent="0.25">
      <c r="AX223" s="185"/>
      <c r="AY223" s="163"/>
      <c r="AZ223" s="185"/>
      <c r="BA223" s="163"/>
    </row>
    <row r="224" spans="50:53" s="184" customFormat="1" x14ac:dyDescent="0.25">
      <c r="AX224" s="185"/>
      <c r="AY224" s="163"/>
      <c r="AZ224" s="185"/>
      <c r="BA224" s="163"/>
    </row>
    <row r="225" spans="50:53" s="184" customFormat="1" x14ac:dyDescent="0.25">
      <c r="AX225" s="185"/>
      <c r="AY225" s="163"/>
      <c r="AZ225" s="185"/>
      <c r="BA225" s="163"/>
    </row>
    <row r="226" spans="50:53" s="184" customFormat="1" x14ac:dyDescent="0.25">
      <c r="AX226" s="185"/>
      <c r="AY226" s="163"/>
      <c r="AZ226" s="185"/>
      <c r="BA226" s="163"/>
    </row>
    <row r="227" spans="50:53" s="184" customFormat="1" x14ac:dyDescent="0.25">
      <c r="AX227" s="185"/>
      <c r="AY227" s="163"/>
      <c r="AZ227" s="185"/>
      <c r="BA227" s="163"/>
    </row>
    <row r="228" spans="50:53" s="184" customFormat="1" x14ac:dyDescent="0.25">
      <c r="AX228" s="185"/>
      <c r="AY228" s="163"/>
      <c r="AZ228" s="185"/>
      <c r="BA228" s="163"/>
    </row>
    <row r="229" spans="50:53" s="184" customFormat="1" x14ac:dyDescent="0.25">
      <c r="AX229" s="185"/>
      <c r="AY229" s="163"/>
      <c r="AZ229" s="185"/>
      <c r="BA229" s="163"/>
    </row>
    <row r="230" spans="50:53" s="184" customFormat="1" x14ac:dyDescent="0.25">
      <c r="AX230" s="185"/>
      <c r="AY230" s="163"/>
      <c r="AZ230" s="185"/>
      <c r="BA230" s="163"/>
    </row>
    <row r="231" spans="50:53" s="184" customFormat="1" x14ac:dyDescent="0.25">
      <c r="AX231" s="185"/>
      <c r="AY231" s="163"/>
      <c r="AZ231" s="185"/>
      <c r="BA231" s="163"/>
    </row>
    <row r="232" spans="50:53" s="184" customFormat="1" x14ac:dyDescent="0.25">
      <c r="AX232" s="185"/>
      <c r="AY232" s="163"/>
      <c r="AZ232" s="185"/>
      <c r="BA232" s="163"/>
    </row>
    <row r="233" spans="50:53" s="184" customFormat="1" x14ac:dyDescent="0.25">
      <c r="AX233" s="185"/>
      <c r="AY233" s="163"/>
      <c r="AZ233" s="185"/>
      <c r="BA233" s="163"/>
    </row>
    <row r="234" spans="50:53" s="184" customFormat="1" x14ac:dyDescent="0.25">
      <c r="AX234" s="185"/>
      <c r="AY234" s="163"/>
      <c r="AZ234" s="185"/>
      <c r="BA234" s="163"/>
    </row>
    <row r="235" spans="50:53" s="184" customFormat="1" x14ac:dyDescent="0.25">
      <c r="AX235" s="185"/>
      <c r="AY235" s="163"/>
      <c r="AZ235" s="185"/>
      <c r="BA235" s="163"/>
    </row>
    <row r="236" spans="50:53" s="184" customFormat="1" x14ac:dyDescent="0.25">
      <c r="AX236" s="185"/>
      <c r="AY236" s="163"/>
      <c r="AZ236" s="185"/>
      <c r="BA236" s="163"/>
    </row>
    <row r="237" spans="50:53" s="184" customFormat="1" x14ac:dyDescent="0.25">
      <c r="AX237" s="185"/>
      <c r="AY237" s="163"/>
      <c r="AZ237" s="185"/>
      <c r="BA237" s="163"/>
    </row>
    <row r="238" spans="50:53" s="184" customFormat="1" x14ac:dyDescent="0.25">
      <c r="AX238" s="185"/>
      <c r="AY238" s="163"/>
      <c r="AZ238" s="185"/>
      <c r="BA238" s="163"/>
    </row>
    <row r="239" spans="50:53" s="184" customFormat="1" x14ac:dyDescent="0.25">
      <c r="AX239" s="185"/>
      <c r="AY239" s="163"/>
      <c r="AZ239" s="185"/>
      <c r="BA239" s="163"/>
    </row>
    <row r="240" spans="50:53" s="184" customFormat="1" x14ac:dyDescent="0.25">
      <c r="AX240" s="185"/>
      <c r="AY240" s="163"/>
      <c r="AZ240" s="185"/>
      <c r="BA240" s="163"/>
    </row>
    <row r="241" spans="50:53" s="184" customFormat="1" x14ac:dyDescent="0.25">
      <c r="AX241" s="185"/>
      <c r="AY241" s="163"/>
      <c r="AZ241" s="185"/>
      <c r="BA241" s="163"/>
    </row>
    <row r="242" spans="50:53" s="184" customFormat="1" x14ac:dyDescent="0.25">
      <c r="AX242" s="185"/>
      <c r="AY242" s="163"/>
      <c r="AZ242" s="185"/>
      <c r="BA242" s="163"/>
    </row>
    <row r="243" spans="50:53" s="184" customFormat="1" x14ac:dyDescent="0.25">
      <c r="AX243" s="185"/>
      <c r="AY243" s="163"/>
      <c r="AZ243" s="185"/>
      <c r="BA243" s="163"/>
    </row>
    <row r="244" spans="50:53" s="184" customFormat="1" x14ac:dyDescent="0.25">
      <c r="AX244" s="185"/>
      <c r="AY244" s="163"/>
      <c r="AZ244" s="185"/>
      <c r="BA244" s="163"/>
    </row>
    <row r="245" spans="50:53" s="184" customFormat="1" x14ac:dyDescent="0.25">
      <c r="AX245" s="185"/>
      <c r="AY245" s="163"/>
      <c r="AZ245" s="185"/>
      <c r="BA245" s="163"/>
    </row>
    <row r="246" spans="50:53" s="184" customFormat="1" x14ac:dyDescent="0.25">
      <c r="AX246" s="185"/>
      <c r="AY246" s="163"/>
      <c r="AZ246" s="185"/>
      <c r="BA246" s="163"/>
    </row>
    <row r="247" spans="50:53" s="184" customFormat="1" x14ac:dyDescent="0.25">
      <c r="AX247" s="185"/>
      <c r="AY247" s="163"/>
      <c r="AZ247" s="185"/>
      <c r="BA247" s="163"/>
    </row>
    <row r="248" spans="50:53" s="184" customFormat="1" x14ac:dyDescent="0.25">
      <c r="AX248" s="185"/>
      <c r="AY248" s="163"/>
      <c r="AZ248" s="185"/>
      <c r="BA248" s="163"/>
    </row>
    <row r="249" spans="50:53" s="184" customFormat="1" x14ac:dyDescent="0.25">
      <c r="AX249" s="185"/>
      <c r="AY249" s="163"/>
      <c r="AZ249" s="185"/>
      <c r="BA249" s="163"/>
    </row>
    <row r="250" spans="50:53" s="184" customFormat="1" x14ac:dyDescent="0.25">
      <c r="AX250" s="185"/>
      <c r="AY250" s="163"/>
      <c r="AZ250" s="185"/>
      <c r="BA250" s="163"/>
    </row>
    <row r="251" spans="50:53" s="184" customFormat="1" x14ac:dyDescent="0.25">
      <c r="AX251" s="185"/>
      <c r="AY251" s="163"/>
      <c r="AZ251" s="185"/>
      <c r="BA251" s="163"/>
    </row>
    <row r="252" spans="50:53" s="184" customFormat="1" x14ac:dyDescent="0.25">
      <c r="AX252" s="185"/>
      <c r="AY252" s="163"/>
      <c r="AZ252" s="185"/>
      <c r="BA252" s="163"/>
    </row>
    <row r="253" spans="50:53" s="184" customFormat="1" x14ac:dyDescent="0.25">
      <c r="AX253" s="185"/>
      <c r="AY253" s="163"/>
      <c r="AZ253" s="185"/>
      <c r="BA253" s="163"/>
    </row>
    <row r="254" spans="50:53" s="184" customFormat="1" x14ac:dyDescent="0.25">
      <c r="AX254" s="185"/>
      <c r="AY254" s="163"/>
      <c r="AZ254" s="185"/>
      <c r="BA254" s="163"/>
    </row>
    <row r="255" spans="50:53" s="184" customFormat="1" x14ac:dyDescent="0.25">
      <c r="AX255" s="185"/>
      <c r="AY255" s="163"/>
      <c r="AZ255" s="185"/>
      <c r="BA255" s="163"/>
    </row>
    <row r="256" spans="50:53" s="184" customFormat="1" x14ac:dyDescent="0.25">
      <c r="AX256" s="185"/>
      <c r="AY256" s="163"/>
      <c r="AZ256" s="185"/>
      <c r="BA256" s="163"/>
    </row>
    <row r="257" spans="6:96" s="184" customFormat="1" x14ac:dyDescent="0.25">
      <c r="AX257" s="185"/>
      <c r="AY257" s="163"/>
      <c r="AZ257" s="185"/>
      <c r="BA257" s="163"/>
    </row>
    <row r="258" spans="6:96" s="184" customFormat="1" x14ac:dyDescent="0.25">
      <c r="AX258" s="185"/>
      <c r="AY258" s="163"/>
      <c r="AZ258" s="185"/>
      <c r="BA258" s="163"/>
    </row>
    <row r="259" spans="6:96" s="184" customFormat="1" x14ac:dyDescent="0.25">
      <c r="AX259" s="185"/>
      <c r="AY259" s="163"/>
      <c r="AZ259" s="185"/>
      <c r="BA259" s="163"/>
    </row>
    <row r="260" spans="6:96" s="184" customFormat="1" x14ac:dyDescent="0.25">
      <c r="AX260" s="185"/>
      <c r="AY260" s="163"/>
      <c r="AZ260" s="185"/>
      <c r="BA260" s="163"/>
    </row>
    <row r="261" spans="6:96" s="184" customFormat="1" x14ac:dyDescent="0.25">
      <c r="AX261" s="185"/>
      <c r="AY261" s="163"/>
      <c r="AZ261" s="185"/>
      <c r="BA261" s="163"/>
    </row>
    <row r="262" spans="6:96" s="184" customFormat="1" x14ac:dyDescent="0.25">
      <c r="AX262" s="185"/>
      <c r="AY262" s="163"/>
      <c r="AZ262" s="185"/>
      <c r="BA262" s="163"/>
    </row>
    <row r="263" spans="6:96" s="184" customFormat="1" x14ac:dyDescent="0.25">
      <c r="AX263" s="185"/>
      <c r="AY263" s="163"/>
      <c r="AZ263" s="185"/>
      <c r="BA263" s="163"/>
    </row>
    <row r="264" spans="6:96" s="184" customFormat="1" x14ac:dyDescent="0.25">
      <c r="AX264" s="185"/>
      <c r="AY264" s="163"/>
      <c r="AZ264" s="185"/>
      <c r="BA264" s="163"/>
    </row>
    <row r="265" spans="6:96" s="184" customFormat="1" x14ac:dyDescent="0.25">
      <c r="AX265" s="185"/>
      <c r="AY265" s="163"/>
      <c r="AZ265" s="185"/>
      <c r="BA265" s="163"/>
    </row>
    <row r="266" spans="6:96" s="184" customFormat="1" x14ac:dyDescent="0.25">
      <c r="AX266" s="185"/>
      <c r="AY266" s="163"/>
      <c r="AZ266" s="185"/>
      <c r="BA266" s="163"/>
    </row>
    <row r="267" spans="6:96" s="184" customFormat="1" x14ac:dyDescent="0.25">
      <c r="AX267" s="185"/>
      <c r="AY267" s="163"/>
      <c r="AZ267" s="185"/>
      <c r="BA267" s="163"/>
    </row>
    <row r="268" spans="6:96" s="129" customFormat="1" x14ac:dyDescent="0.25">
      <c r="F268" s="149"/>
      <c r="G268" s="144"/>
      <c r="H268" s="149"/>
      <c r="L268" s="149"/>
      <c r="M268" s="199"/>
      <c r="N268" s="200"/>
      <c r="R268" s="149"/>
      <c r="T268" s="149"/>
      <c r="AB268" s="149"/>
      <c r="AC268" s="144"/>
      <c r="AD268" s="149"/>
      <c r="AH268" s="130"/>
      <c r="AI268" s="133"/>
      <c r="AJ268" s="175"/>
      <c r="AN268" s="149"/>
      <c r="AP268" s="149"/>
      <c r="AX268" s="149"/>
      <c r="AY268" s="163"/>
      <c r="AZ268" s="185"/>
      <c r="BD268" s="133"/>
      <c r="BE268" s="181"/>
      <c r="BF268" s="175"/>
      <c r="BJ268" s="149"/>
      <c r="BK268" s="199"/>
      <c r="BL268" s="201"/>
      <c r="BT268" s="130"/>
      <c r="BU268" s="133"/>
      <c r="BV268" s="149"/>
      <c r="BZ268" s="130"/>
      <c r="CA268" s="133"/>
      <c r="CB268" s="149"/>
      <c r="CF268" s="130"/>
      <c r="CG268" s="202"/>
      <c r="CH268" s="201"/>
      <c r="CP268" s="149"/>
      <c r="CR268" s="149"/>
    </row>
    <row r="269" spans="6:96" s="129" customFormat="1" x14ac:dyDescent="0.25">
      <c r="F269" s="149"/>
      <c r="G269" s="144"/>
      <c r="H269" s="149"/>
      <c r="L269" s="149"/>
      <c r="M269" s="163"/>
      <c r="N269" s="158"/>
      <c r="R269" s="149"/>
      <c r="T269" s="149"/>
      <c r="AB269" s="149"/>
      <c r="AC269" s="144"/>
      <c r="AD269" s="149"/>
      <c r="AH269" s="130"/>
      <c r="AI269" s="133"/>
      <c r="AJ269" s="175"/>
      <c r="AN269" s="149"/>
      <c r="AP269" s="149"/>
      <c r="AX269" s="149"/>
      <c r="AY269" s="163"/>
      <c r="AZ269" s="185"/>
      <c r="BD269" s="133"/>
      <c r="BE269" s="181"/>
      <c r="BF269" s="175"/>
      <c r="BJ269" s="149"/>
      <c r="BK269" s="163"/>
      <c r="BL269" s="185"/>
      <c r="BT269" s="130"/>
      <c r="BU269" s="133"/>
      <c r="BV269" s="149"/>
      <c r="BZ269" s="130"/>
      <c r="CA269" s="133"/>
      <c r="CB269" s="149"/>
      <c r="CF269" s="130"/>
      <c r="CG269" s="153"/>
      <c r="CH269" s="185"/>
      <c r="CP269" s="149"/>
      <c r="CR269" s="149"/>
    </row>
    <row r="270" spans="6:96" s="129" customFormat="1" x14ac:dyDescent="0.25">
      <c r="F270" s="149"/>
      <c r="G270" s="144"/>
      <c r="H270" s="149"/>
      <c r="L270" s="149"/>
      <c r="M270" s="163"/>
      <c r="N270" s="158"/>
      <c r="R270" s="149"/>
      <c r="T270" s="149"/>
      <c r="AB270" s="149"/>
      <c r="AC270" s="144"/>
      <c r="AD270" s="149"/>
      <c r="AH270" s="130"/>
      <c r="AI270" s="133"/>
      <c r="AJ270" s="175"/>
      <c r="AN270" s="149"/>
      <c r="AP270" s="149"/>
      <c r="AX270" s="149"/>
      <c r="AY270" s="163"/>
      <c r="AZ270" s="185"/>
      <c r="BD270" s="133"/>
      <c r="BE270" s="181"/>
      <c r="BF270" s="175"/>
      <c r="BJ270" s="149"/>
      <c r="BK270" s="163"/>
      <c r="BL270" s="185"/>
      <c r="BT270" s="130"/>
      <c r="BU270" s="133"/>
      <c r="BV270" s="149"/>
      <c r="BZ270" s="130"/>
      <c r="CA270" s="133"/>
      <c r="CB270" s="149"/>
      <c r="CF270" s="130"/>
      <c r="CG270" s="153"/>
      <c r="CH270" s="185"/>
      <c r="CP270" s="149"/>
      <c r="CR270" s="149"/>
    </row>
    <row r="271" spans="6:96" s="129" customFormat="1" x14ac:dyDescent="0.25">
      <c r="F271" s="149"/>
      <c r="G271" s="144"/>
      <c r="H271" s="149"/>
      <c r="L271" s="149"/>
      <c r="M271" s="163"/>
      <c r="N271" s="158"/>
      <c r="R271" s="149"/>
      <c r="T271" s="149"/>
      <c r="AB271" s="149"/>
      <c r="AC271" s="144"/>
      <c r="AD271" s="149"/>
      <c r="AH271" s="130"/>
      <c r="AI271" s="133"/>
      <c r="AJ271" s="175"/>
      <c r="AN271" s="149"/>
      <c r="AP271" s="149"/>
      <c r="AX271" s="149"/>
      <c r="AY271" s="163"/>
      <c r="AZ271" s="185"/>
      <c r="BD271" s="133"/>
      <c r="BE271" s="181"/>
      <c r="BF271" s="175"/>
      <c r="BJ271" s="149"/>
      <c r="BK271" s="163"/>
      <c r="BL271" s="185"/>
      <c r="BT271" s="130"/>
      <c r="BU271" s="133"/>
      <c r="BV271" s="149"/>
      <c r="BZ271" s="130"/>
      <c r="CA271" s="133"/>
      <c r="CB271" s="149"/>
      <c r="CF271" s="130"/>
      <c r="CG271" s="153"/>
      <c r="CH271" s="185"/>
      <c r="CP271" s="149"/>
      <c r="CR271" s="149"/>
    </row>
    <row r="272" spans="6:96" s="129" customFormat="1" x14ac:dyDescent="0.25">
      <c r="F272" s="149"/>
      <c r="G272" s="144"/>
      <c r="H272" s="149"/>
      <c r="L272" s="149"/>
      <c r="M272" s="163"/>
      <c r="N272" s="158"/>
      <c r="R272" s="149"/>
      <c r="T272" s="149"/>
      <c r="AB272" s="149"/>
      <c r="AC272" s="144"/>
      <c r="AD272" s="149"/>
      <c r="AH272" s="130"/>
      <c r="AI272" s="133"/>
      <c r="AJ272" s="175"/>
      <c r="AN272" s="149"/>
      <c r="AP272" s="149"/>
      <c r="AX272" s="149"/>
      <c r="AY272" s="163"/>
      <c r="AZ272" s="185"/>
      <c r="BD272" s="133"/>
      <c r="BE272" s="181"/>
      <c r="BF272" s="175"/>
      <c r="BJ272" s="149"/>
      <c r="BK272" s="163"/>
      <c r="BL272" s="185"/>
      <c r="BT272" s="130"/>
      <c r="BU272" s="133"/>
      <c r="BV272" s="149"/>
      <c r="BZ272" s="130"/>
      <c r="CA272" s="133"/>
      <c r="CB272" s="149"/>
      <c r="CF272" s="130"/>
      <c r="CG272" s="153"/>
      <c r="CH272" s="185"/>
      <c r="CP272" s="149"/>
      <c r="CR272" s="149"/>
    </row>
    <row r="273" spans="6:96" s="129" customFormat="1" x14ac:dyDescent="0.25">
      <c r="F273" s="149"/>
      <c r="G273" s="144"/>
      <c r="H273" s="149"/>
      <c r="L273" s="149"/>
      <c r="M273" s="163"/>
      <c r="N273" s="158"/>
      <c r="R273" s="149"/>
      <c r="T273" s="149"/>
      <c r="AB273" s="149"/>
      <c r="AC273" s="144"/>
      <c r="AD273" s="149"/>
      <c r="AH273" s="130"/>
      <c r="AI273" s="133"/>
      <c r="AJ273" s="175"/>
      <c r="AN273" s="149"/>
      <c r="AP273" s="149"/>
      <c r="AX273" s="149"/>
      <c r="AY273" s="163"/>
      <c r="AZ273" s="185"/>
      <c r="BD273" s="133"/>
      <c r="BE273" s="181"/>
      <c r="BF273" s="175"/>
      <c r="BJ273" s="149"/>
      <c r="BK273" s="163"/>
      <c r="BL273" s="185"/>
      <c r="BT273" s="130"/>
      <c r="BU273" s="133"/>
      <c r="BV273" s="149"/>
      <c r="BZ273" s="130"/>
      <c r="CA273" s="133"/>
      <c r="CB273" s="149"/>
      <c r="CF273" s="130"/>
      <c r="CG273" s="153"/>
      <c r="CH273" s="185"/>
      <c r="CP273" s="149"/>
      <c r="CR273" s="149"/>
    </row>
    <row r="274" spans="6:96" s="129" customFormat="1" x14ac:dyDescent="0.25">
      <c r="F274" s="149"/>
      <c r="G274" s="144"/>
      <c r="H274" s="149"/>
      <c r="L274" s="149"/>
      <c r="M274" s="163"/>
      <c r="N274" s="158"/>
      <c r="R274" s="149"/>
      <c r="T274" s="149"/>
      <c r="AB274" s="149"/>
      <c r="AC274" s="144"/>
      <c r="AD274" s="149"/>
      <c r="AH274" s="130"/>
      <c r="AI274" s="133"/>
      <c r="AJ274" s="175"/>
      <c r="AN274" s="149"/>
      <c r="AP274" s="149"/>
      <c r="AX274" s="149"/>
      <c r="AY274" s="163"/>
      <c r="AZ274" s="185"/>
      <c r="BD274" s="133"/>
      <c r="BE274" s="181"/>
      <c r="BF274" s="175"/>
      <c r="BJ274" s="149"/>
      <c r="BK274" s="163"/>
      <c r="BL274" s="185"/>
      <c r="BT274" s="130"/>
      <c r="BU274" s="133"/>
      <c r="BV274" s="149"/>
      <c r="BZ274" s="130"/>
      <c r="CA274" s="133"/>
      <c r="CB274" s="149"/>
      <c r="CF274" s="130"/>
      <c r="CG274" s="153"/>
      <c r="CH274" s="185"/>
      <c r="CP274" s="149"/>
      <c r="CR274" s="149"/>
    </row>
    <row r="275" spans="6:96" s="129" customFormat="1" x14ac:dyDescent="0.25">
      <c r="F275" s="149"/>
      <c r="G275" s="144"/>
      <c r="H275" s="149"/>
      <c r="L275" s="149"/>
      <c r="M275" s="163"/>
      <c r="N275" s="158"/>
      <c r="R275" s="149"/>
      <c r="T275" s="149"/>
      <c r="AB275" s="149"/>
      <c r="AC275" s="144"/>
      <c r="AD275" s="149"/>
      <c r="AH275" s="130"/>
      <c r="AI275" s="133"/>
      <c r="AJ275" s="175"/>
      <c r="AN275" s="149"/>
      <c r="AP275" s="149"/>
      <c r="AX275" s="149"/>
      <c r="AY275" s="163"/>
      <c r="AZ275" s="185"/>
      <c r="BD275" s="133"/>
      <c r="BE275" s="181"/>
      <c r="BF275" s="175"/>
      <c r="BJ275" s="149"/>
      <c r="BK275" s="163"/>
      <c r="BL275" s="185"/>
      <c r="BT275" s="130"/>
      <c r="BU275" s="133"/>
      <c r="BV275" s="149"/>
      <c r="BZ275" s="130"/>
      <c r="CA275" s="133"/>
      <c r="CB275" s="149"/>
      <c r="CF275" s="130"/>
      <c r="CG275" s="153"/>
      <c r="CH275" s="185"/>
      <c r="CP275" s="149"/>
      <c r="CR275" s="149"/>
    </row>
    <row r="276" spans="6:96" s="129" customFormat="1" x14ac:dyDescent="0.25">
      <c r="F276" s="149"/>
      <c r="G276" s="144"/>
      <c r="H276" s="149"/>
      <c r="L276" s="149"/>
      <c r="M276" s="163"/>
      <c r="N276" s="158"/>
      <c r="R276" s="149"/>
      <c r="T276" s="149"/>
      <c r="AB276" s="149"/>
      <c r="AC276" s="144"/>
      <c r="AD276" s="149"/>
      <c r="AH276" s="130"/>
      <c r="AI276" s="133"/>
      <c r="AJ276" s="175"/>
      <c r="AN276" s="149"/>
      <c r="AP276" s="149"/>
      <c r="AX276" s="149"/>
      <c r="AY276" s="163"/>
      <c r="AZ276" s="185"/>
      <c r="BD276" s="133"/>
      <c r="BE276" s="181"/>
      <c r="BF276" s="175"/>
      <c r="BJ276" s="149"/>
      <c r="BK276" s="163"/>
      <c r="BL276" s="185"/>
      <c r="BT276" s="130"/>
      <c r="BU276" s="133"/>
      <c r="BV276" s="149"/>
      <c r="BZ276" s="130"/>
      <c r="CA276" s="133"/>
      <c r="CB276" s="149"/>
      <c r="CF276" s="130"/>
      <c r="CG276" s="153"/>
      <c r="CH276" s="185"/>
      <c r="CP276" s="149"/>
      <c r="CR276" s="149"/>
    </row>
    <row r="277" spans="6:96" s="129" customFormat="1" x14ac:dyDescent="0.25">
      <c r="F277" s="149"/>
      <c r="G277" s="144"/>
      <c r="H277" s="149"/>
      <c r="L277" s="149"/>
      <c r="M277" s="163"/>
      <c r="N277" s="158"/>
      <c r="R277" s="149"/>
      <c r="T277" s="149"/>
      <c r="AB277" s="149"/>
      <c r="AC277" s="144"/>
      <c r="AD277" s="149"/>
      <c r="AH277" s="130"/>
      <c r="AI277" s="133"/>
      <c r="AJ277" s="175"/>
      <c r="AN277" s="149"/>
      <c r="AP277" s="149"/>
      <c r="AX277" s="149"/>
      <c r="AY277" s="163"/>
      <c r="AZ277" s="185"/>
      <c r="BD277" s="133"/>
      <c r="BE277" s="181"/>
      <c r="BF277" s="175"/>
      <c r="BJ277" s="149"/>
      <c r="BK277" s="163"/>
      <c r="BL277" s="185"/>
      <c r="BT277" s="130"/>
      <c r="BU277" s="133"/>
      <c r="BV277" s="149"/>
      <c r="BZ277" s="130"/>
      <c r="CA277" s="133"/>
      <c r="CB277" s="149"/>
      <c r="CF277" s="130"/>
      <c r="CG277" s="153"/>
      <c r="CH277" s="185"/>
      <c r="CP277" s="149"/>
      <c r="CR277" s="149"/>
    </row>
    <row r="278" spans="6:96" s="129" customFormat="1" x14ac:dyDescent="0.25">
      <c r="F278" s="149"/>
      <c r="G278" s="144"/>
      <c r="H278" s="149"/>
      <c r="L278" s="149"/>
      <c r="M278" s="163"/>
      <c r="N278" s="158"/>
      <c r="R278" s="149"/>
      <c r="T278" s="149"/>
      <c r="AB278" s="149"/>
      <c r="AC278" s="144"/>
      <c r="AD278" s="149"/>
      <c r="AH278" s="130"/>
      <c r="AI278" s="133"/>
      <c r="AJ278" s="175"/>
      <c r="AN278" s="149"/>
      <c r="AP278" s="149"/>
      <c r="AX278" s="149"/>
      <c r="AY278" s="163"/>
      <c r="AZ278" s="185"/>
      <c r="BD278" s="133"/>
      <c r="BE278" s="181"/>
      <c r="BF278" s="175"/>
      <c r="BJ278" s="149"/>
      <c r="BK278" s="163"/>
      <c r="BL278" s="185"/>
      <c r="BT278" s="130"/>
      <c r="BU278" s="133"/>
      <c r="BV278" s="149"/>
      <c r="BZ278" s="130"/>
      <c r="CA278" s="133"/>
      <c r="CB278" s="149"/>
      <c r="CF278" s="130"/>
      <c r="CG278" s="153"/>
      <c r="CH278" s="185"/>
      <c r="CP278" s="149"/>
      <c r="CR278" s="149"/>
    </row>
    <row r="279" spans="6:96" s="129" customFormat="1" x14ac:dyDescent="0.25">
      <c r="F279" s="149"/>
      <c r="G279" s="144"/>
      <c r="H279" s="149"/>
      <c r="L279" s="149"/>
      <c r="M279" s="163"/>
      <c r="N279" s="158"/>
      <c r="R279" s="149"/>
      <c r="T279" s="149"/>
      <c r="AB279" s="149"/>
      <c r="AC279" s="144"/>
      <c r="AD279" s="149"/>
      <c r="AH279" s="130"/>
      <c r="AI279" s="133"/>
      <c r="AJ279" s="175"/>
      <c r="AN279" s="149"/>
      <c r="AP279" s="149"/>
      <c r="AX279" s="149"/>
      <c r="AY279" s="163"/>
      <c r="AZ279" s="185"/>
      <c r="BD279" s="133"/>
      <c r="BE279" s="181"/>
      <c r="BF279" s="175"/>
      <c r="BJ279" s="149"/>
      <c r="BK279" s="163"/>
      <c r="BL279" s="185"/>
      <c r="BT279" s="130"/>
      <c r="BU279" s="133"/>
      <c r="BV279" s="149"/>
      <c r="BZ279" s="130"/>
      <c r="CA279" s="133"/>
      <c r="CB279" s="149"/>
      <c r="CF279" s="130"/>
      <c r="CG279" s="153"/>
      <c r="CH279" s="185"/>
      <c r="CP279" s="149"/>
      <c r="CR279" s="149"/>
    </row>
    <row r="280" spans="6:96" s="129" customFormat="1" x14ac:dyDescent="0.25">
      <c r="F280" s="149"/>
      <c r="G280" s="144"/>
      <c r="H280" s="149"/>
      <c r="L280" s="149"/>
      <c r="M280" s="163"/>
      <c r="N280" s="158"/>
      <c r="R280" s="149"/>
      <c r="T280" s="149"/>
      <c r="AB280" s="149"/>
      <c r="AC280" s="144"/>
      <c r="AD280" s="149"/>
      <c r="AH280" s="130"/>
      <c r="AI280" s="133"/>
      <c r="AJ280" s="175"/>
      <c r="AN280" s="149"/>
      <c r="AP280" s="149"/>
      <c r="AX280" s="149"/>
      <c r="AY280" s="163"/>
      <c r="AZ280" s="185"/>
      <c r="BD280" s="133"/>
      <c r="BE280" s="181"/>
      <c r="BF280" s="175"/>
      <c r="BJ280" s="149"/>
      <c r="BK280" s="163"/>
      <c r="BL280" s="185"/>
      <c r="BT280" s="130"/>
      <c r="BU280" s="133"/>
      <c r="BV280" s="149"/>
      <c r="BZ280" s="130"/>
      <c r="CA280" s="133"/>
      <c r="CB280" s="149"/>
      <c r="CF280" s="130"/>
      <c r="CG280" s="153"/>
      <c r="CH280" s="185"/>
      <c r="CP280" s="149"/>
      <c r="CR280" s="149"/>
    </row>
    <row r="281" spans="6:96" s="129" customFormat="1" x14ac:dyDescent="0.25">
      <c r="F281" s="149"/>
      <c r="G281" s="144"/>
      <c r="H281" s="149"/>
      <c r="L281" s="149"/>
      <c r="M281" s="163"/>
      <c r="N281" s="158"/>
      <c r="R281" s="149"/>
      <c r="T281" s="149"/>
      <c r="AB281" s="149"/>
      <c r="AC281" s="144"/>
      <c r="AD281" s="149"/>
      <c r="AH281" s="130"/>
      <c r="AI281" s="133"/>
      <c r="AJ281" s="175"/>
      <c r="AN281" s="149"/>
      <c r="AP281" s="149"/>
      <c r="AX281" s="149"/>
      <c r="AY281" s="163"/>
      <c r="AZ281" s="185"/>
      <c r="BD281" s="133"/>
      <c r="BE281" s="181"/>
      <c r="BF281" s="175"/>
      <c r="BJ281" s="149"/>
      <c r="BK281" s="163"/>
      <c r="BL281" s="185"/>
      <c r="BT281" s="130"/>
      <c r="BU281" s="133"/>
      <c r="BV281" s="149"/>
      <c r="BZ281" s="130"/>
      <c r="CA281" s="133"/>
      <c r="CB281" s="149"/>
      <c r="CF281" s="130"/>
      <c r="CG281" s="153"/>
      <c r="CH281" s="185"/>
      <c r="CP281" s="149"/>
      <c r="CR281" s="149"/>
    </row>
    <row r="282" spans="6:96" s="129" customFormat="1" x14ac:dyDescent="0.25">
      <c r="F282" s="149"/>
      <c r="G282" s="144"/>
      <c r="H282" s="149"/>
      <c r="L282" s="149"/>
      <c r="M282" s="163"/>
      <c r="N282" s="158"/>
      <c r="R282" s="149"/>
      <c r="T282" s="149"/>
      <c r="AB282" s="149"/>
      <c r="AC282" s="144"/>
      <c r="AD282" s="149"/>
      <c r="AH282" s="130"/>
      <c r="AI282" s="133"/>
      <c r="AJ282" s="175"/>
      <c r="AN282" s="149"/>
      <c r="AP282" s="149"/>
      <c r="AX282" s="149"/>
      <c r="AY282" s="163"/>
      <c r="AZ282" s="185"/>
      <c r="BD282" s="133"/>
      <c r="BE282" s="181"/>
      <c r="BF282" s="175"/>
      <c r="BJ282" s="149"/>
      <c r="BK282" s="163"/>
      <c r="BL282" s="185"/>
      <c r="BT282" s="130"/>
      <c r="BU282" s="133"/>
      <c r="BV282" s="149"/>
      <c r="BZ282" s="130"/>
      <c r="CA282" s="133"/>
      <c r="CB282" s="149"/>
      <c r="CF282" s="130"/>
      <c r="CG282" s="153"/>
      <c r="CH282" s="185"/>
      <c r="CP282" s="149"/>
      <c r="CR282" s="149"/>
    </row>
    <row r="283" spans="6:96" s="129" customFormat="1" x14ac:dyDescent="0.25">
      <c r="F283" s="149"/>
      <c r="G283" s="144"/>
      <c r="H283" s="149"/>
      <c r="L283" s="149"/>
      <c r="M283" s="163"/>
      <c r="N283" s="158"/>
      <c r="R283" s="149"/>
      <c r="T283" s="149"/>
      <c r="AB283" s="149"/>
      <c r="AC283" s="144"/>
      <c r="AD283" s="149"/>
      <c r="AH283" s="130"/>
      <c r="AI283" s="133"/>
      <c r="AJ283" s="175"/>
      <c r="AN283" s="149"/>
      <c r="AP283" s="149"/>
      <c r="AX283" s="149"/>
      <c r="AY283" s="163"/>
      <c r="AZ283" s="185"/>
      <c r="BD283" s="133"/>
      <c r="BE283" s="181"/>
      <c r="BF283" s="175"/>
      <c r="BJ283" s="149"/>
      <c r="BK283" s="163"/>
      <c r="BL283" s="185"/>
      <c r="BT283" s="130"/>
      <c r="BU283" s="133"/>
      <c r="BV283" s="149"/>
      <c r="BZ283" s="130"/>
      <c r="CA283" s="133"/>
      <c r="CB283" s="149"/>
      <c r="CF283" s="130"/>
      <c r="CG283" s="153"/>
      <c r="CH283" s="185"/>
      <c r="CP283" s="149"/>
      <c r="CR283" s="149"/>
    </row>
    <row r="284" spans="6:96" s="129" customFormat="1" x14ac:dyDescent="0.25">
      <c r="F284" s="149"/>
      <c r="G284" s="144"/>
      <c r="H284" s="149"/>
      <c r="L284" s="149"/>
      <c r="M284" s="163"/>
      <c r="N284" s="158"/>
      <c r="R284" s="149"/>
      <c r="T284" s="149"/>
      <c r="AB284" s="149"/>
      <c r="AC284" s="144"/>
      <c r="AD284" s="149"/>
      <c r="AH284" s="130"/>
      <c r="AI284" s="133"/>
      <c r="AJ284" s="175"/>
      <c r="AN284" s="149"/>
      <c r="AP284" s="149"/>
      <c r="AX284" s="149"/>
      <c r="AY284" s="163"/>
      <c r="AZ284" s="185"/>
      <c r="BD284" s="133"/>
      <c r="BE284" s="181"/>
      <c r="BF284" s="175"/>
      <c r="BJ284" s="149"/>
      <c r="BK284" s="163"/>
      <c r="BL284" s="185"/>
      <c r="BT284" s="130"/>
      <c r="BU284" s="133"/>
      <c r="BV284" s="149"/>
      <c r="BZ284" s="130"/>
      <c r="CA284" s="133"/>
      <c r="CB284" s="149"/>
      <c r="CF284" s="130"/>
      <c r="CG284" s="153"/>
      <c r="CH284" s="185"/>
      <c r="CP284" s="149"/>
      <c r="CR284" s="149"/>
    </row>
    <row r="285" spans="6:96" s="129" customFormat="1" x14ac:dyDescent="0.25">
      <c r="F285" s="149"/>
      <c r="G285" s="144"/>
      <c r="H285" s="149"/>
      <c r="L285" s="149"/>
      <c r="M285" s="163"/>
      <c r="N285" s="158"/>
      <c r="R285" s="149"/>
      <c r="T285" s="149"/>
      <c r="AB285" s="149"/>
      <c r="AC285" s="144"/>
      <c r="AD285" s="149"/>
      <c r="AH285" s="130"/>
      <c r="AI285" s="133"/>
      <c r="AJ285" s="175"/>
      <c r="AN285" s="149"/>
      <c r="AP285" s="149"/>
      <c r="AX285" s="149"/>
      <c r="AY285" s="163"/>
      <c r="AZ285" s="185"/>
      <c r="BD285" s="133"/>
      <c r="BE285" s="181"/>
      <c r="BF285" s="175"/>
      <c r="BJ285" s="149"/>
      <c r="BK285" s="163"/>
      <c r="BL285" s="185"/>
      <c r="BT285" s="130"/>
      <c r="BU285" s="133"/>
      <c r="BV285" s="149"/>
      <c r="BZ285" s="130"/>
      <c r="CA285" s="133"/>
      <c r="CB285" s="149"/>
      <c r="CF285" s="130"/>
      <c r="CG285" s="153"/>
      <c r="CH285" s="185"/>
      <c r="CP285" s="149"/>
      <c r="CR285" s="149"/>
    </row>
    <row r="286" spans="6:96" s="129" customFormat="1" x14ac:dyDescent="0.25">
      <c r="F286" s="149"/>
      <c r="G286" s="144"/>
      <c r="H286" s="149"/>
      <c r="L286" s="149"/>
      <c r="M286" s="163"/>
      <c r="N286" s="158"/>
      <c r="R286" s="149"/>
      <c r="T286" s="149"/>
      <c r="AB286" s="149"/>
      <c r="AC286" s="144"/>
      <c r="AD286" s="149"/>
      <c r="AH286" s="130"/>
      <c r="AI286" s="133"/>
      <c r="AJ286" s="175"/>
      <c r="AN286" s="149"/>
      <c r="AP286" s="149"/>
      <c r="AX286" s="149"/>
      <c r="AY286" s="163"/>
      <c r="AZ286" s="185"/>
      <c r="BD286" s="133"/>
      <c r="BE286" s="181"/>
      <c r="BF286" s="175"/>
      <c r="BJ286" s="149"/>
      <c r="BK286" s="163"/>
      <c r="BL286" s="185"/>
      <c r="BT286" s="130"/>
      <c r="BU286" s="133"/>
      <c r="BV286" s="149"/>
      <c r="BZ286" s="130"/>
      <c r="CA286" s="133"/>
      <c r="CB286" s="149"/>
      <c r="CF286" s="130"/>
      <c r="CG286" s="153"/>
      <c r="CH286" s="185"/>
      <c r="CP286" s="149"/>
      <c r="CR286" s="149"/>
    </row>
    <row r="287" spans="6:96" s="129" customFormat="1" x14ac:dyDescent="0.25">
      <c r="F287" s="149"/>
      <c r="G287" s="144"/>
      <c r="H287" s="149"/>
      <c r="L287" s="149"/>
      <c r="M287" s="163"/>
      <c r="N287" s="158"/>
      <c r="R287" s="149"/>
      <c r="T287" s="149"/>
      <c r="AB287" s="149"/>
      <c r="AC287" s="144"/>
      <c r="AD287" s="149"/>
      <c r="AH287" s="130"/>
      <c r="AI287" s="133"/>
      <c r="AJ287" s="175"/>
      <c r="AN287" s="149"/>
      <c r="AP287" s="149"/>
      <c r="AX287" s="149"/>
      <c r="AY287" s="163"/>
      <c r="AZ287" s="185"/>
      <c r="BD287" s="133"/>
      <c r="BE287" s="181"/>
      <c r="BF287" s="175"/>
      <c r="BJ287" s="149"/>
      <c r="BK287" s="163"/>
      <c r="BL287" s="185"/>
      <c r="BT287" s="130"/>
      <c r="BU287" s="133"/>
      <c r="BV287" s="149"/>
      <c r="BZ287" s="130"/>
      <c r="CA287" s="133"/>
      <c r="CB287" s="149"/>
      <c r="CF287" s="130"/>
      <c r="CG287" s="153"/>
      <c r="CH287" s="185"/>
      <c r="CP287" s="149"/>
      <c r="CR287" s="149"/>
    </row>
    <row r="288" spans="6:96" s="129" customFormat="1" x14ac:dyDescent="0.25">
      <c r="F288" s="149"/>
      <c r="G288" s="144"/>
      <c r="H288" s="149"/>
      <c r="L288" s="149"/>
      <c r="M288" s="163"/>
      <c r="N288" s="158"/>
      <c r="R288" s="149"/>
      <c r="T288" s="149"/>
      <c r="AB288" s="149"/>
      <c r="AC288" s="144"/>
      <c r="AD288" s="149"/>
      <c r="AH288" s="130"/>
      <c r="AI288" s="133"/>
      <c r="AJ288" s="175"/>
      <c r="AN288" s="149"/>
      <c r="AP288" s="149"/>
      <c r="AX288" s="149"/>
      <c r="AY288" s="163"/>
      <c r="AZ288" s="185"/>
      <c r="BD288" s="133"/>
      <c r="BE288" s="181"/>
      <c r="BF288" s="175"/>
      <c r="BJ288" s="149"/>
      <c r="BK288" s="163"/>
      <c r="BL288" s="185"/>
      <c r="BT288" s="130"/>
      <c r="BU288" s="133"/>
      <c r="BV288" s="149"/>
      <c r="BZ288" s="130"/>
      <c r="CA288" s="133"/>
      <c r="CB288" s="149"/>
      <c r="CF288" s="130"/>
      <c r="CG288" s="153"/>
      <c r="CH288" s="185"/>
      <c r="CP288" s="149"/>
      <c r="CR288" s="149"/>
    </row>
    <row r="289" spans="6:96" s="129" customFormat="1" x14ac:dyDescent="0.25">
      <c r="F289" s="149"/>
      <c r="G289" s="144"/>
      <c r="H289" s="149"/>
      <c r="L289" s="149"/>
      <c r="M289" s="163"/>
      <c r="N289" s="158"/>
      <c r="R289" s="149"/>
      <c r="T289" s="149"/>
      <c r="AB289" s="149"/>
      <c r="AC289" s="144"/>
      <c r="AD289" s="149"/>
      <c r="AH289" s="130"/>
      <c r="AI289" s="133"/>
      <c r="AJ289" s="175"/>
      <c r="AN289" s="149"/>
      <c r="AP289" s="149"/>
      <c r="AX289" s="149"/>
      <c r="AY289" s="163"/>
      <c r="AZ289" s="185"/>
      <c r="BD289" s="133"/>
      <c r="BE289" s="181"/>
      <c r="BF289" s="175"/>
      <c r="BJ289" s="149"/>
      <c r="BK289" s="163"/>
      <c r="BL289" s="185"/>
      <c r="BT289" s="130"/>
      <c r="BU289" s="133"/>
      <c r="BV289" s="149"/>
      <c r="BZ289" s="130"/>
      <c r="CA289" s="133"/>
      <c r="CB289" s="149"/>
      <c r="CF289" s="130"/>
      <c r="CG289" s="153"/>
      <c r="CH289" s="185"/>
      <c r="CP289" s="149"/>
      <c r="CR289" s="149"/>
    </row>
    <row r="290" spans="6:96" s="129" customFormat="1" x14ac:dyDescent="0.25">
      <c r="F290" s="149"/>
      <c r="G290" s="144"/>
      <c r="H290" s="149"/>
      <c r="L290" s="149"/>
      <c r="M290" s="163"/>
      <c r="N290" s="158"/>
      <c r="R290" s="149"/>
      <c r="T290" s="149"/>
      <c r="AB290" s="149"/>
      <c r="AC290" s="144"/>
      <c r="AD290" s="149"/>
      <c r="AH290" s="130"/>
      <c r="AI290" s="133"/>
      <c r="AJ290" s="175"/>
      <c r="AN290" s="149"/>
      <c r="AP290" s="149"/>
      <c r="AX290" s="149"/>
      <c r="AY290" s="163"/>
      <c r="AZ290" s="185"/>
      <c r="BD290" s="133"/>
      <c r="BE290" s="181"/>
      <c r="BF290" s="175"/>
      <c r="BJ290" s="149"/>
      <c r="BK290" s="163"/>
      <c r="BL290" s="185"/>
      <c r="BT290" s="130"/>
      <c r="BU290" s="133"/>
      <c r="BV290" s="149"/>
      <c r="BZ290" s="130"/>
      <c r="CA290" s="133"/>
      <c r="CB290" s="149"/>
      <c r="CF290" s="130"/>
      <c r="CG290" s="153"/>
      <c r="CH290" s="185"/>
      <c r="CP290" s="149"/>
      <c r="CR290" s="149"/>
    </row>
    <row r="291" spans="6:96" s="129" customFormat="1" x14ac:dyDescent="0.25">
      <c r="F291" s="149"/>
      <c r="G291" s="144"/>
      <c r="H291" s="149"/>
      <c r="L291" s="149"/>
      <c r="M291" s="163"/>
      <c r="N291" s="158"/>
      <c r="R291" s="149"/>
      <c r="T291" s="149"/>
      <c r="AB291" s="149"/>
      <c r="AC291" s="144"/>
      <c r="AD291" s="149"/>
      <c r="AH291" s="130"/>
      <c r="AI291" s="133"/>
      <c r="AJ291" s="175"/>
      <c r="AN291" s="149"/>
      <c r="AP291" s="149"/>
      <c r="AX291" s="149"/>
      <c r="AY291" s="163"/>
      <c r="AZ291" s="185"/>
      <c r="BD291" s="133"/>
      <c r="BE291" s="181"/>
      <c r="BF291" s="175"/>
      <c r="BJ291" s="149"/>
      <c r="BK291" s="163"/>
      <c r="BL291" s="185"/>
      <c r="BT291" s="130"/>
      <c r="BU291" s="133"/>
      <c r="BV291" s="149"/>
      <c r="BZ291" s="130"/>
      <c r="CA291" s="133"/>
      <c r="CB291" s="149"/>
      <c r="CF291" s="130"/>
      <c r="CG291" s="153"/>
      <c r="CH291" s="185"/>
      <c r="CP291" s="149"/>
      <c r="CR291" s="149"/>
    </row>
    <row r="292" spans="6:96" s="129" customFormat="1" x14ac:dyDescent="0.25">
      <c r="F292" s="149"/>
      <c r="G292" s="144"/>
      <c r="H292" s="149"/>
      <c r="L292" s="149"/>
      <c r="M292" s="163"/>
      <c r="N292" s="158"/>
      <c r="R292" s="149"/>
      <c r="T292" s="149"/>
      <c r="AB292" s="149"/>
      <c r="AC292" s="144"/>
      <c r="AD292" s="149"/>
      <c r="AH292" s="130"/>
      <c r="AI292" s="133"/>
      <c r="AJ292" s="175"/>
      <c r="AN292" s="149"/>
      <c r="AP292" s="149"/>
      <c r="AX292" s="149"/>
      <c r="AY292" s="163"/>
      <c r="AZ292" s="185"/>
      <c r="BD292" s="133"/>
      <c r="BE292" s="181"/>
      <c r="BF292" s="175"/>
      <c r="BJ292" s="149"/>
      <c r="BK292" s="163"/>
      <c r="BL292" s="185"/>
      <c r="BT292" s="130"/>
      <c r="BU292" s="133"/>
      <c r="BV292" s="149"/>
      <c r="BZ292" s="130"/>
      <c r="CA292" s="133"/>
      <c r="CB292" s="149"/>
      <c r="CF292" s="130"/>
      <c r="CG292" s="153"/>
      <c r="CH292" s="185"/>
      <c r="CP292" s="149"/>
      <c r="CR292" s="149"/>
    </row>
    <row r="293" spans="6:96" s="129" customFormat="1" x14ac:dyDescent="0.25">
      <c r="F293" s="149"/>
      <c r="G293" s="144"/>
      <c r="H293" s="149"/>
      <c r="L293" s="149"/>
      <c r="M293" s="163"/>
      <c r="N293" s="158"/>
      <c r="R293" s="149"/>
      <c r="T293" s="149"/>
      <c r="AB293" s="149"/>
      <c r="AC293" s="144"/>
      <c r="AD293" s="149"/>
      <c r="AH293" s="130"/>
      <c r="AI293" s="133"/>
      <c r="AJ293" s="175"/>
      <c r="AN293" s="149"/>
      <c r="AP293" s="149"/>
      <c r="AX293" s="149"/>
      <c r="AY293" s="163"/>
      <c r="AZ293" s="185"/>
      <c r="BD293" s="133"/>
      <c r="BE293" s="181"/>
      <c r="BF293" s="175"/>
      <c r="BJ293" s="149"/>
      <c r="BK293" s="163"/>
      <c r="BL293" s="185"/>
      <c r="BT293" s="130"/>
      <c r="BU293" s="133"/>
      <c r="BV293" s="149"/>
      <c r="BZ293" s="130"/>
      <c r="CA293" s="133"/>
      <c r="CB293" s="149"/>
      <c r="CF293" s="130"/>
      <c r="CG293" s="153"/>
      <c r="CH293" s="185"/>
      <c r="CP293" s="149"/>
      <c r="CR293" s="149"/>
    </row>
    <row r="294" spans="6:96" s="129" customFormat="1" x14ac:dyDescent="0.25">
      <c r="F294" s="149"/>
      <c r="G294" s="144"/>
      <c r="H294" s="149"/>
      <c r="L294" s="149"/>
      <c r="M294" s="163"/>
      <c r="N294" s="158"/>
      <c r="R294" s="149"/>
      <c r="T294" s="149"/>
      <c r="AB294" s="149"/>
      <c r="AC294" s="144"/>
      <c r="AD294" s="149"/>
      <c r="AH294" s="130"/>
      <c r="AI294" s="133"/>
      <c r="AJ294" s="175"/>
      <c r="AN294" s="149"/>
      <c r="AP294" s="149"/>
      <c r="AX294" s="149"/>
      <c r="AY294" s="163"/>
      <c r="AZ294" s="185"/>
      <c r="BD294" s="133"/>
      <c r="BE294" s="181"/>
      <c r="BF294" s="175"/>
      <c r="BJ294" s="149"/>
      <c r="BK294" s="163"/>
      <c r="BL294" s="185"/>
      <c r="BT294" s="130"/>
      <c r="BU294" s="133"/>
      <c r="BV294" s="149"/>
      <c r="BZ294" s="130"/>
      <c r="CA294" s="133"/>
      <c r="CB294" s="149"/>
      <c r="CF294" s="130"/>
      <c r="CG294" s="153"/>
      <c r="CH294" s="185"/>
      <c r="CP294" s="149"/>
      <c r="CR294" s="149"/>
    </row>
    <row r="295" spans="6:96" s="129" customFormat="1" x14ac:dyDescent="0.25">
      <c r="F295" s="149"/>
      <c r="G295" s="144"/>
      <c r="H295" s="149"/>
      <c r="L295" s="149"/>
      <c r="M295" s="163"/>
      <c r="N295" s="158"/>
      <c r="R295" s="149"/>
      <c r="T295" s="149"/>
      <c r="AB295" s="149"/>
      <c r="AC295" s="144"/>
      <c r="AD295" s="149"/>
      <c r="AH295" s="130"/>
      <c r="AI295" s="133"/>
      <c r="AJ295" s="175"/>
      <c r="AN295" s="149"/>
      <c r="AP295" s="149"/>
      <c r="AX295" s="149"/>
      <c r="AY295" s="163"/>
      <c r="AZ295" s="185"/>
      <c r="BD295" s="133"/>
      <c r="BE295" s="181"/>
      <c r="BF295" s="175"/>
      <c r="BJ295" s="149"/>
      <c r="BK295" s="163"/>
      <c r="BL295" s="185"/>
      <c r="BT295" s="130"/>
      <c r="BU295" s="133"/>
      <c r="BV295" s="149"/>
      <c r="BZ295" s="130"/>
      <c r="CA295" s="133"/>
      <c r="CB295" s="149"/>
      <c r="CF295" s="130"/>
      <c r="CG295" s="153"/>
      <c r="CH295" s="185"/>
      <c r="CP295" s="149"/>
      <c r="CR295" s="149"/>
    </row>
    <row r="296" spans="6:96" s="129" customFormat="1" x14ac:dyDescent="0.25">
      <c r="F296" s="149"/>
      <c r="G296" s="144"/>
      <c r="H296" s="149"/>
      <c r="L296" s="149"/>
      <c r="M296" s="163"/>
      <c r="N296" s="158"/>
      <c r="R296" s="149"/>
      <c r="T296" s="149"/>
      <c r="AB296" s="149"/>
      <c r="AC296" s="144"/>
      <c r="AD296" s="149"/>
      <c r="AH296" s="130"/>
      <c r="AI296" s="133"/>
      <c r="AJ296" s="175"/>
      <c r="AN296" s="149"/>
      <c r="AP296" s="149"/>
      <c r="AX296" s="149"/>
      <c r="AY296" s="163"/>
      <c r="AZ296" s="185"/>
      <c r="BD296" s="133"/>
      <c r="BE296" s="181"/>
      <c r="BF296" s="175"/>
      <c r="BJ296" s="149"/>
      <c r="BK296" s="163"/>
      <c r="BL296" s="185"/>
      <c r="BT296" s="130"/>
      <c r="BU296" s="133"/>
      <c r="BV296" s="149"/>
      <c r="BZ296" s="130"/>
      <c r="CA296" s="133"/>
      <c r="CB296" s="149"/>
      <c r="CF296" s="130"/>
      <c r="CG296" s="153"/>
      <c r="CH296" s="185"/>
      <c r="CP296" s="149"/>
      <c r="CR296" s="149"/>
    </row>
    <row r="297" spans="6:96" s="129" customFormat="1" x14ac:dyDescent="0.25">
      <c r="F297" s="149"/>
      <c r="G297" s="144"/>
      <c r="H297" s="149"/>
      <c r="L297" s="149"/>
      <c r="M297" s="163"/>
      <c r="N297" s="158"/>
      <c r="R297" s="149"/>
      <c r="T297" s="149"/>
      <c r="AB297" s="149"/>
      <c r="AC297" s="144"/>
      <c r="AD297" s="149"/>
      <c r="AH297" s="130"/>
      <c r="AI297" s="133"/>
      <c r="AJ297" s="175"/>
      <c r="AN297" s="149"/>
      <c r="AP297" s="149"/>
      <c r="AX297" s="149"/>
      <c r="AY297" s="163"/>
      <c r="AZ297" s="185"/>
      <c r="BD297" s="133"/>
      <c r="BE297" s="181"/>
      <c r="BF297" s="175"/>
      <c r="BJ297" s="149"/>
      <c r="BK297" s="163"/>
      <c r="BL297" s="185"/>
      <c r="BT297" s="130"/>
      <c r="BU297" s="133"/>
      <c r="BV297" s="149"/>
      <c r="BZ297" s="130"/>
      <c r="CA297" s="133"/>
      <c r="CB297" s="149"/>
      <c r="CF297" s="130"/>
      <c r="CG297" s="153"/>
      <c r="CH297" s="185"/>
      <c r="CP297" s="149"/>
      <c r="CR297" s="149"/>
    </row>
    <row r="298" spans="6:96" s="129" customFormat="1" x14ac:dyDescent="0.25">
      <c r="F298" s="149"/>
      <c r="G298" s="144"/>
      <c r="H298" s="149"/>
      <c r="L298" s="149"/>
      <c r="M298" s="163"/>
      <c r="N298" s="158"/>
      <c r="R298" s="149"/>
      <c r="T298" s="149"/>
      <c r="AB298" s="149"/>
      <c r="AC298" s="144"/>
      <c r="AD298" s="149"/>
      <c r="AH298" s="130"/>
      <c r="AI298" s="133"/>
      <c r="AJ298" s="175"/>
      <c r="AN298" s="149"/>
      <c r="AP298" s="149"/>
      <c r="AX298" s="149"/>
      <c r="AY298" s="163"/>
      <c r="AZ298" s="185"/>
      <c r="BD298" s="133"/>
      <c r="BE298" s="181"/>
      <c r="BF298" s="175"/>
      <c r="BJ298" s="149"/>
      <c r="BK298" s="163"/>
      <c r="BL298" s="185"/>
      <c r="BT298" s="130"/>
      <c r="BU298" s="133"/>
      <c r="BV298" s="149"/>
      <c r="BZ298" s="130"/>
      <c r="CA298" s="133"/>
      <c r="CB298" s="149"/>
      <c r="CF298" s="130"/>
      <c r="CG298" s="153"/>
      <c r="CH298" s="185"/>
      <c r="CP298" s="149"/>
      <c r="CR298" s="149"/>
    </row>
    <row r="299" spans="6:96" s="129" customFormat="1" x14ac:dyDescent="0.25">
      <c r="F299" s="149"/>
      <c r="G299" s="144"/>
      <c r="H299" s="149"/>
      <c r="L299" s="149"/>
      <c r="M299" s="163"/>
      <c r="N299" s="158"/>
      <c r="R299" s="149"/>
      <c r="T299" s="149"/>
      <c r="AB299" s="149"/>
      <c r="AC299" s="144"/>
      <c r="AD299" s="149"/>
      <c r="AH299" s="130"/>
      <c r="AI299" s="133"/>
      <c r="AJ299" s="175"/>
      <c r="AN299" s="149"/>
      <c r="AP299" s="149"/>
      <c r="AX299" s="149"/>
      <c r="AY299" s="163"/>
      <c r="AZ299" s="185"/>
      <c r="BD299" s="133"/>
      <c r="BE299" s="181"/>
      <c r="BF299" s="175"/>
      <c r="BJ299" s="149"/>
      <c r="BK299" s="163"/>
      <c r="BL299" s="185"/>
      <c r="BT299" s="130"/>
      <c r="BU299" s="133"/>
      <c r="BV299" s="149"/>
      <c r="BZ299" s="130"/>
      <c r="CA299" s="133"/>
      <c r="CB299" s="149"/>
      <c r="CF299" s="130"/>
      <c r="CG299" s="153"/>
      <c r="CH299" s="185"/>
      <c r="CP299" s="149"/>
      <c r="CR299" s="149"/>
    </row>
    <row r="300" spans="6:96" s="129" customFormat="1" x14ac:dyDescent="0.25">
      <c r="F300" s="149"/>
      <c r="G300" s="144"/>
      <c r="H300" s="149"/>
      <c r="L300" s="149"/>
      <c r="M300" s="163"/>
      <c r="N300" s="158"/>
      <c r="R300" s="149"/>
      <c r="T300" s="149"/>
      <c r="AB300" s="149"/>
      <c r="AC300" s="144"/>
      <c r="AD300" s="149"/>
      <c r="AH300" s="130"/>
      <c r="AI300" s="133"/>
      <c r="AJ300" s="175"/>
      <c r="AN300" s="149"/>
      <c r="AP300" s="149"/>
      <c r="AX300" s="149"/>
      <c r="AY300" s="163"/>
      <c r="AZ300" s="185"/>
      <c r="BD300" s="133"/>
      <c r="BE300" s="181"/>
      <c r="BF300" s="175"/>
      <c r="BJ300" s="149"/>
      <c r="BK300" s="163"/>
      <c r="BL300" s="185"/>
      <c r="BT300" s="130"/>
      <c r="BU300" s="133"/>
      <c r="BV300" s="149"/>
      <c r="BZ300" s="130"/>
      <c r="CA300" s="133"/>
      <c r="CB300" s="149"/>
      <c r="CF300" s="130"/>
      <c r="CG300" s="153"/>
      <c r="CH300" s="185"/>
      <c r="CP300" s="149"/>
      <c r="CR300" s="149"/>
    </row>
    <row r="301" spans="6:96" s="129" customFormat="1" x14ac:dyDescent="0.25">
      <c r="F301" s="149"/>
      <c r="G301" s="144"/>
      <c r="H301" s="149"/>
      <c r="L301" s="149"/>
      <c r="M301" s="163"/>
      <c r="N301" s="158"/>
      <c r="R301" s="149"/>
      <c r="T301" s="149"/>
      <c r="AB301" s="149"/>
      <c r="AC301" s="144"/>
      <c r="AD301" s="149"/>
      <c r="AH301" s="130"/>
      <c r="AI301" s="133"/>
      <c r="AJ301" s="175"/>
      <c r="AN301" s="149"/>
      <c r="AP301" s="149"/>
      <c r="AX301" s="149"/>
      <c r="AY301" s="163"/>
      <c r="AZ301" s="185"/>
      <c r="BD301" s="133"/>
      <c r="BE301" s="181"/>
      <c r="BF301" s="175"/>
      <c r="BJ301" s="149"/>
      <c r="BK301" s="163"/>
      <c r="BL301" s="185"/>
      <c r="BT301" s="130"/>
      <c r="BU301" s="133"/>
      <c r="BV301" s="149"/>
      <c r="BZ301" s="130"/>
      <c r="CA301" s="133"/>
      <c r="CB301" s="149"/>
      <c r="CF301" s="130"/>
      <c r="CG301" s="153"/>
      <c r="CH301" s="185"/>
      <c r="CP301" s="149"/>
      <c r="CR301" s="149"/>
    </row>
    <row r="302" spans="6:96" s="129" customFormat="1" x14ac:dyDescent="0.25">
      <c r="F302" s="149"/>
      <c r="G302" s="144"/>
      <c r="H302" s="149"/>
      <c r="L302" s="149"/>
      <c r="M302" s="163"/>
      <c r="N302" s="158"/>
      <c r="R302" s="149"/>
      <c r="T302" s="149"/>
      <c r="AB302" s="149"/>
      <c r="AC302" s="144"/>
      <c r="AD302" s="149"/>
      <c r="AH302" s="130"/>
      <c r="AI302" s="133"/>
      <c r="AJ302" s="175"/>
      <c r="AN302" s="149"/>
      <c r="AP302" s="149"/>
      <c r="AX302" s="149"/>
      <c r="AY302" s="163"/>
      <c r="AZ302" s="185"/>
      <c r="BD302" s="133"/>
      <c r="BE302" s="181"/>
      <c r="BF302" s="175"/>
      <c r="BJ302" s="149"/>
      <c r="BK302" s="163"/>
      <c r="BL302" s="185"/>
      <c r="BT302" s="130"/>
      <c r="BU302" s="133"/>
      <c r="BV302" s="149"/>
      <c r="BZ302" s="130"/>
      <c r="CA302" s="133"/>
      <c r="CB302" s="149"/>
      <c r="CF302" s="130"/>
      <c r="CG302" s="153"/>
      <c r="CH302" s="185"/>
      <c r="CP302" s="149"/>
      <c r="CR302" s="149"/>
    </row>
    <row r="303" spans="6:96" s="129" customFormat="1" x14ac:dyDescent="0.25">
      <c r="F303" s="149"/>
      <c r="G303" s="144"/>
      <c r="H303" s="149"/>
      <c r="L303" s="149"/>
      <c r="M303" s="163"/>
      <c r="N303" s="158"/>
      <c r="R303" s="149"/>
      <c r="T303" s="149"/>
      <c r="AB303" s="149"/>
      <c r="AC303" s="144"/>
      <c r="AD303" s="149"/>
      <c r="AH303" s="130"/>
      <c r="AI303" s="133"/>
      <c r="AJ303" s="175"/>
      <c r="AN303" s="149"/>
      <c r="AP303" s="149"/>
      <c r="AX303" s="149"/>
      <c r="AY303" s="163"/>
      <c r="AZ303" s="185"/>
      <c r="BD303" s="133"/>
      <c r="BE303" s="181"/>
      <c r="BF303" s="175"/>
      <c r="BJ303" s="149"/>
      <c r="BK303" s="163"/>
      <c r="BL303" s="185"/>
      <c r="BT303" s="130"/>
      <c r="BU303" s="133"/>
      <c r="BV303" s="149"/>
      <c r="BZ303" s="130"/>
      <c r="CA303" s="133"/>
      <c r="CB303" s="149"/>
      <c r="CF303" s="130"/>
      <c r="CG303" s="153"/>
      <c r="CH303" s="185"/>
      <c r="CP303" s="149"/>
      <c r="CR303" s="149"/>
    </row>
    <row r="304" spans="6:96" s="129" customFormat="1" x14ac:dyDescent="0.25">
      <c r="F304" s="149"/>
      <c r="G304" s="144"/>
      <c r="H304" s="149"/>
      <c r="L304" s="149"/>
      <c r="M304" s="163"/>
      <c r="N304" s="158"/>
      <c r="R304" s="149"/>
      <c r="T304" s="149"/>
      <c r="AB304" s="149"/>
      <c r="AC304" s="144"/>
      <c r="AD304" s="149"/>
      <c r="AH304" s="130"/>
      <c r="AI304" s="133"/>
      <c r="AJ304" s="175"/>
      <c r="AN304" s="149"/>
      <c r="AP304" s="149"/>
      <c r="AX304" s="149"/>
      <c r="AY304" s="163"/>
      <c r="AZ304" s="185"/>
      <c r="BD304" s="133"/>
      <c r="BE304" s="181"/>
      <c r="BF304" s="175"/>
      <c r="BJ304" s="149"/>
      <c r="BK304" s="163"/>
      <c r="BL304" s="185"/>
      <c r="BT304" s="130"/>
      <c r="BU304" s="133"/>
      <c r="BV304" s="149"/>
      <c r="BZ304" s="130"/>
      <c r="CA304" s="133"/>
      <c r="CB304" s="149"/>
      <c r="CF304" s="130"/>
      <c r="CG304" s="153"/>
      <c r="CH304" s="185"/>
      <c r="CP304" s="149"/>
      <c r="CR304" s="149"/>
    </row>
    <row r="305" spans="6:96" s="129" customFormat="1" x14ac:dyDescent="0.25">
      <c r="F305" s="149"/>
      <c r="G305" s="144"/>
      <c r="H305" s="149"/>
      <c r="L305" s="149"/>
      <c r="M305" s="163"/>
      <c r="N305" s="158"/>
      <c r="R305" s="149"/>
      <c r="T305" s="149"/>
      <c r="AB305" s="149"/>
      <c r="AC305" s="144"/>
      <c r="AD305" s="149"/>
      <c r="AH305" s="130"/>
      <c r="AI305" s="133"/>
      <c r="AJ305" s="175"/>
      <c r="AN305" s="149"/>
      <c r="AP305" s="149"/>
      <c r="AX305" s="149"/>
      <c r="AY305" s="163"/>
      <c r="AZ305" s="185"/>
      <c r="BD305" s="133"/>
      <c r="BE305" s="181"/>
      <c r="BF305" s="175"/>
      <c r="BJ305" s="149"/>
      <c r="BK305" s="163"/>
      <c r="BL305" s="185"/>
      <c r="BT305" s="130"/>
      <c r="BU305" s="133"/>
      <c r="BV305" s="149"/>
      <c r="BZ305" s="130"/>
      <c r="CA305" s="133"/>
      <c r="CB305" s="149"/>
      <c r="CF305" s="130"/>
      <c r="CG305" s="153"/>
      <c r="CH305" s="185"/>
      <c r="CP305" s="149"/>
      <c r="CR305" s="149"/>
    </row>
    <row r="306" spans="6:96" s="129" customFormat="1" x14ac:dyDescent="0.25">
      <c r="F306" s="149"/>
      <c r="G306" s="144"/>
      <c r="H306" s="149"/>
      <c r="L306" s="149"/>
      <c r="M306" s="163"/>
      <c r="N306" s="158"/>
      <c r="R306" s="149"/>
      <c r="T306" s="149"/>
      <c r="AB306" s="149"/>
      <c r="AC306" s="144"/>
      <c r="AD306" s="149"/>
      <c r="AH306" s="130"/>
      <c r="AI306" s="133"/>
      <c r="AJ306" s="175"/>
      <c r="AN306" s="149"/>
      <c r="AP306" s="149"/>
      <c r="AX306" s="149"/>
      <c r="AY306" s="163"/>
      <c r="AZ306" s="185"/>
      <c r="BD306" s="133"/>
      <c r="BE306" s="181"/>
      <c r="BF306" s="175"/>
      <c r="BJ306" s="149"/>
      <c r="BK306" s="163"/>
      <c r="BL306" s="185"/>
      <c r="BT306" s="130"/>
      <c r="BU306" s="133"/>
      <c r="BV306" s="149"/>
      <c r="BZ306" s="130"/>
      <c r="CA306" s="133"/>
      <c r="CB306" s="149"/>
      <c r="CF306" s="130"/>
      <c r="CG306" s="153"/>
      <c r="CH306" s="185"/>
      <c r="CP306" s="149"/>
      <c r="CR306" s="149"/>
    </row>
    <row r="307" spans="6:96" s="129" customFormat="1" x14ac:dyDescent="0.25">
      <c r="F307" s="149"/>
      <c r="G307" s="144"/>
      <c r="H307" s="149"/>
      <c r="L307" s="149"/>
      <c r="M307" s="163"/>
      <c r="N307" s="158"/>
      <c r="R307" s="149"/>
      <c r="T307" s="149"/>
      <c r="AB307" s="149"/>
      <c r="AC307" s="144"/>
      <c r="AD307" s="149"/>
      <c r="AH307" s="130"/>
      <c r="AI307" s="133"/>
      <c r="AJ307" s="175"/>
      <c r="AN307" s="149"/>
      <c r="AP307" s="149"/>
      <c r="AX307" s="149"/>
      <c r="AY307" s="163"/>
      <c r="AZ307" s="185"/>
      <c r="BD307" s="133"/>
      <c r="BE307" s="181"/>
      <c r="BF307" s="175"/>
      <c r="BJ307" s="149"/>
      <c r="BK307" s="163"/>
      <c r="BL307" s="185"/>
      <c r="BT307" s="130"/>
      <c r="BU307" s="133"/>
      <c r="BV307" s="149"/>
      <c r="BZ307" s="130"/>
      <c r="CA307" s="133"/>
      <c r="CB307" s="149"/>
      <c r="CF307" s="130"/>
      <c r="CG307" s="153"/>
      <c r="CH307" s="185"/>
      <c r="CP307" s="149"/>
      <c r="CR307" s="149"/>
    </row>
    <row r="308" spans="6:96" s="129" customFormat="1" x14ac:dyDescent="0.25">
      <c r="F308" s="149"/>
      <c r="G308" s="144"/>
      <c r="H308" s="149"/>
      <c r="L308" s="149"/>
      <c r="M308" s="163"/>
      <c r="N308" s="158"/>
      <c r="R308" s="149"/>
      <c r="T308" s="149"/>
      <c r="AB308" s="149"/>
      <c r="AC308" s="144"/>
      <c r="AD308" s="149"/>
      <c r="AH308" s="130"/>
      <c r="AI308" s="133"/>
      <c r="AJ308" s="175"/>
      <c r="AN308" s="149"/>
      <c r="AP308" s="149"/>
      <c r="AX308" s="149"/>
      <c r="AY308" s="163"/>
      <c r="AZ308" s="185"/>
      <c r="BD308" s="133"/>
      <c r="BE308" s="181"/>
      <c r="BF308" s="175"/>
      <c r="BJ308" s="149"/>
      <c r="BK308" s="163"/>
      <c r="BL308" s="185"/>
      <c r="BT308" s="130"/>
      <c r="BU308" s="133"/>
      <c r="BV308" s="149"/>
      <c r="BZ308" s="130"/>
      <c r="CA308" s="133"/>
      <c r="CB308" s="149"/>
      <c r="CF308" s="130"/>
      <c r="CG308" s="153"/>
      <c r="CH308" s="185"/>
      <c r="CP308" s="149"/>
      <c r="CR308" s="149"/>
    </row>
    <row r="309" spans="6:96" s="129" customFormat="1" x14ac:dyDescent="0.25">
      <c r="F309" s="149"/>
      <c r="G309" s="144"/>
      <c r="H309" s="149"/>
      <c r="L309" s="149"/>
      <c r="M309" s="163"/>
      <c r="N309" s="158"/>
      <c r="R309" s="149"/>
      <c r="T309" s="149"/>
      <c r="AB309" s="149"/>
      <c r="AC309" s="144"/>
      <c r="AD309" s="149"/>
      <c r="AH309" s="130"/>
      <c r="AI309" s="133"/>
      <c r="AJ309" s="175"/>
      <c r="AN309" s="149"/>
      <c r="AP309" s="149"/>
      <c r="AX309" s="149"/>
      <c r="AY309" s="163"/>
      <c r="AZ309" s="185"/>
      <c r="BD309" s="133"/>
      <c r="BE309" s="181"/>
      <c r="BF309" s="175"/>
      <c r="BJ309" s="149"/>
      <c r="BK309" s="163"/>
      <c r="BL309" s="185"/>
      <c r="BT309" s="130"/>
      <c r="BU309" s="133"/>
      <c r="BV309" s="149"/>
      <c r="BZ309" s="130"/>
      <c r="CA309" s="133"/>
      <c r="CB309" s="149"/>
      <c r="CF309" s="130"/>
      <c r="CG309" s="153"/>
      <c r="CH309" s="185"/>
      <c r="CP309" s="149"/>
      <c r="CR309" s="149"/>
    </row>
    <row r="310" spans="6:96" s="129" customFormat="1" x14ac:dyDescent="0.25">
      <c r="F310" s="149"/>
      <c r="G310" s="144"/>
      <c r="H310" s="149"/>
      <c r="L310" s="149"/>
      <c r="M310" s="163"/>
      <c r="N310" s="158"/>
      <c r="R310" s="149"/>
      <c r="T310" s="149"/>
      <c r="AB310" s="149"/>
      <c r="AC310" s="144"/>
      <c r="AD310" s="149"/>
      <c r="AH310" s="130"/>
      <c r="AI310" s="133"/>
      <c r="AJ310" s="175"/>
      <c r="AN310" s="149"/>
      <c r="AP310" s="149"/>
      <c r="AX310" s="149"/>
      <c r="AY310" s="163"/>
      <c r="AZ310" s="185"/>
      <c r="BD310" s="133"/>
      <c r="BE310" s="181"/>
      <c r="BF310" s="175"/>
      <c r="BJ310" s="149"/>
      <c r="BK310" s="163"/>
      <c r="BL310" s="185"/>
      <c r="BT310" s="130"/>
      <c r="BU310" s="133"/>
      <c r="BV310" s="149"/>
      <c r="BZ310" s="130"/>
      <c r="CA310" s="133"/>
      <c r="CB310" s="149"/>
      <c r="CF310" s="130"/>
      <c r="CG310" s="153"/>
      <c r="CH310" s="185"/>
      <c r="CP310" s="149"/>
      <c r="CR310" s="149"/>
    </row>
    <row r="311" spans="6:96" s="129" customFormat="1" x14ac:dyDescent="0.25">
      <c r="F311" s="149"/>
      <c r="G311" s="144"/>
      <c r="H311" s="149"/>
      <c r="L311" s="149"/>
      <c r="M311" s="163"/>
      <c r="N311" s="158"/>
      <c r="R311" s="149"/>
      <c r="T311" s="149"/>
      <c r="AB311" s="149"/>
      <c r="AC311" s="144"/>
      <c r="AD311" s="149"/>
      <c r="AH311" s="130"/>
      <c r="AI311" s="133"/>
      <c r="AJ311" s="175"/>
      <c r="AN311" s="149"/>
      <c r="AP311" s="149"/>
      <c r="AX311" s="149"/>
      <c r="AY311" s="163"/>
      <c r="AZ311" s="185"/>
      <c r="BD311" s="133"/>
      <c r="BE311" s="181"/>
      <c r="BF311" s="175"/>
      <c r="BJ311" s="149"/>
      <c r="BK311" s="163"/>
      <c r="BL311" s="185"/>
      <c r="BT311" s="130"/>
      <c r="BU311" s="133"/>
      <c r="BV311" s="149"/>
      <c r="BZ311" s="130"/>
      <c r="CA311" s="133"/>
      <c r="CB311" s="149"/>
      <c r="CF311" s="130"/>
      <c r="CG311" s="153"/>
      <c r="CH311" s="185"/>
      <c r="CP311" s="149"/>
      <c r="CR311" s="149"/>
    </row>
    <row r="312" spans="6:96" s="129" customFormat="1" x14ac:dyDescent="0.25">
      <c r="F312" s="149"/>
      <c r="G312" s="144"/>
      <c r="H312" s="149"/>
      <c r="L312" s="149"/>
      <c r="M312" s="163"/>
      <c r="N312" s="158"/>
      <c r="R312" s="149"/>
      <c r="T312" s="149"/>
      <c r="AB312" s="149"/>
      <c r="AC312" s="144"/>
      <c r="AD312" s="149"/>
      <c r="AH312" s="130"/>
      <c r="AI312" s="133"/>
      <c r="AJ312" s="175"/>
      <c r="AN312" s="149"/>
      <c r="AP312" s="149"/>
      <c r="AX312" s="149"/>
      <c r="AY312" s="163"/>
      <c r="AZ312" s="185"/>
      <c r="BD312" s="133"/>
      <c r="BE312" s="181"/>
      <c r="BF312" s="175"/>
      <c r="BJ312" s="149"/>
      <c r="BK312" s="163"/>
      <c r="BL312" s="185"/>
      <c r="BT312" s="130"/>
      <c r="BU312" s="133"/>
      <c r="BV312" s="149"/>
      <c r="BZ312" s="130"/>
      <c r="CA312" s="133"/>
      <c r="CB312" s="149"/>
      <c r="CF312" s="130"/>
      <c r="CG312" s="153"/>
      <c r="CH312" s="185"/>
      <c r="CP312" s="149"/>
      <c r="CR312" s="149"/>
    </row>
    <row r="313" spans="6:96" s="129" customFormat="1" x14ac:dyDescent="0.25">
      <c r="F313" s="149"/>
      <c r="G313" s="144"/>
      <c r="H313" s="149"/>
      <c r="L313" s="149"/>
      <c r="M313" s="163"/>
      <c r="N313" s="158"/>
      <c r="R313" s="149"/>
      <c r="T313" s="149"/>
      <c r="AB313" s="149"/>
      <c r="AC313" s="144"/>
      <c r="AD313" s="149"/>
      <c r="AH313" s="130"/>
      <c r="AI313" s="133"/>
      <c r="AJ313" s="175"/>
      <c r="AN313" s="149"/>
      <c r="AP313" s="149"/>
      <c r="AX313" s="149"/>
      <c r="AY313" s="163"/>
      <c r="AZ313" s="185"/>
      <c r="BD313" s="133"/>
      <c r="BE313" s="181"/>
      <c r="BF313" s="175"/>
      <c r="BJ313" s="149"/>
      <c r="BK313" s="163"/>
      <c r="BL313" s="185"/>
      <c r="BT313" s="130"/>
      <c r="BU313" s="133"/>
      <c r="BV313" s="149"/>
      <c r="BZ313" s="130"/>
      <c r="CA313" s="133"/>
      <c r="CB313" s="149"/>
      <c r="CF313" s="130"/>
      <c r="CG313" s="153"/>
      <c r="CH313" s="185"/>
      <c r="CP313" s="149"/>
      <c r="CR313" s="149"/>
    </row>
    <row r="314" spans="6:96" s="129" customFormat="1" x14ac:dyDescent="0.25">
      <c r="F314" s="149"/>
      <c r="G314" s="144"/>
      <c r="H314" s="149"/>
      <c r="L314" s="149"/>
      <c r="M314" s="163"/>
      <c r="N314" s="158"/>
      <c r="R314" s="149"/>
      <c r="T314" s="149"/>
      <c r="AB314" s="149"/>
      <c r="AC314" s="144"/>
      <c r="AD314" s="149"/>
      <c r="AH314" s="130"/>
      <c r="AI314" s="133"/>
      <c r="AJ314" s="175"/>
      <c r="AN314" s="149"/>
      <c r="AP314" s="149"/>
      <c r="AX314" s="149"/>
      <c r="AY314" s="163"/>
      <c r="AZ314" s="185"/>
      <c r="BD314" s="133"/>
      <c r="BE314" s="181"/>
      <c r="BF314" s="175"/>
      <c r="BJ314" s="149"/>
      <c r="BK314" s="163"/>
      <c r="BL314" s="185"/>
      <c r="BT314" s="130"/>
      <c r="BU314" s="133"/>
      <c r="BV314" s="149"/>
      <c r="BZ314" s="130"/>
      <c r="CA314" s="133"/>
      <c r="CB314" s="149"/>
      <c r="CF314" s="130"/>
      <c r="CG314" s="153"/>
      <c r="CH314" s="185"/>
      <c r="CP314" s="149"/>
      <c r="CR314" s="149"/>
    </row>
    <row r="315" spans="6:96" s="129" customFormat="1" x14ac:dyDescent="0.25">
      <c r="F315" s="149"/>
      <c r="G315" s="144"/>
      <c r="H315" s="149"/>
      <c r="L315" s="149"/>
      <c r="M315" s="163"/>
      <c r="N315" s="158"/>
      <c r="R315" s="149"/>
      <c r="T315" s="149"/>
      <c r="AB315" s="149"/>
      <c r="AC315" s="144"/>
      <c r="AD315" s="149"/>
      <c r="AH315" s="130"/>
      <c r="AI315" s="133"/>
      <c r="AJ315" s="175"/>
      <c r="AN315" s="149"/>
      <c r="AP315" s="149"/>
      <c r="AX315" s="149"/>
      <c r="AY315" s="163"/>
      <c r="AZ315" s="185"/>
      <c r="BD315" s="133"/>
      <c r="BE315" s="181"/>
      <c r="BF315" s="175"/>
      <c r="BJ315" s="149"/>
      <c r="BK315" s="163"/>
      <c r="BL315" s="185"/>
      <c r="BT315" s="130"/>
      <c r="BU315" s="133"/>
      <c r="BV315" s="149"/>
      <c r="BZ315" s="130"/>
      <c r="CA315" s="133"/>
      <c r="CB315" s="149"/>
      <c r="CF315" s="130"/>
      <c r="CG315" s="153"/>
      <c r="CH315" s="185"/>
      <c r="CP315" s="149"/>
      <c r="CR315" s="149"/>
    </row>
    <row r="316" spans="6:96" s="129" customFormat="1" x14ac:dyDescent="0.25">
      <c r="F316" s="149"/>
      <c r="G316" s="144"/>
      <c r="H316" s="149"/>
      <c r="L316" s="149"/>
      <c r="M316" s="163"/>
      <c r="N316" s="158"/>
      <c r="R316" s="149"/>
      <c r="T316" s="149"/>
      <c r="AB316" s="149"/>
      <c r="AC316" s="144"/>
      <c r="AD316" s="149"/>
      <c r="AH316" s="130"/>
      <c r="AI316" s="133"/>
      <c r="AJ316" s="175"/>
      <c r="AN316" s="149"/>
      <c r="AP316" s="149"/>
      <c r="AX316" s="149"/>
      <c r="AY316" s="163"/>
      <c r="AZ316" s="185"/>
      <c r="BD316" s="133"/>
      <c r="BE316" s="181"/>
      <c r="BF316" s="175"/>
      <c r="BJ316" s="149"/>
      <c r="BK316" s="163"/>
      <c r="BL316" s="185"/>
      <c r="BT316" s="130"/>
      <c r="BU316" s="133"/>
      <c r="BV316" s="149"/>
      <c r="BZ316" s="130"/>
      <c r="CA316" s="133"/>
      <c r="CB316" s="149"/>
      <c r="CF316" s="130"/>
      <c r="CG316" s="153"/>
      <c r="CH316" s="185"/>
      <c r="CP316" s="149"/>
      <c r="CR316" s="149"/>
    </row>
    <row r="317" spans="6:96" s="129" customFormat="1" x14ac:dyDescent="0.25">
      <c r="F317" s="149"/>
      <c r="G317" s="144"/>
      <c r="H317" s="149"/>
      <c r="L317" s="149"/>
      <c r="M317" s="163"/>
      <c r="N317" s="158"/>
      <c r="R317" s="149"/>
      <c r="T317" s="149"/>
      <c r="AB317" s="149"/>
      <c r="AC317" s="144"/>
      <c r="AD317" s="149"/>
      <c r="AH317" s="130"/>
      <c r="AI317" s="133"/>
      <c r="AJ317" s="175"/>
      <c r="AN317" s="149"/>
      <c r="AP317" s="149"/>
      <c r="AX317" s="149"/>
      <c r="AY317" s="163"/>
      <c r="AZ317" s="185"/>
      <c r="BD317" s="133"/>
      <c r="BE317" s="181"/>
      <c r="BF317" s="175"/>
      <c r="BJ317" s="149"/>
      <c r="BK317" s="163"/>
      <c r="BL317" s="185"/>
      <c r="BT317" s="130"/>
      <c r="BU317" s="133"/>
      <c r="BV317" s="149"/>
      <c r="BZ317" s="130"/>
      <c r="CA317" s="133"/>
      <c r="CB317" s="149"/>
      <c r="CF317" s="130"/>
      <c r="CG317" s="153"/>
      <c r="CH317" s="185"/>
      <c r="CP317" s="149"/>
      <c r="CR317" s="149"/>
    </row>
    <row r="318" spans="6:96" s="129" customFormat="1" x14ac:dyDescent="0.25">
      <c r="F318" s="149"/>
      <c r="G318" s="144"/>
      <c r="H318" s="149"/>
      <c r="L318" s="149"/>
      <c r="M318" s="163"/>
      <c r="N318" s="158"/>
      <c r="R318" s="149"/>
      <c r="T318" s="149"/>
      <c r="AB318" s="149"/>
      <c r="AC318" s="144"/>
      <c r="AD318" s="149"/>
      <c r="AH318" s="130"/>
      <c r="AI318" s="133"/>
      <c r="AJ318" s="175"/>
      <c r="AN318" s="149"/>
      <c r="AP318" s="149"/>
      <c r="AX318" s="149"/>
      <c r="AY318" s="163"/>
      <c r="AZ318" s="185"/>
      <c r="BD318" s="133"/>
      <c r="BE318" s="181"/>
      <c r="BF318" s="175"/>
      <c r="BJ318" s="149"/>
      <c r="BK318" s="163"/>
      <c r="BL318" s="185"/>
      <c r="BT318" s="130"/>
      <c r="BU318" s="133"/>
      <c r="BV318" s="149"/>
      <c r="BZ318" s="130"/>
      <c r="CA318" s="133"/>
      <c r="CB318" s="149"/>
      <c r="CF318" s="130"/>
      <c r="CG318" s="153"/>
      <c r="CH318" s="185"/>
      <c r="CP318" s="149"/>
      <c r="CR318" s="149"/>
    </row>
    <row r="319" spans="6:96" s="129" customFormat="1" x14ac:dyDescent="0.25">
      <c r="F319" s="149"/>
      <c r="G319" s="144"/>
      <c r="H319" s="149"/>
      <c r="L319" s="149"/>
      <c r="M319" s="163"/>
      <c r="N319" s="158"/>
      <c r="R319" s="149"/>
      <c r="T319" s="149"/>
      <c r="AB319" s="149"/>
      <c r="AC319" s="144"/>
      <c r="AD319" s="149"/>
      <c r="AH319" s="130"/>
      <c r="AI319" s="133"/>
      <c r="AJ319" s="175"/>
      <c r="AN319" s="149"/>
      <c r="AP319" s="149"/>
      <c r="AX319" s="149"/>
      <c r="AY319" s="163"/>
      <c r="AZ319" s="185"/>
      <c r="BD319" s="133"/>
      <c r="BE319" s="181"/>
      <c r="BF319" s="175"/>
      <c r="BJ319" s="149"/>
      <c r="BK319" s="163"/>
      <c r="BL319" s="185"/>
      <c r="BT319" s="130"/>
      <c r="BU319" s="133"/>
      <c r="BV319" s="149"/>
      <c r="BZ319" s="130"/>
      <c r="CA319" s="133"/>
      <c r="CB319" s="149"/>
      <c r="CF319" s="130"/>
      <c r="CG319" s="153"/>
      <c r="CH319" s="185"/>
      <c r="CP319" s="149"/>
      <c r="CR319" s="149"/>
    </row>
    <row r="320" spans="6:96" s="129" customFormat="1" x14ac:dyDescent="0.25">
      <c r="F320" s="149"/>
      <c r="G320" s="144"/>
      <c r="H320" s="149"/>
      <c r="L320" s="149"/>
      <c r="M320" s="163"/>
      <c r="N320" s="158"/>
      <c r="R320" s="149"/>
      <c r="T320" s="149"/>
      <c r="AB320" s="149"/>
      <c r="AC320" s="144"/>
      <c r="AD320" s="149"/>
      <c r="AH320" s="130"/>
      <c r="AI320" s="133"/>
      <c r="AJ320" s="175"/>
      <c r="AN320" s="149"/>
      <c r="AP320" s="149"/>
      <c r="AX320" s="149"/>
      <c r="AY320" s="163"/>
      <c r="AZ320" s="185"/>
      <c r="BD320" s="133"/>
      <c r="BE320" s="181"/>
      <c r="BF320" s="175"/>
      <c r="BJ320" s="149"/>
      <c r="BK320" s="163"/>
      <c r="BL320" s="185"/>
      <c r="BT320" s="130"/>
      <c r="BU320" s="133"/>
      <c r="BV320" s="149"/>
      <c r="BZ320" s="130"/>
      <c r="CA320" s="133"/>
      <c r="CB320" s="149"/>
      <c r="CF320" s="130"/>
      <c r="CG320" s="153"/>
      <c r="CH320" s="185"/>
      <c r="CP320" s="149"/>
      <c r="CR320" s="149"/>
    </row>
    <row r="321" spans="6:96" s="129" customFormat="1" x14ac:dyDescent="0.25">
      <c r="F321" s="149"/>
      <c r="G321" s="144"/>
      <c r="H321" s="149"/>
      <c r="L321" s="149"/>
      <c r="M321" s="163"/>
      <c r="N321" s="158"/>
      <c r="R321" s="149"/>
      <c r="T321" s="149"/>
      <c r="AB321" s="149"/>
      <c r="AC321" s="144"/>
      <c r="AD321" s="149"/>
      <c r="AH321" s="130"/>
      <c r="AI321" s="133"/>
      <c r="AJ321" s="175"/>
      <c r="AN321" s="149"/>
      <c r="AP321" s="149"/>
      <c r="AX321" s="149"/>
      <c r="AY321" s="163"/>
      <c r="AZ321" s="185"/>
      <c r="BD321" s="133"/>
      <c r="BE321" s="181"/>
      <c r="BF321" s="175"/>
      <c r="BJ321" s="149"/>
      <c r="BK321" s="163"/>
      <c r="BL321" s="185"/>
      <c r="BT321" s="130"/>
      <c r="BU321" s="133"/>
      <c r="BV321" s="149"/>
      <c r="BZ321" s="130"/>
      <c r="CA321" s="133"/>
      <c r="CB321" s="149"/>
      <c r="CF321" s="130"/>
      <c r="CG321" s="153"/>
      <c r="CH321" s="185"/>
      <c r="CP321" s="149"/>
      <c r="CR321" s="149"/>
    </row>
    <row r="322" spans="6:96" s="129" customFormat="1" x14ac:dyDescent="0.25">
      <c r="F322" s="149"/>
      <c r="G322" s="144"/>
      <c r="H322" s="149"/>
      <c r="L322" s="149"/>
      <c r="M322" s="163"/>
      <c r="N322" s="158"/>
      <c r="R322" s="149"/>
      <c r="T322" s="149"/>
      <c r="AB322" s="149"/>
      <c r="AC322" s="144"/>
      <c r="AD322" s="149"/>
      <c r="AH322" s="130"/>
      <c r="AI322" s="133"/>
      <c r="AJ322" s="175"/>
      <c r="AN322" s="149"/>
      <c r="AP322" s="149"/>
      <c r="AX322" s="149"/>
      <c r="AY322" s="163"/>
      <c r="AZ322" s="185"/>
      <c r="BD322" s="133"/>
      <c r="BE322" s="181"/>
      <c r="BF322" s="175"/>
      <c r="BJ322" s="149"/>
      <c r="BK322" s="163"/>
      <c r="BL322" s="185"/>
      <c r="BT322" s="130"/>
      <c r="BU322" s="133"/>
      <c r="BV322" s="149"/>
      <c r="BZ322" s="130"/>
      <c r="CA322" s="133"/>
      <c r="CB322" s="149"/>
      <c r="CF322" s="130"/>
      <c r="CG322" s="153"/>
      <c r="CH322" s="185"/>
      <c r="CP322" s="149"/>
      <c r="CR322" s="149"/>
    </row>
    <row r="323" spans="6:96" s="129" customFormat="1" x14ac:dyDescent="0.25">
      <c r="F323" s="149"/>
      <c r="G323" s="144"/>
      <c r="H323" s="149"/>
      <c r="L323" s="149"/>
      <c r="M323" s="163"/>
      <c r="N323" s="158"/>
      <c r="R323" s="149"/>
      <c r="T323" s="149"/>
      <c r="AB323" s="149"/>
      <c r="AC323" s="144"/>
      <c r="AD323" s="149"/>
      <c r="AH323" s="130"/>
      <c r="AI323" s="133"/>
      <c r="AJ323" s="175"/>
      <c r="AN323" s="149"/>
      <c r="AP323" s="149"/>
      <c r="AX323" s="149"/>
      <c r="AY323" s="163"/>
      <c r="AZ323" s="185"/>
      <c r="BD323" s="133"/>
      <c r="BE323" s="181"/>
      <c r="BF323" s="175"/>
      <c r="BJ323" s="149"/>
      <c r="BK323" s="163"/>
      <c r="BL323" s="185"/>
      <c r="BT323" s="130"/>
      <c r="BU323" s="133"/>
      <c r="BV323" s="149"/>
      <c r="BZ323" s="130"/>
      <c r="CA323" s="133"/>
      <c r="CB323" s="149"/>
      <c r="CF323" s="130"/>
      <c r="CG323" s="153"/>
      <c r="CH323" s="185"/>
      <c r="CP323" s="149"/>
      <c r="CR323" s="149"/>
    </row>
    <row r="324" spans="6:96" s="129" customFormat="1" x14ac:dyDescent="0.25">
      <c r="F324" s="149"/>
      <c r="G324" s="144"/>
      <c r="H324" s="149"/>
      <c r="L324" s="149"/>
      <c r="M324" s="163"/>
      <c r="N324" s="158"/>
      <c r="R324" s="149"/>
      <c r="T324" s="149"/>
      <c r="AB324" s="149"/>
      <c r="AC324" s="144"/>
      <c r="AD324" s="149"/>
      <c r="AH324" s="130"/>
      <c r="AI324" s="133"/>
      <c r="AJ324" s="175"/>
      <c r="AN324" s="149"/>
      <c r="AP324" s="149"/>
      <c r="AX324" s="149"/>
      <c r="AY324" s="163"/>
      <c r="AZ324" s="185"/>
      <c r="BD324" s="133"/>
      <c r="BE324" s="181"/>
      <c r="BF324" s="175"/>
      <c r="BJ324" s="149"/>
      <c r="BK324" s="163"/>
      <c r="BL324" s="185"/>
      <c r="BT324" s="130"/>
      <c r="BU324" s="133"/>
      <c r="BV324" s="149"/>
      <c r="BZ324" s="130"/>
      <c r="CA324" s="133"/>
      <c r="CB324" s="149"/>
      <c r="CF324" s="130"/>
      <c r="CG324" s="153"/>
      <c r="CH324" s="185"/>
      <c r="CP324" s="149"/>
      <c r="CR324" s="149"/>
    </row>
    <row r="325" spans="6:96" s="129" customFormat="1" x14ac:dyDescent="0.25">
      <c r="F325" s="149"/>
      <c r="G325" s="144"/>
      <c r="H325" s="149"/>
      <c r="L325" s="149"/>
      <c r="M325" s="163"/>
      <c r="N325" s="158"/>
      <c r="R325" s="149"/>
      <c r="T325" s="149"/>
      <c r="AB325" s="149"/>
      <c r="AC325" s="144"/>
      <c r="AD325" s="149"/>
      <c r="AH325" s="130"/>
      <c r="AI325" s="133"/>
      <c r="AJ325" s="175"/>
      <c r="AN325" s="149"/>
      <c r="AP325" s="149"/>
      <c r="AX325" s="149"/>
      <c r="AY325" s="163"/>
      <c r="AZ325" s="185"/>
      <c r="BD325" s="133"/>
      <c r="BE325" s="181"/>
      <c r="BF325" s="175"/>
      <c r="BJ325" s="149"/>
      <c r="BK325" s="163"/>
      <c r="BL325" s="185"/>
      <c r="BT325" s="130"/>
      <c r="BU325" s="133"/>
      <c r="BV325" s="149"/>
      <c r="BZ325" s="130"/>
      <c r="CA325" s="133"/>
      <c r="CB325" s="149"/>
      <c r="CF325" s="130"/>
      <c r="CG325" s="153"/>
      <c r="CH325" s="185"/>
      <c r="CP325" s="149"/>
      <c r="CR325" s="149"/>
    </row>
    <row r="326" spans="6:96" s="129" customFormat="1" x14ac:dyDescent="0.25">
      <c r="F326" s="149"/>
      <c r="G326" s="144"/>
      <c r="H326" s="149"/>
      <c r="L326" s="149"/>
      <c r="M326" s="163"/>
      <c r="N326" s="158"/>
      <c r="R326" s="149"/>
      <c r="T326" s="149"/>
      <c r="AB326" s="149"/>
      <c r="AC326" s="144"/>
      <c r="AD326" s="149"/>
      <c r="AH326" s="130"/>
      <c r="AI326" s="133"/>
      <c r="AJ326" s="175"/>
      <c r="AN326" s="149"/>
      <c r="AP326" s="149"/>
      <c r="AX326" s="149"/>
      <c r="AY326" s="163"/>
      <c r="AZ326" s="185"/>
      <c r="BD326" s="133"/>
      <c r="BE326" s="181"/>
      <c r="BF326" s="175"/>
      <c r="BJ326" s="149"/>
      <c r="BK326" s="163"/>
      <c r="BL326" s="185"/>
      <c r="BT326" s="130"/>
      <c r="BU326" s="133"/>
      <c r="BV326" s="149"/>
      <c r="BZ326" s="130"/>
      <c r="CA326" s="133"/>
      <c r="CB326" s="149"/>
      <c r="CF326" s="130"/>
      <c r="CG326" s="153"/>
      <c r="CH326" s="185"/>
      <c r="CP326" s="149"/>
      <c r="CR326" s="149"/>
    </row>
    <row r="327" spans="6:96" s="129" customFormat="1" x14ac:dyDescent="0.25">
      <c r="F327" s="149"/>
      <c r="G327" s="144"/>
      <c r="H327" s="149"/>
      <c r="L327" s="149"/>
      <c r="M327" s="163"/>
      <c r="N327" s="158"/>
      <c r="R327" s="149"/>
      <c r="T327" s="149"/>
      <c r="AB327" s="149"/>
      <c r="AC327" s="144"/>
      <c r="AD327" s="149"/>
      <c r="AH327" s="130"/>
      <c r="AI327" s="133"/>
      <c r="AJ327" s="175"/>
      <c r="AN327" s="149"/>
      <c r="AP327" s="149"/>
      <c r="AX327" s="149"/>
      <c r="AY327" s="163"/>
      <c r="AZ327" s="185"/>
      <c r="BD327" s="133"/>
      <c r="BE327" s="181"/>
      <c r="BF327" s="175"/>
      <c r="BJ327" s="149"/>
      <c r="BK327" s="163"/>
      <c r="BL327" s="185"/>
      <c r="BT327" s="130"/>
      <c r="BU327" s="133"/>
      <c r="BV327" s="149"/>
      <c r="BZ327" s="130"/>
      <c r="CA327" s="133"/>
      <c r="CB327" s="149"/>
      <c r="CF327" s="130"/>
      <c r="CG327" s="153"/>
      <c r="CH327" s="185"/>
      <c r="CP327" s="149"/>
      <c r="CR327" s="149"/>
    </row>
    <row r="328" spans="6:96" s="129" customFormat="1" x14ac:dyDescent="0.25">
      <c r="F328" s="149"/>
      <c r="G328" s="144"/>
      <c r="H328" s="149"/>
      <c r="L328" s="149"/>
      <c r="M328" s="163"/>
      <c r="N328" s="158"/>
      <c r="R328" s="149"/>
      <c r="T328" s="149"/>
      <c r="AB328" s="149"/>
      <c r="AC328" s="144"/>
      <c r="AD328" s="149"/>
      <c r="AH328" s="130"/>
      <c r="AI328" s="133"/>
      <c r="AJ328" s="175"/>
      <c r="AN328" s="149"/>
      <c r="AP328" s="149"/>
      <c r="AX328" s="149"/>
      <c r="AY328" s="163"/>
      <c r="AZ328" s="185"/>
      <c r="BD328" s="133"/>
      <c r="BE328" s="181"/>
      <c r="BF328" s="175"/>
      <c r="BJ328" s="149"/>
      <c r="BK328" s="163"/>
      <c r="BL328" s="185"/>
      <c r="BT328" s="130"/>
      <c r="BU328" s="133"/>
      <c r="BV328" s="149"/>
      <c r="BZ328" s="130"/>
      <c r="CA328" s="133"/>
      <c r="CB328" s="149"/>
      <c r="CF328" s="130"/>
      <c r="CG328" s="153"/>
      <c r="CH328" s="185"/>
      <c r="CP328" s="149"/>
      <c r="CR328" s="149"/>
    </row>
    <row r="329" spans="6:96" s="129" customFormat="1" x14ac:dyDescent="0.25">
      <c r="F329" s="149"/>
      <c r="G329" s="144"/>
      <c r="H329" s="149"/>
      <c r="L329" s="149"/>
      <c r="M329" s="163"/>
      <c r="N329" s="158"/>
      <c r="R329" s="149"/>
      <c r="T329" s="149"/>
      <c r="AB329" s="149"/>
      <c r="AC329" s="144"/>
      <c r="AD329" s="149"/>
      <c r="AH329" s="130"/>
      <c r="AI329" s="133"/>
      <c r="AJ329" s="175"/>
      <c r="AN329" s="149"/>
      <c r="AP329" s="149"/>
      <c r="AX329" s="149"/>
      <c r="AY329" s="163"/>
      <c r="AZ329" s="185"/>
      <c r="BD329" s="133"/>
      <c r="BE329" s="181"/>
      <c r="BF329" s="175"/>
      <c r="BJ329" s="149"/>
      <c r="BK329" s="163"/>
      <c r="BL329" s="185"/>
      <c r="BT329" s="130"/>
      <c r="BU329" s="133"/>
      <c r="BV329" s="149"/>
      <c r="BZ329" s="130"/>
      <c r="CA329" s="133"/>
      <c r="CB329" s="149"/>
      <c r="CF329" s="130"/>
      <c r="CG329" s="153"/>
      <c r="CH329" s="185"/>
      <c r="CP329" s="149"/>
      <c r="CR329" s="149"/>
    </row>
    <row r="330" spans="6:96" s="129" customFormat="1" x14ac:dyDescent="0.25">
      <c r="F330" s="149"/>
      <c r="G330" s="144"/>
      <c r="H330" s="149"/>
      <c r="L330" s="149"/>
      <c r="M330" s="163"/>
      <c r="N330" s="158"/>
      <c r="R330" s="149"/>
      <c r="T330" s="149"/>
      <c r="AB330" s="149"/>
      <c r="AC330" s="144"/>
      <c r="AD330" s="149"/>
      <c r="AH330" s="130"/>
      <c r="AI330" s="133"/>
      <c r="AJ330" s="175"/>
      <c r="AN330" s="149"/>
      <c r="AP330" s="149"/>
      <c r="AX330" s="149"/>
      <c r="AY330" s="163"/>
      <c r="AZ330" s="185"/>
      <c r="BD330" s="133"/>
      <c r="BE330" s="181"/>
      <c r="BF330" s="175"/>
      <c r="BJ330" s="149"/>
      <c r="BK330" s="163"/>
      <c r="BL330" s="185"/>
      <c r="BT330" s="130"/>
      <c r="BU330" s="133"/>
      <c r="BV330" s="149"/>
      <c r="BZ330" s="130"/>
      <c r="CA330" s="133"/>
      <c r="CB330" s="149"/>
      <c r="CF330" s="130"/>
      <c r="CG330" s="153"/>
      <c r="CH330" s="185"/>
      <c r="CP330" s="149"/>
      <c r="CR330" s="149"/>
    </row>
    <row r="331" spans="6:96" s="129" customFormat="1" x14ac:dyDescent="0.25">
      <c r="F331" s="149"/>
      <c r="G331" s="144"/>
      <c r="H331" s="149"/>
      <c r="L331" s="149"/>
      <c r="M331" s="163"/>
      <c r="N331" s="158"/>
      <c r="R331" s="149"/>
      <c r="T331" s="149"/>
      <c r="AB331" s="149"/>
      <c r="AC331" s="144"/>
      <c r="AD331" s="149"/>
      <c r="AH331" s="130"/>
      <c r="AI331" s="133"/>
      <c r="AJ331" s="175"/>
      <c r="AN331" s="149"/>
      <c r="AP331" s="149"/>
      <c r="AX331" s="149"/>
      <c r="AY331" s="163"/>
      <c r="AZ331" s="185"/>
      <c r="BD331" s="133"/>
      <c r="BE331" s="181"/>
      <c r="BF331" s="175"/>
      <c r="BJ331" s="149"/>
      <c r="BK331" s="163"/>
      <c r="BL331" s="185"/>
      <c r="BT331" s="130"/>
      <c r="BU331" s="133"/>
      <c r="BV331" s="149"/>
      <c r="BZ331" s="130"/>
      <c r="CA331" s="133"/>
      <c r="CB331" s="149"/>
      <c r="CF331" s="130"/>
      <c r="CG331" s="153"/>
      <c r="CH331" s="185"/>
      <c r="CP331" s="149"/>
      <c r="CR331" s="149"/>
    </row>
    <row r="332" spans="6:96" s="129" customFormat="1" x14ac:dyDescent="0.25">
      <c r="F332" s="149"/>
      <c r="G332" s="144"/>
      <c r="H332" s="149"/>
      <c r="L332" s="149"/>
      <c r="M332" s="163"/>
      <c r="N332" s="158"/>
      <c r="R332" s="149"/>
      <c r="T332" s="149"/>
      <c r="AB332" s="149"/>
      <c r="AC332" s="144"/>
      <c r="AD332" s="149"/>
      <c r="AH332" s="130"/>
      <c r="AI332" s="133"/>
      <c r="AJ332" s="175"/>
      <c r="AN332" s="149"/>
      <c r="AP332" s="149"/>
      <c r="AX332" s="149"/>
      <c r="AY332" s="163"/>
      <c r="AZ332" s="185"/>
      <c r="BD332" s="133"/>
      <c r="BE332" s="181"/>
      <c r="BF332" s="175"/>
      <c r="BJ332" s="149"/>
      <c r="BK332" s="163"/>
      <c r="BL332" s="185"/>
      <c r="BT332" s="130"/>
      <c r="BU332" s="133"/>
      <c r="BV332" s="149"/>
      <c r="BZ332" s="130"/>
      <c r="CA332" s="133"/>
      <c r="CB332" s="149"/>
      <c r="CF332" s="130"/>
      <c r="CG332" s="153"/>
      <c r="CH332" s="185"/>
      <c r="CP332" s="149"/>
      <c r="CR332" s="149"/>
    </row>
    <row r="333" spans="6:96" s="129" customFormat="1" x14ac:dyDescent="0.25">
      <c r="F333" s="149"/>
      <c r="G333" s="144"/>
      <c r="H333" s="149"/>
      <c r="L333" s="149"/>
      <c r="M333" s="163"/>
      <c r="N333" s="158"/>
      <c r="R333" s="149"/>
      <c r="T333" s="149"/>
      <c r="AB333" s="149"/>
      <c r="AC333" s="144"/>
      <c r="AD333" s="149"/>
      <c r="AH333" s="130"/>
      <c r="AI333" s="133"/>
      <c r="AJ333" s="175"/>
      <c r="AN333" s="149"/>
      <c r="AP333" s="149"/>
      <c r="AX333" s="149"/>
      <c r="AY333" s="163"/>
      <c r="AZ333" s="185"/>
      <c r="BD333" s="133"/>
      <c r="BE333" s="181"/>
      <c r="BF333" s="175"/>
      <c r="BJ333" s="149"/>
      <c r="BK333" s="163"/>
      <c r="BL333" s="185"/>
      <c r="BT333" s="130"/>
      <c r="BU333" s="133"/>
      <c r="BV333" s="149"/>
      <c r="BZ333" s="130"/>
      <c r="CA333" s="133"/>
      <c r="CB333" s="149"/>
      <c r="CF333" s="130"/>
      <c r="CG333" s="153"/>
      <c r="CH333" s="185"/>
      <c r="CP333" s="149"/>
      <c r="CR333" s="149"/>
    </row>
    <row r="334" spans="6:96" s="129" customFormat="1" x14ac:dyDescent="0.25">
      <c r="F334" s="149"/>
      <c r="G334" s="144"/>
      <c r="H334" s="149"/>
      <c r="L334" s="149"/>
      <c r="M334" s="163"/>
      <c r="N334" s="158"/>
      <c r="R334" s="149"/>
      <c r="T334" s="149"/>
      <c r="AB334" s="149"/>
      <c r="AC334" s="144"/>
      <c r="AD334" s="149"/>
      <c r="AH334" s="130"/>
      <c r="AI334" s="133"/>
      <c r="AJ334" s="175"/>
      <c r="AN334" s="149"/>
      <c r="AP334" s="149"/>
      <c r="AX334" s="149"/>
      <c r="AY334" s="163"/>
      <c r="AZ334" s="185"/>
      <c r="BD334" s="133"/>
      <c r="BE334" s="181"/>
      <c r="BF334" s="175"/>
      <c r="BJ334" s="149"/>
      <c r="BK334" s="163"/>
      <c r="BL334" s="185"/>
      <c r="BT334" s="130"/>
      <c r="BU334" s="133"/>
      <c r="BV334" s="149"/>
      <c r="BZ334" s="130"/>
      <c r="CA334" s="133"/>
      <c r="CB334" s="149"/>
      <c r="CF334" s="130"/>
      <c r="CG334" s="153"/>
      <c r="CH334" s="185"/>
      <c r="CP334" s="149"/>
      <c r="CR334" s="149"/>
    </row>
    <row r="335" spans="6:96" s="129" customFormat="1" x14ac:dyDescent="0.25">
      <c r="F335" s="149"/>
      <c r="G335" s="144"/>
      <c r="H335" s="149"/>
      <c r="L335" s="149"/>
      <c r="M335" s="163"/>
      <c r="N335" s="158"/>
      <c r="R335" s="149"/>
      <c r="T335" s="149"/>
      <c r="AB335" s="149"/>
      <c r="AC335" s="144"/>
      <c r="AD335" s="149"/>
      <c r="AH335" s="130"/>
      <c r="AI335" s="133"/>
      <c r="AJ335" s="175"/>
      <c r="AN335" s="149"/>
      <c r="AP335" s="149"/>
      <c r="AX335" s="149"/>
      <c r="AY335" s="163"/>
      <c r="AZ335" s="185"/>
      <c r="BD335" s="133"/>
      <c r="BE335" s="181"/>
      <c r="BF335" s="175"/>
      <c r="BJ335" s="149"/>
      <c r="BK335" s="163"/>
      <c r="BL335" s="185"/>
      <c r="BT335" s="130"/>
      <c r="BU335" s="133"/>
      <c r="BV335" s="149"/>
      <c r="BZ335" s="130"/>
      <c r="CA335" s="133"/>
      <c r="CB335" s="149"/>
      <c r="CF335" s="130"/>
      <c r="CG335" s="153"/>
      <c r="CH335" s="185"/>
      <c r="CP335" s="149"/>
      <c r="CR335" s="149"/>
    </row>
    <row r="336" spans="6:96" s="129" customFormat="1" x14ac:dyDescent="0.25">
      <c r="F336" s="149"/>
      <c r="G336" s="144"/>
      <c r="H336" s="149"/>
      <c r="L336" s="149"/>
      <c r="M336" s="163"/>
      <c r="N336" s="158"/>
      <c r="R336" s="149"/>
      <c r="T336" s="149"/>
      <c r="AB336" s="149"/>
      <c r="AC336" s="144"/>
      <c r="AD336" s="149"/>
      <c r="AH336" s="130"/>
      <c r="AI336" s="133"/>
      <c r="AJ336" s="175"/>
      <c r="AN336" s="149"/>
      <c r="AP336" s="149"/>
      <c r="AX336" s="149"/>
      <c r="AY336" s="163"/>
      <c r="AZ336" s="185"/>
      <c r="BD336" s="133"/>
      <c r="BE336" s="181"/>
      <c r="BF336" s="175"/>
      <c r="BJ336" s="149"/>
      <c r="BK336" s="163"/>
      <c r="BL336" s="185"/>
      <c r="BT336" s="130"/>
      <c r="BU336" s="133"/>
      <c r="BV336" s="149"/>
      <c r="BZ336" s="130"/>
      <c r="CA336" s="133"/>
      <c r="CB336" s="149"/>
      <c r="CF336" s="130"/>
      <c r="CG336" s="153"/>
      <c r="CH336" s="185"/>
      <c r="CP336" s="149"/>
      <c r="CR336" s="149"/>
    </row>
    <row r="337" spans="6:96" s="129" customFormat="1" x14ac:dyDescent="0.25">
      <c r="F337" s="149"/>
      <c r="G337" s="144"/>
      <c r="H337" s="149"/>
      <c r="L337" s="149"/>
      <c r="M337" s="163"/>
      <c r="N337" s="158"/>
      <c r="R337" s="149"/>
      <c r="T337" s="149"/>
      <c r="AB337" s="149"/>
      <c r="AC337" s="144"/>
      <c r="AD337" s="149"/>
      <c r="AH337" s="130"/>
      <c r="AI337" s="133"/>
      <c r="AJ337" s="175"/>
      <c r="AN337" s="149"/>
      <c r="AP337" s="149"/>
      <c r="AX337" s="149"/>
      <c r="AY337" s="163"/>
      <c r="AZ337" s="185"/>
      <c r="BD337" s="133"/>
      <c r="BE337" s="181"/>
      <c r="BF337" s="175"/>
      <c r="BJ337" s="149"/>
      <c r="BK337" s="163"/>
      <c r="BL337" s="185"/>
      <c r="BT337" s="130"/>
      <c r="BU337" s="133"/>
      <c r="BV337" s="149"/>
      <c r="BZ337" s="130"/>
      <c r="CA337" s="133"/>
      <c r="CB337" s="149"/>
      <c r="CF337" s="130"/>
      <c r="CG337" s="153"/>
      <c r="CH337" s="185"/>
      <c r="CP337" s="149"/>
      <c r="CR337" s="149"/>
    </row>
    <row r="338" spans="6:96" s="129" customFormat="1" x14ac:dyDescent="0.25">
      <c r="F338" s="149"/>
      <c r="G338" s="144"/>
      <c r="H338" s="149"/>
      <c r="L338" s="149"/>
      <c r="M338" s="163"/>
      <c r="N338" s="158"/>
      <c r="R338" s="149"/>
      <c r="T338" s="149"/>
      <c r="AB338" s="149"/>
      <c r="AC338" s="144"/>
      <c r="AD338" s="149"/>
      <c r="AH338" s="130"/>
      <c r="AI338" s="133"/>
      <c r="AJ338" s="175"/>
      <c r="AN338" s="149"/>
      <c r="AP338" s="149"/>
      <c r="AX338" s="149"/>
      <c r="AY338" s="163"/>
      <c r="AZ338" s="185"/>
      <c r="BD338" s="133"/>
      <c r="BE338" s="181"/>
      <c r="BF338" s="175"/>
      <c r="BJ338" s="149"/>
      <c r="BK338" s="163"/>
      <c r="BL338" s="185"/>
      <c r="BT338" s="130"/>
      <c r="BU338" s="133"/>
      <c r="BV338" s="149"/>
      <c r="BZ338" s="130"/>
      <c r="CA338" s="133"/>
      <c r="CB338" s="149"/>
      <c r="CF338" s="130"/>
      <c r="CG338" s="153"/>
      <c r="CH338" s="185"/>
      <c r="CP338" s="149"/>
      <c r="CR338" s="149"/>
    </row>
    <row r="339" spans="6:96" s="129" customFormat="1" x14ac:dyDescent="0.25">
      <c r="F339" s="149"/>
      <c r="G339" s="144"/>
      <c r="H339" s="149"/>
      <c r="L339" s="149"/>
      <c r="M339" s="163"/>
      <c r="N339" s="158"/>
      <c r="R339" s="149"/>
      <c r="T339" s="149"/>
      <c r="AB339" s="149"/>
      <c r="AC339" s="144"/>
      <c r="AD339" s="149"/>
      <c r="AH339" s="130"/>
      <c r="AI339" s="133"/>
      <c r="AJ339" s="175"/>
      <c r="AN339" s="149"/>
      <c r="AP339" s="149"/>
      <c r="AX339" s="149"/>
      <c r="AY339" s="163"/>
      <c r="AZ339" s="185"/>
      <c r="BD339" s="133"/>
      <c r="BE339" s="181"/>
      <c r="BF339" s="175"/>
      <c r="BJ339" s="149"/>
      <c r="BK339" s="163"/>
      <c r="BL339" s="185"/>
      <c r="BT339" s="130"/>
      <c r="BU339" s="133"/>
      <c r="BV339" s="149"/>
      <c r="BZ339" s="130"/>
      <c r="CA339" s="133"/>
      <c r="CB339" s="149"/>
      <c r="CF339" s="130"/>
      <c r="CG339" s="153"/>
      <c r="CH339" s="185"/>
      <c r="CP339" s="149"/>
      <c r="CR339" s="149"/>
    </row>
    <row r="340" spans="6:96" s="129" customFormat="1" x14ac:dyDescent="0.25">
      <c r="F340" s="149"/>
      <c r="G340" s="144"/>
      <c r="H340" s="149"/>
      <c r="L340" s="149"/>
      <c r="M340" s="163"/>
      <c r="N340" s="158"/>
      <c r="R340" s="149"/>
      <c r="T340" s="149"/>
      <c r="AB340" s="149"/>
      <c r="AC340" s="144"/>
      <c r="AD340" s="149"/>
      <c r="AH340" s="130"/>
      <c r="AI340" s="133"/>
      <c r="AJ340" s="175"/>
      <c r="AN340" s="149"/>
      <c r="AP340" s="149"/>
      <c r="AX340" s="149"/>
      <c r="AY340" s="163"/>
      <c r="AZ340" s="185"/>
      <c r="BD340" s="133"/>
      <c r="BE340" s="181"/>
      <c r="BF340" s="175"/>
      <c r="BJ340" s="149"/>
      <c r="BK340" s="163"/>
      <c r="BL340" s="185"/>
      <c r="BT340" s="130"/>
      <c r="BU340" s="133"/>
      <c r="BV340" s="149"/>
      <c r="BZ340" s="130"/>
      <c r="CA340" s="133"/>
      <c r="CB340" s="149"/>
      <c r="CF340" s="130"/>
      <c r="CG340" s="153"/>
      <c r="CH340" s="185"/>
      <c r="CP340" s="149"/>
      <c r="CR340" s="149"/>
    </row>
    <row r="341" spans="6:96" s="129" customFormat="1" x14ac:dyDescent="0.25">
      <c r="F341" s="149"/>
      <c r="G341" s="144"/>
      <c r="H341" s="149"/>
      <c r="L341" s="149"/>
      <c r="M341" s="163"/>
      <c r="N341" s="158"/>
      <c r="R341" s="149"/>
      <c r="T341" s="149"/>
      <c r="AB341" s="149"/>
      <c r="AC341" s="144"/>
      <c r="AD341" s="149"/>
      <c r="AH341" s="130"/>
      <c r="AI341" s="133"/>
      <c r="AJ341" s="175"/>
      <c r="AN341" s="149"/>
      <c r="AP341" s="149"/>
      <c r="AX341" s="149"/>
      <c r="AY341" s="163"/>
      <c r="AZ341" s="185"/>
      <c r="BD341" s="133"/>
      <c r="BE341" s="181"/>
      <c r="BF341" s="175"/>
      <c r="BJ341" s="149"/>
      <c r="BK341" s="163"/>
      <c r="BL341" s="185"/>
      <c r="BT341" s="130"/>
      <c r="BU341" s="133"/>
      <c r="BV341" s="149"/>
      <c r="BZ341" s="130"/>
      <c r="CA341" s="133"/>
      <c r="CB341" s="149"/>
      <c r="CF341" s="130"/>
      <c r="CG341" s="153"/>
      <c r="CH341" s="185"/>
      <c r="CP341" s="149"/>
      <c r="CR341" s="149"/>
    </row>
  </sheetData>
  <mergeCells count="17">
    <mergeCell ref="CO1:CT2"/>
    <mergeCell ref="C2:H2"/>
    <mergeCell ref="I2:N2"/>
    <mergeCell ref="O2:T2"/>
    <mergeCell ref="Y2:AD2"/>
    <mergeCell ref="AE2:AJ2"/>
    <mergeCell ref="CC2:CH2"/>
    <mergeCell ref="AK2:AP2"/>
    <mergeCell ref="AU2:AZ2"/>
    <mergeCell ref="BA2:BF2"/>
    <mergeCell ref="BG2:BL2"/>
    <mergeCell ref="BQ2:BV2"/>
    <mergeCell ref="BW2:CB2"/>
    <mergeCell ref="C1:W1"/>
    <mergeCell ref="Y1:AS1"/>
    <mergeCell ref="AU1:BO1"/>
    <mergeCell ref="BQ1:C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8A5B-854B-49E6-A020-D18FF04905B1}">
  <dimension ref="A1:CT41"/>
  <sheetViews>
    <sheetView zoomScale="87" zoomScaleNormal="87" workbookViewId="0">
      <pane xSplit="2" ySplit="3" topLeftCell="R4" activePane="bottomRight" state="frozen"/>
      <selection pane="topRight" activeCell="C1" sqref="C1"/>
      <selection pane="bottomLeft" activeCell="A4" sqref="A4"/>
      <selection pane="bottomRight" activeCell="CT35" sqref="CT35"/>
    </sheetView>
  </sheetViews>
  <sheetFormatPr defaultRowHeight="15" x14ac:dyDescent="0.25"/>
  <cols>
    <col min="1" max="1" width="9.85546875" bestFit="1" customWidth="1"/>
  </cols>
  <sheetData>
    <row r="1" spans="1:98" ht="26.25" thickBot="1" x14ac:dyDescent="0.35">
      <c r="A1" s="1" t="s">
        <v>34</v>
      </c>
      <c r="B1" s="2"/>
      <c r="C1" s="590" t="s">
        <v>1</v>
      </c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2"/>
      <c r="X1" s="3"/>
      <c r="Y1" s="593" t="s">
        <v>2</v>
      </c>
      <c r="Z1" s="594"/>
      <c r="AA1" s="594"/>
      <c r="AB1" s="594"/>
      <c r="AC1" s="594"/>
      <c r="AD1" s="594"/>
      <c r="AE1" s="594"/>
      <c r="AF1" s="594"/>
      <c r="AG1" s="594"/>
      <c r="AH1" s="594"/>
      <c r="AI1" s="594"/>
      <c r="AJ1" s="594"/>
      <c r="AK1" s="594"/>
      <c r="AL1" s="594"/>
      <c r="AM1" s="594"/>
      <c r="AN1" s="594"/>
      <c r="AO1" s="594"/>
      <c r="AP1" s="594"/>
      <c r="AQ1" s="594"/>
      <c r="AR1" s="594"/>
      <c r="AS1" s="595"/>
      <c r="AT1" s="3"/>
      <c r="AU1" s="593" t="s">
        <v>3</v>
      </c>
      <c r="AV1" s="596"/>
      <c r="AW1" s="596"/>
      <c r="AX1" s="596"/>
      <c r="AY1" s="596"/>
      <c r="AZ1" s="596"/>
      <c r="BA1" s="596"/>
      <c r="BB1" s="596"/>
      <c r="BC1" s="596"/>
      <c r="BD1" s="596"/>
      <c r="BE1" s="596"/>
      <c r="BF1" s="596"/>
      <c r="BG1" s="596"/>
      <c r="BH1" s="596"/>
      <c r="BI1" s="596"/>
      <c r="BJ1" s="596"/>
      <c r="BK1" s="596"/>
      <c r="BL1" s="596"/>
      <c r="BM1" s="596"/>
      <c r="BN1" s="596"/>
      <c r="BO1" s="597"/>
      <c r="BP1" s="3"/>
      <c r="BQ1" s="593" t="s">
        <v>4</v>
      </c>
      <c r="BR1" s="596"/>
      <c r="BS1" s="596"/>
      <c r="BT1" s="596"/>
      <c r="BU1" s="596"/>
      <c r="BV1" s="596"/>
      <c r="BW1" s="596"/>
      <c r="BX1" s="596"/>
      <c r="BY1" s="596"/>
      <c r="BZ1" s="596"/>
      <c r="CA1" s="596"/>
      <c r="CB1" s="596"/>
      <c r="CC1" s="596"/>
      <c r="CD1" s="596"/>
      <c r="CE1" s="596"/>
      <c r="CF1" s="596"/>
      <c r="CG1" s="596"/>
      <c r="CH1" s="596"/>
      <c r="CI1" s="596"/>
      <c r="CJ1" s="596"/>
      <c r="CK1" s="597"/>
      <c r="CL1" s="3"/>
      <c r="CM1" s="4" t="s">
        <v>5</v>
      </c>
      <c r="CN1" s="3"/>
      <c r="CO1" s="578" t="s">
        <v>29</v>
      </c>
      <c r="CP1" s="579"/>
      <c r="CQ1" s="579"/>
      <c r="CR1" s="579"/>
      <c r="CS1" s="579"/>
      <c r="CT1" s="579"/>
    </row>
    <row r="2" spans="1:98" ht="16.5" thickTop="1" thickBot="1" x14ac:dyDescent="0.3">
      <c r="A2" s="5"/>
      <c r="B2" s="6"/>
      <c r="C2" s="598" t="s">
        <v>22</v>
      </c>
      <c r="D2" s="599"/>
      <c r="E2" s="599"/>
      <c r="F2" s="599"/>
      <c r="G2" s="599"/>
      <c r="H2" s="600"/>
      <c r="I2" s="601" t="s">
        <v>7</v>
      </c>
      <c r="J2" s="599"/>
      <c r="K2" s="599"/>
      <c r="L2" s="599"/>
      <c r="M2" s="599"/>
      <c r="N2" s="600"/>
      <c r="O2" s="601" t="s">
        <v>8</v>
      </c>
      <c r="P2" s="599"/>
      <c r="Q2" s="599"/>
      <c r="R2" s="599"/>
      <c r="S2" s="599"/>
      <c r="T2" s="600"/>
      <c r="U2" s="312"/>
      <c r="V2" s="8"/>
      <c r="W2" s="9"/>
      <c r="X2" s="3"/>
      <c r="Y2" s="598" t="s">
        <v>6</v>
      </c>
      <c r="Z2" s="599"/>
      <c r="AA2" s="599"/>
      <c r="AB2" s="599"/>
      <c r="AC2" s="599"/>
      <c r="AD2" s="600"/>
      <c r="AE2" s="601" t="s">
        <v>7</v>
      </c>
      <c r="AF2" s="599"/>
      <c r="AG2" s="599"/>
      <c r="AH2" s="599"/>
      <c r="AI2" s="599"/>
      <c r="AJ2" s="600"/>
      <c r="AK2" s="601" t="s">
        <v>9</v>
      </c>
      <c r="AL2" s="599"/>
      <c r="AM2" s="599"/>
      <c r="AN2" s="599"/>
      <c r="AO2" s="599"/>
      <c r="AP2" s="600"/>
      <c r="AQ2" s="312"/>
      <c r="AR2" s="8"/>
      <c r="AS2" s="9"/>
      <c r="AT2" s="3"/>
      <c r="AU2" s="598" t="s">
        <v>6</v>
      </c>
      <c r="AV2" s="599"/>
      <c r="AW2" s="599"/>
      <c r="AX2" s="599"/>
      <c r="AY2" s="599"/>
      <c r="AZ2" s="600"/>
      <c r="BA2" s="599" t="s">
        <v>7</v>
      </c>
      <c r="BB2" s="599"/>
      <c r="BC2" s="599"/>
      <c r="BD2" s="599"/>
      <c r="BE2" s="599"/>
      <c r="BF2" s="600"/>
      <c r="BG2" s="587" t="s">
        <v>9</v>
      </c>
      <c r="BH2" s="588"/>
      <c r="BI2" s="588"/>
      <c r="BJ2" s="588"/>
      <c r="BK2" s="588"/>
      <c r="BL2" s="589"/>
      <c r="BM2" s="128"/>
      <c r="BN2" s="10"/>
      <c r="BO2" s="9"/>
      <c r="BP2" s="3"/>
      <c r="BQ2" s="586" t="s">
        <v>6</v>
      </c>
      <c r="BR2" s="584"/>
      <c r="BS2" s="584"/>
      <c r="BT2" s="584"/>
      <c r="BU2" s="584"/>
      <c r="BV2" s="585"/>
      <c r="BW2" s="583" t="s">
        <v>7</v>
      </c>
      <c r="BX2" s="584"/>
      <c r="BY2" s="584"/>
      <c r="BZ2" s="584"/>
      <c r="CA2" s="584"/>
      <c r="CB2" s="585"/>
      <c r="CC2" s="580" t="s">
        <v>9</v>
      </c>
      <c r="CD2" s="581"/>
      <c r="CE2" s="581"/>
      <c r="CF2" s="581"/>
      <c r="CG2" s="581"/>
      <c r="CH2" s="582"/>
      <c r="CI2" s="128"/>
      <c r="CJ2" s="11"/>
      <c r="CK2" s="9"/>
      <c r="CL2" s="3"/>
      <c r="CM2" s="12"/>
      <c r="CN2" s="3"/>
      <c r="CO2" s="579"/>
      <c r="CP2" s="579"/>
      <c r="CQ2" s="579"/>
      <c r="CR2" s="579"/>
      <c r="CS2" s="579"/>
      <c r="CT2" s="579"/>
    </row>
    <row r="3" spans="1:98" ht="39" thickBot="1" x14ac:dyDescent="0.3">
      <c r="A3" s="13"/>
      <c r="B3" s="14"/>
      <c r="C3" s="15" t="s">
        <v>23</v>
      </c>
      <c r="D3" s="16" t="s">
        <v>24</v>
      </c>
      <c r="E3" s="111" t="s">
        <v>25</v>
      </c>
      <c r="F3" s="165" t="s">
        <v>26</v>
      </c>
      <c r="G3" s="123" t="s">
        <v>27</v>
      </c>
      <c r="H3" s="146" t="s">
        <v>28</v>
      </c>
      <c r="I3" s="107" t="s">
        <v>23</v>
      </c>
      <c r="J3" s="16" t="s">
        <v>24</v>
      </c>
      <c r="K3" s="111" t="s">
        <v>25</v>
      </c>
      <c r="L3" s="165" t="s">
        <v>26</v>
      </c>
      <c r="M3" s="160" t="s">
        <v>27</v>
      </c>
      <c r="N3" s="155" t="s">
        <v>28</v>
      </c>
      <c r="O3" s="107" t="s">
        <v>23</v>
      </c>
      <c r="P3" s="16" t="s">
        <v>24</v>
      </c>
      <c r="Q3" s="111" t="s">
        <v>25</v>
      </c>
      <c r="R3" s="165" t="s">
        <v>26</v>
      </c>
      <c r="S3" s="123" t="s">
        <v>27</v>
      </c>
      <c r="T3" s="146" t="s">
        <v>28</v>
      </c>
      <c r="U3" s="17" t="s">
        <v>10</v>
      </c>
      <c r="V3" s="18" t="s">
        <v>11</v>
      </c>
      <c r="W3" s="19" t="s">
        <v>12</v>
      </c>
      <c r="X3" s="3"/>
      <c r="Y3" s="15" t="s">
        <v>23</v>
      </c>
      <c r="Z3" s="16" t="s">
        <v>24</v>
      </c>
      <c r="AA3" s="111" t="s">
        <v>25</v>
      </c>
      <c r="AB3" s="165" t="s">
        <v>26</v>
      </c>
      <c r="AC3" s="123" t="s">
        <v>27</v>
      </c>
      <c r="AD3" s="146" t="s">
        <v>28</v>
      </c>
      <c r="AE3" s="107" t="s">
        <v>23</v>
      </c>
      <c r="AF3" s="16" t="s">
        <v>24</v>
      </c>
      <c r="AG3" s="111" t="s">
        <v>25</v>
      </c>
      <c r="AH3" s="112" t="s">
        <v>26</v>
      </c>
      <c r="AI3" s="142" t="s">
        <v>27</v>
      </c>
      <c r="AJ3" s="165" t="s">
        <v>28</v>
      </c>
      <c r="AK3" s="107" t="s">
        <v>23</v>
      </c>
      <c r="AL3" s="16" t="s">
        <v>24</v>
      </c>
      <c r="AM3" s="111" t="s">
        <v>25</v>
      </c>
      <c r="AN3" s="177" t="s">
        <v>26</v>
      </c>
      <c r="AO3" s="123" t="s">
        <v>27</v>
      </c>
      <c r="AP3" s="177" t="s">
        <v>28</v>
      </c>
      <c r="AQ3" s="20" t="s">
        <v>10</v>
      </c>
      <c r="AR3" s="21" t="s">
        <v>11</v>
      </c>
      <c r="AS3" s="19" t="s">
        <v>12</v>
      </c>
      <c r="AT3" s="3"/>
      <c r="AU3" s="15" t="s">
        <v>23</v>
      </c>
      <c r="AV3" s="16" t="s">
        <v>24</v>
      </c>
      <c r="AW3" s="111" t="s">
        <v>25</v>
      </c>
      <c r="AX3" s="177" t="s">
        <v>26</v>
      </c>
      <c r="AY3" s="160" t="s">
        <v>27</v>
      </c>
      <c r="AZ3" s="183" t="s">
        <v>28</v>
      </c>
      <c r="BA3" s="107" t="s">
        <v>23</v>
      </c>
      <c r="BB3" s="16" t="s">
        <v>24</v>
      </c>
      <c r="BC3" s="111" t="s">
        <v>25</v>
      </c>
      <c r="BD3" s="139" t="s">
        <v>26</v>
      </c>
      <c r="BE3" s="178" t="s">
        <v>27</v>
      </c>
      <c r="BF3" s="165" t="s">
        <v>28</v>
      </c>
      <c r="BG3" s="107" t="s">
        <v>23</v>
      </c>
      <c r="BH3" s="16" t="s">
        <v>24</v>
      </c>
      <c r="BI3" s="111" t="s">
        <v>25</v>
      </c>
      <c r="BJ3" s="177" t="s">
        <v>26</v>
      </c>
      <c r="BK3" s="160" t="s">
        <v>27</v>
      </c>
      <c r="BL3" s="183" t="s">
        <v>28</v>
      </c>
      <c r="BM3" s="23" t="s">
        <v>10</v>
      </c>
      <c r="BN3" s="24" t="s">
        <v>11</v>
      </c>
      <c r="BO3" s="19" t="s">
        <v>12</v>
      </c>
      <c r="BP3" s="3"/>
      <c r="BQ3" s="15" t="s">
        <v>23</v>
      </c>
      <c r="BR3" s="16" t="s">
        <v>24</v>
      </c>
      <c r="BS3" s="369" t="s">
        <v>25</v>
      </c>
      <c r="BT3" s="370" t="s">
        <v>26</v>
      </c>
      <c r="BU3" s="372" t="s">
        <v>27</v>
      </c>
      <c r="BV3" s="373" t="s">
        <v>28</v>
      </c>
      <c r="BW3" s="107" t="s">
        <v>23</v>
      </c>
      <c r="BX3" s="16" t="s">
        <v>24</v>
      </c>
      <c r="BY3" s="369" t="s">
        <v>25</v>
      </c>
      <c r="BZ3" s="370" t="s">
        <v>26</v>
      </c>
      <c r="CA3" s="372" t="s">
        <v>27</v>
      </c>
      <c r="CB3" s="373" t="s">
        <v>28</v>
      </c>
      <c r="CC3" s="107" t="s">
        <v>23</v>
      </c>
      <c r="CD3" s="16" t="s">
        <v>24</v>
      </c>
      <c r="CE3" s="369" t="s">
        <v>25</v>
      </c>
      <c r="CF3" s="370" t="s">
        <v>26</v>
      </c>
      <c r="CG3" s="151" t="s">
        <v>27</v>
      </c>
      <c r="CH3" s="183" t="s">
        <v>28</v>
      </c>
      <c r="CI3" s="193" t="s">
        <v>10</v>
      </c>
      <c r="CJ3" s="22" t="s">
        <v>11</v>
      </c>
      <c r="CK3" s="19" t="s">
        <v>12</v>
      </c>
      <c r="CL3" s="3"/>
      <c r="CM3" s="25"/>
      <c r="CN3" s="3"/>
      <c r="CO3" s="111" t="s">
        <v>25</v>
      </c>
      <c r="CP3" s="177" t="s">
        <v>26</v>
      </c>
      <c r="CQ3" s="123" t="s">
        <v>27</v>
      </c>
      <c r="CR3" s="146" t="s">
        <v>28</v>
      </c>
      <c r="CS3" s="107" t="s">
        <v>23</v>
      </c>
      <c r="CT3" s="16" t="s">
        <v>24</v>
      </c>
    </row>
    <row r="4" spans="1:98" ht="15.75" thickBot="1" x14ac:dyDescent="0.3">
      <c r="A4" s="26" t="s">
        <v>13</v>
      </c>
      <c r="B4" s="27"/>
      <c r="C4" s="28">
        <v>78</v>
      </c>
      <c r="D4" s="29">
        <v>198</v>
      </c>
      <c r="E4" s="113"/>
      <c r="F4" s="166"/>
      <c r="G4" s="143"/>
      <c r="H4" s="147"/>
      <c r="I4" s="28">
        <v>37</v>
      </c>
      <c r="J4" s="29">
        <v>179</v>
      </c>
      <c r="K4" s="113"/>
      <c r="L4" s="166"/>
      <c r="M4" s="143"/>
      <c r="N4" s="147"/>
      <c r="O4" s="28">
        <v>133</v>
      </c>
      <c r="P4" s="30">
        <v>233</v>
      </c>
      <c r="Q4" s="113"/>
      <c r="R4" s="166"/>
      <c r="S4" s="118"/>
      <c r="T4" s="171"/>
      <c r="U4" s="109">
        <f>C4+E4+G4+I4+K4+M4+O4+Q4+S4</f>
        <v>248</v>
      </c>
      <c r="V4" s="31">
        <f>D4+F4+H4+J4+L4+N4+P4+R4+T4</f>
        <v>610</v>
      </c>
      <c r="W4" s="32"/>
      <c r="X4" s="33"/>
      <c r="Y4" s="323">
        <v>382</v>
      </c>
      <c r="Z4" s="237">
        <v>754</v>
      </c>
      <c r="AA4" s="120"/>
      <c r="AB4" s="167"/>
      <c r="AC4" s="138"/>
      <c r="AD4" s="148"/>
      <c r="AE4" s="50">
        <v>287</v>
      </c>
      <c r="AF4" s="51">
        <v>1747</v>
      </c>
      <c r="AG4" s="120"/>
      <c r="AH4" s="121"/>
      <c r="AI4" s="132"/>
      <c r="AJ4" s="167"/>
      <c r="AK4" s="89">
        <v>512</v>
      </c>
      <c r="AL4" s="36">
        <v>1440</v>
      </c>
      <c r="AM4" s="120"/>
      <c r="AN4" s="167"/>
      <c r="AO4" s="138"/>
      <c r="AP4" s="148"/>
      <c r="AQ4" s="108">
        <f>Y4+AA4+AC4+AE4+AG4+AI4+AK4+AM4+AO4</f>
        <v>1181</v>
      </c>
      <c r="AR4" s="38">
        <f>Z4+AB4+AD4+AF4+AH4+AJ4+AL4+AN4+AP4</f>
        <v>3941</v>
      </c>
      <c r="AS4" s="39"/>
      <c r="AT4" s="33"/>
      <c r="AU4" s="43">
        <v>0</v>
      </c>
      <c r="AV4" s="29">
        <v>0</v>
      </c>
      <c r="AW4" s="113"/>
      <c r="AX4" s="166"/>
      <c r="AY4" s="143"/>
      <c r="AZ4" s="147"/>
      <c r="BA4" s="28">
        <v>301</v>
      </c>
      <c r="BB4" s="29">
        <v>3755</v>
      </c>
      <c r="BC4" s="113"/>
      <c r="BD4" s="114"/>
      <c r="BE4" s="131"/>
      <c r="BF4" s="166"/>
      <c r="BG4" s="28">
        <v>0</v>
      </c>
      <c r="BH4" s="45">
        <v>0</v>
      </c>
      <c r="BI4" s="117"/>
      <c r="BJ4" s="170"/>
      <c r="BK4" s="162"/>
      <c r="BL4" s="170"/>
      <c r="BM4" s="28">
        <f>AU4+AW4+AY4+BA4+BC4+BE4+BG4+BI4+BK4</f>
        <v>301</v>
      </c>
      <c r="BN4" s="44">
        <f>AV4+AX4+AZ4+BB4+BD4+BF4+BH4+BJ4+BL4</f>
        <v>3755</v>
      </c>
      <c r="BO4" s="39"/>
      <c r="BP4" s="33"/>
      <c r="BQ4" s="310">
        <v>14</v>
      </c>
      <c r="BR4" s="310">
        <v>23</v>
      </c>
      <c r="BS4" s="371"/>
      <c r="BT4" s="371"/>
      <c r="BU4" s="371"/>
      <c r="BV4" s="371"/>
      <c r="BW4" s="228">
        <v>11</v>
      </c>
      <c r="BX4" s="229">
        <v>111</v>
      </c>
      <c r="BY4" s="371"/>
      <c r="BZ4" s="371"/>
      <c r="CA4" s="371"/>
      <c r="CB4" s="371"/>
      <c r="CC4" s="228">
        <v>0</v>
      </c>
      <c r="CD4" s="230">
        <v>0</v>
      </c>
      <c r="CE4" s="371"/>
      <c r="CF4" s="371"/>
      <c r="CG4" s="195"/>
      <c r="CH4" s="197"/>
      <c r="CI4" s="28">
        <f t="shared" ref="CI4:CJ4" si="0">BQ4+BS4+BU4+BW4+BY4+CA4+CC4+CE4+CG4</f>
        <v>25</v>
      </c>
      <c r="CJ4" s="45">
        <f t="shared" si="0"/>
        <v>134</v>
      </c>
      <c r="CK4" s="39"/>
      <c r="CL4" s="46"/>
      <c r="CM4" s="32">
        <f>C4+Y4+AU4+BQ4</f>
        <v>474</v>
      </c>
      <c r="CN4" s="46"/>
      <c r="CO4" s="117"/>
      <c r="CP4" s="170"/>
      <c r="CQ4" s="152"/>
      <c r="CR4" s="170"/>
      <c r="CS4" s="194">
        <v>11</v>
      </c>
      <c r="CT4" s="47">
        <v>59</v>
      </c>
    </row>
    <row r="5" spans="1:98" ht="15.75" thickBot="1" x14ac:dyDescent="0.3">
      <c r="A5" s="244">
        <v>45962</v>
      </c>
      <c r="B5" s="357" t="s">
        <v>19</v>
      </c>
      <c r="C5" s="246"/>
      <c r="D5" s="247"/>
      <c r="E5" s="247"/>
      <c r="F5" s="248"/>
      <c r="G5" s="246"/>
      <c r="H5" s="249"/>
      <c r="I5" s="246"/>
      <c r="J5" s="247"/>
      <c r="K5" s="247"/>
      <c r="L5" s="248"/>
      <c r="M5" s="264"/>
      <c r="N5" s="284"/>
      <c r="O5" s="246"/>
      <c r="P5" s="358"/>
      <c r="Q5" s="359"/>
      <c r="R5" s="360"/>
      <c r="S5" s="361"/>
      <c r="T5" s="362"/>
      <c r="U5" s="109">
        <f t="shared" ref="U5:U35" si="1">C5+E5+G5+I5+K5+M5+O5+Q5+S5</f>
        <v>0</v>
      </c>
      <c r="V5" s="31">
        <f t="shared" ref="V5:V35" si="2">D5+F5+H5+J5+L5+N5+P5+R5+T5</f>
        <v>0</v>
      </c>
      <c r="W5" s="259"/>
      <c r="X5" s="260"/>
      <c r="Y5" s="247"/>
      <c r="Z5" s="247"/>
      <c r="AA5" s="247"/>
      <c r="AB5" s="248"/>
      <c r="AC5" s="246"/>
      <c r="AD5" s="249"/>
      <c r="AE5" s="246"/>
      <c r="AF5" s="247"/>
      <c r="AG5" s="247"/>
      <c r="AH5" s="262"/>
      <c r="AI5" s="263"/>
      <c r="AJ5" s="248"/>
      <c r="AK5" s="246"/>
      <c r="AL5" s="262"/>
      <c r="AM5" s="247"/>
      <c r="AN5" s="248"/>
      <c r="AO5" s="246"/>
      <c r="AP5" s="249"/>
      <c r="AQ5" s="108">
        <f t="shared" ref="AQ5:AQ35" si="3">Y5+AA5+AC5+AE5+AG5+AI5+AK5+AM5+AO5</f>
        <v>0</v>
      </c>
      <c r="AR5" s="38">
        <f t="shared" ref="AR5:AR35" si="4">Z5+AB5+AD5+AF5+AH5+AJ5+AL5+AN5+AP5</f>
        <v>0</v>
      </c>
      <c r="AS5" s="259"/>
      <c r="AT5" s="260"/>
      <c r="AU5" s="261"/>
      <c r="AV5" s="247"/>
      <c r="AW5" s="247"/>
      <c r="AX5" s="248"/>
      <c r="AY5" s="264"/>
      <c r="AZ5" s="268"/>
      <c r="BA5" s="246"/>
      <c r="BB5" s="247"/>
      <c r="BC5" s="247"/>
      <c r="BD5" s="276"/>
      <c r="BE5" s="363"/>
      <c r="BF5" s="248"/>
      <c r="BG5" s="246"/>
      <c r="BH5" s="276"/>
      <c r="BI5" s="247"/>
      <c r="BJ5" s="248"/>
      <c r="BK5" s="264"/>
      <c r="BL5" s="268"/>
      <c r="BM5" s="28">
        <f t="shared" ref="BM5:BM35" si="5">AU5+AW5+AY5+BA5+BC5+BE5+BG5+BI5+BK5</f>
        <v>0</v>
      </c>
      <c r="BN5" s="44">
        <f t="shared" ref="BN5:BN35" si="6">AV5+AX5+AZ5+BB5+BD5+BF5+BH5+BJ5+BL5</f>
        <v>0</v>
      </c>
      <c r="BO5" s="259"/>
      <c r="BP5" s="260"/>
      <c r="BQ5" s="364">
        <v>14</v>
      </c>
      <c r="BR5" s="365">
        <v>23</v>
      </c>
      <c r="BS5" s="247"/>
      <c r="BT5" s="262"/>
      <c r="BU5" s="276"/>
      <c r="BV5" s="248"/>
      <c r="BW5" s="271">
        <v>11</v>
      </c>
      <c r="BX5" s="365">
        <v>111</v>
      </c>
      <c r="BY5" s="247"/>
      <c r="BZ5" s="262"/>
      <c r="CA5" s="266"/>
      <c r="CB5" s="268"/>
      <c r="CC5" s="271">
        <v>0</v>
      </c>
      <c r="CD5" s="279">
        <v>0</v>
      </c>
      <c r="CE5" s="247"/>
      <c r="CF5" s="262"/>
      <c r="CG5" s="266"/>
      <c r="CH5" s="268"/>
      <c r="CI5" s="28">
        <f t="shared" ref="CI5:CI35" si="7">BQ5+BS5+BU5+BW5+BY5+CA5+CC5+CE5+CG5</f>
        <v>25</v>
      </c>
      <c r="CJ5" s="45">
        <f t="shared" ref="CJ5:CJ35" si="8">BR5+BT5+BV5+BX5+BZ5+CB5+CD5+CF5+CH5</f>
        <v>134</v>
      </c>
      <c r="CK5" s="280"/>
      <c r="CL5" s="281"/>
      <c r="CM5" s="32">
        <f t="shared" ref="CM5:CM35" si="9">C5+Y5+AU5+BQ5</f>
        <v>14</v>
      </c>
      <c r="CN5" s="281"/>
      <c r="CO5" s="247"/>
      <c r="CP5" s="248"/>
      <c r="CQ5" s="266"/>
      <c r="CR5" s="268"/>
      <c r="CS5" s="277">
        <v>11</v>
      </c>
      <c r="CT5" s="275">
        <v>59</v>
      </c>
    </row>
    <row r="6" spans="1:98" ht="15.75" thickBot="1" x14ac:dyDescent="0.3">
      <c r="A6" s="244">
        <v>45963</v>
      </c>
      <c r="B6" s="245" t="s">
        <v>20</v>
      </c>
      <c r="C6" s="246"/>
      <c r="D6" s="247"/>
      <c r="E6" s="247"/>
      <c r="F6" s="248"/>
      <c r="G6" s="246"/>
      <c r="H6" s="249"/>
      <c r="I6" s="246"/>
      <c r="J6" s="247"/>
      <c r="K6" s="247"/>
      <c r="L6" s="248"/>
      <c r="M6" s="264"/>
      <c r="N6" s="284"/>
      <c r="O6" s="246"/>
      <c r="P6" s="252"/>
      <c r="Q6" s="253"/>
      <c r="R6" s="254"/>
      <c r="S6" s="255"/>
      <c r="T6" s="256"/>
      <c r="U6" s="109">
        <f t="shared" si="1"/>
        <v>0</v>
      </c>
      <c r="V6" s="31">
        <f t="shared" si="2"/>
        <v>0</v>
      </c>
      <c r="W6" s="273"/>
      <c r="X6" s="260"/>
      <c r="Y6" s="261"/>
      <c r="Z6" s="247"/>
      <c r="AA6" s="247"/>
      <c r="AB6" s="248"/>
      <c r="AC6" s="246"/>
      <c r="AD6" s="249"/>
      <c r="AE6" s="246"/>
      <c r="AF6" s="247"/>
      <c r="AG6" s="247"/>
      <c r="AH6" s="262"/>
      <c r="AI6" s="263"/>
      <c r="AJ6" s="248"/>
      <c r="AK6" s="246"/>
      <c r="AL6" s="262"/>
      <c r="AM6" s="247"/>
      <c r="AN6" s="248"/>
      <c r="AO6" s="246"/>
      <c r="AP6" s="249"/>
      <c r="AQ6" s="108">
        <f t="shared" si="3"/>
        <v>0</v>
      </c>
      <c r="AR6" s="38">
        <f t="shared" si="4"/>
        <v>0</v>
      </c>
      <c r="AS6" s="273"/>
      <c r="AT6" s="260"/>
      <c r="AU6" s="266"/>
      <c r="AV6" s="267"/>
      <c r="AW6" s="267"/>
      <c r="AX6" s="268"/>
      <c r="AY6" s="264"/>
      <c r="AZ6" s="268"/>
      <c r="BA6" s="264"/>
      <c r="BB6" s="267"/>
      <c r="BC6" s="267"/>
      <c r="BD6" s="269"/>
      <c r="BE6" s="270"/>
      <c r="BF6" s="268"/>
      <c r="BG6" s="246"/>
      <c r="BH6" s="276"/>
      <c r="BI6" s="267"/>
      <c r="BJ6" s="268"/>
      <c r="BK6" s="264"/>
      <c r="BL6" s="268"/>
      <c r="BM6" s="28">
        <f t="shared" si="5"/>
        <v>0</v>
      </c>
      <c r="BN6" s="44">
        <f t="shared" si="6"/>
        <v>0</v>
      </c>
      <c r="BO6" s="273"/>
      <c r="BP6" s="260"/>
      <c r="BQ6" s="364">
        <v>14</v>
      </c>
      <c r="BR6" s="365">
        <v>23</v>
      </c>
      <c r="BS6" s="267"/>
      <c r="BT6" s="265"/>
      <c r="BU6" s="276"/>
      <c r="BV6" s="248"/>
      <c r="BW6" s="271">
        <v>11</v>
      </c>
      <c r="BX6" s="365">
        <v>111</v>
      </c>
      <c r="BY6" s="267"/>
      <c r="BZ6" s="265"/>
      <c r="CA6" s="276"/>
      <c r="CB6" s="248"/>
      <c r="CC6" s="271">
        <v>0</v>
      </c>
      <c r="CD6" s="279">
        <v>0</v>
      </c>
      <c r="CE6" s="267"/>
      <c r="CF6" s="265"/>
      <c r="CG6" s="266"/>
      <c r="CH6" s="268"/>
      <c r="CI6" s="28">
        <f t="shared" si="7"/>
        <v>25</v>
      </c>
      <c r="CJ6" s="45">
        <f t="shared" si="8"/>
        <v>134</v>
      </c>
      <c r="CK6" s="273"/>
      <c r="CL6" s="281"/>
      <c r="CM6" s="32">
        <f t="shared" si="9"/>
        <v>14</v>
      </c>
      <c r="CN6" s="281"/>
      <c r="CO6" s="267"/>
      <c r="CP6" s="268"/>
      <c r="CQ6" s="246"/>
      <c r="CR6" s="248"/>
      <c r="CS6" s="277">
        <v>11</v>
      </c>
      <c r="CT6" s="287">
        <v>59</v>
      </c>
    </row>
    <row r="7" spans="1:98" ht="15.75" thickBot="1" x14ac:dyDescent="0.3">
      <c r="A7" s="313">
        <v>45964</v>
      </c>
      <c r="B7" s="233" t="s">
        <v>14</v>
      </c>
      <c r="C7" s="236"/>
      <c r="D7" s="237"/>
      <c r="E7" s="120"/>
      <c r="F7" s="167"/>
      <c r="G7" s="138"/>
      <c r="H7" s="148"/>
      <c r="I7" s="236"/>
      <c r="J7" s="237"/>
      <c r="K7" s="120"/>
      <c r="L7" s="167"/>
      <c r="M7" s="161"/>
      <c r="N7" s="156"/>
      <c r="O7" s="236"/>
      <c r="P7" s="241"/>
      <c r="Q7" s="116"/>
      <c r="R7" s="169"/>
      <c r="S7" s="136"/>
      <c r="T7" s="173"/>
      <c r="U7" s="109">
        <f t="shared" si="1"/>
        <v>0</v>
      </c>
      <c r="V7" s="31">
        <f t="shared" si="2"/>
        <v>0</v>
      </c>
      <c r="W7" s="64"/>
      <c r="X7" s="6"/>
      <c r="Y7" s="54"/>
      <c r="Z7" s="51"/>
      <c r="AA7" s="120">
        <v>141</v>
      </c>
      <c r="AB7" s="167">
        <v>290</v>
      </c>
      <c r="AC7" s="138"/>
      <c r="AD7" s="148"/>
      <c r="AE7" s="50">
        <v>309</v>
      </c>
      <c r="AF7" s="51">
        <v>1947</v>
      </c>
      <c r="AG7" s="120">
        <v>48</v>
      </c>
      <c r="AH7" s="121">
        <v>315</v>
      </c>
      <c r="AI7" s="132"/>
      <c r="AJ7" s="167"/>
      <c r="AK7" s="50">
        <v>624</v>
      </c>
      <c r="AL7" s="65">
        <v>1650</v>
      </c>
      <c r="AM7" s="120">
        <v>124</v>
      </c>
      <c r="AN7" s="167">
        <v>310</v>
      </c>
      <c r="AO7" s="138"/>
      <c r="AP7" s="148"/>
      <c r="AQ7" s="108">
        <f t="shared" si="3"/>
        <v>1246</v>
      </c>
      <c r="AR7" s="38">
        <f t="shared" si="4"/>
        <v>4512</v>
      </c>
      <c r="AS7" s="64"/>
      <c r="AT7" s="6"/>
      <c r="AU7" s="40"/>
      <c r="AV7" s="41"/>
      <c r="AW7" s="117"/>
      <c r="AX7" s="170"/>
      <c r="AY7" s="162"/>
      <c r="AZ7" s="170"/>
      <c r="BA7" s="124"/>
      <c r="BB7" s="41"/>
      <c r="BC7" s="117"/>
      <c r="BD7" s="141"/>
      <c r="BE7" s="179"/>
      <c r="BF7" s="170"/>
      <c r="BG7" s="124"/>
      <c r="BH7" s="42"/>
      <c r="BI7" s="117"/>
      <c r="BJ7" s="170"/>
      <c r="BK7" s="162"/>
      <c r="BL7" s="170"/>
      <c r="BM7" s="28">
        <f t="shared" si="5"/>
        <v>0</v>
      </c>
      <c r="BN7" s="44">
        <f t="shared" si="6"/>
        <v>0</v>
      </c>
      <c r="BO7" s="64"/>
      <c r="BP7" s="6"/>
      <c r="BQ7" s="56">
        <v>11</v>
      </c>
      <c r="BR7" s="57">
        <v>19</v>
      </c>
      <c r="BS7" s="117">
        <v>13</v>
      </c>
      <c r="BT7" s="127">
        <v>22</v>
      </c>
      <c r="BU7" s="140"/>
      <c r="BV7" s="167"/>
      <c r="BW7" s="187">
        <v>11</v>
      </c>
      <c r="BX7" s="57">
        <v>111</v>
      </c>
      <c r="BY7" s="117"/>
      <c r="BZ7" s="127"/>
      <c r="CA7" s="140"/>
      <c r="CB7" s="167"/>
      <c r="CC7" s="187">
        <v>0</v>
      </c>
      <c r="CD7" s="58">
        <v>0</v>
      </c>
      <c r="CE7" s="117"/>
      <c r="CF7" s="127"/>
      <c r="CG7" s="152"/>
      <c r="CH7" s="170"/>
      <c r="CI7" s="28">
        <f t="shared" si="7"/>
        <v>35</v>
      </c>
      <c r="CJ7" s="45">
        <f t="shared" si="8"/>
        <v>152</v>
      </c>
      <c r="CK7" s="64"/>
      <c r="CL7" s="60"/>
      <c r="CM7" s="32">
        <f t="shared" si="9"/>
        <v>11</v>
      </c>
      <c r="CN7" s="60"/>
      <c r="CO7" s="117"/>
      <c r="CP7" s="170"/>
      <c r="CQ7" s="138"/>
      <c r="CR7" s="167"/>
      <c r="CS7" s="187">
        <v>4</v>
      </c>
      <c r="CT7" s="57">
        <v>41</v>
      </c>
    </row>
    <row r="8" spans="1:98" s="129" customFormat="1" ht="15.75" thickBot="1" x14ac:dyDescent="0.3">
      <c r="A8" s="313">
        <v>45965</v>
      </c>
      <c r="B8" s="234" t="s">
        <v>15</v>
      </c>
      <c r="C8" s="236"/>
      <c r="D8" s="237"/>
      <c r="E8" s="237"/>
      <c r="F8" s="314"/>
      <c r="G8" s="236"/>
      <c r="H8" s="315"/>
      <c r="I8" s="236"/>
      <c r="J8" s="237"/>
      <c r="K8" s="237"/>
      <c r="L8" s="314"/>
      <c r="M8" s="338"/>
      <c r="N8" s="339"/>
      <c r="O8" s="236"/>
      <c r="P8" s="240"/>
      <c r="Q8" s="340"/>
      <c r="R8" s="341"/>
      <c r="S8" s="342"/>
      <c r="T8" s="343"/>
      <c r="U8" s="109">
        <f t="shared" si="1"/>
        <v>0</v>
      </c>
      <c r="V8" s="31">
        <f t="shared" si="2"/>
        <v>0</v>
      </c>
      <c r="W8" s="344"/>
      <c r="X8" s="322"/>
      <c r="Y8" s="323"/>
      <c r="Z8" s="237"/>
      <c r="AA8" s="237"/>
      <c r="AB8" s="314"/>
      <c r="AC8" s="236"/>
      <c r="AD8" s="315"/>
      <c r="AE8" s="236">
        <v>279</v>
      </c>
      <c r="AF8" s="237">
        <v>1578</v>
      </c>
      <c r="AG8" s="237"/>
      <c r="AH8" s="324"/>
      <c r="AI8" s="325">
        <v>1</v>
      </c>
      <c r="AJ8" s="314">
        <v>2</v>
      </c>
      <c r="AK8" s="236">
        <v>592</v>
      </c>
      <c r="AL8" s="324">
        <v>1615</v>
      </c>
      <c r="AM8" s="237"/>
      <c r="AN8" s="314"/>
      <c r="AO8" s="236"/>
      <c r="AP8" s="315"/>
      <c r="AQ8" s="108">
        <f t="shared" si="3"/>
        <v>872</v>
      </c>
      <c r="AR8" s="38">
        <f t="shared" si="4"/>
        <v>3195</v>
      </c>
      <c r="AS8" s="344"/>
      <c r="AT8" s="322"/>
      <c r="AU8" s="327"/>
      <c r="AV8" s="317"/>
      <c r="AW8" s="317"/>
      <c r="AX8" s="318"/>
      <c r="AY8" s="243"/>
      <c r="AZ8" s="318"/>
      <c r="BA8" s="243"/>
      <c r="BB8" s="317"/>
      <c r="BC8" s="317"/>
      <c r="BD8" s="242"/>
      <c r="BE8" s="328"/>
      <c r="BF8" s="318"/>
      <c r="BG8" s="243"/>
      <c r="BH8" s="242"/>
      <c r="BI8" s="317">
        <v>383</v>
      </c>
      <c r="BJ8" s="318">
        <v>1929</v>
      </c>
      <c r="BK8" s="243"/>
      <c r="BL8" s="318"/>
      <c r="BM8" s="28">
        <f t="shared" si="5"/>
        <v>383</v>
      </c>
      <c r="BN8" s="44">
        <f t="shared" si="6"/>
        <v>1929</v>
      </c>
      <c r="BO8" s="321"/>
      <c r="BP8" s="322"/>
      <c r="BQ8" s="330">
        <v>24</v>
      </c>
      <c r="BR8" s="331">
        <v>41</v>
      </c>
      <c r="BS8" s="317"/>
      <c r="BT8" s="326"/>
      <c r="BU8" s="241"/>
      <c r="BV8" s="314"/>
      <c r="BW8" s="332">
        <v>1</v>
      </c>
      <c r="BX8" s="331">
        <v>9</v>
      </c>
      <c r="BY8" s="317"/>
      <c r="BZ8" s="326"/>
      <c r="CA8" s="241"/>
      <c r="CB8" s="314"/>
      <c r="CC8" s="332">
        <v>0</v>
      </c>
      <c r="CD8" s="335">
        <v>0</v>
      </c>
      <c r="CE8" s="317"/>
      <c r="CF8" s="326"/>
      <c r="CG8" s="327"/>
      <c r="CH8" s="318"/>
      <c r="CI8" s="28">
        <f t="shared" si="7"/>
        <v>25</v>
      </c>
      <c r="CJ8" s="45">
        <f t="shared" si="8"/>
        <v>50</v>
      </c>
      <c r="CK8" s="345"/>
      <c r="CL8" s="337"/>
      <c r="CM8" s="32">
        <f t="shared" si="9"/>
        <v>24</v>
      </c>
      <c r="CN8" s="337"/>
      <c r="CO8" s="317"/>
      <c r="CP8" s="318"/>
      <c r="CQ8" s="236"/>
      <c r="CR8" s="314"/>
      <c r="CS8" s="332">
        <v>4</v>
      </c>
      <c r="CT8" s="331">
        <v>41</v>
      </c>
    </row>
    <row r="9" spans="1:98" s="129" customFormat="1" ht="15.75" thickBot="1" x14ac:dyDescent="0.3">
      <c r="A9" s="313">
        <v>45966</v>
      </c>
      <c r="B9" s="233" t="s">
        <v>16</v>
      </c>
      <c r="C9" s="236">
        <v>78</v>
      </c>
      <c r="D9" s="237">
        <v>198</v>
      </c>
      <c r="E9" s="237"/>
      <c r="F9" s="314"/>
      <c r="G9" s="236"/>
      <c r="H9" s="315"/>
      <c r="I9" s="236">
        <v>37</v>
      </c>
      <c r="J9" s="237">
        <v>179</v>
      </c>
      <c r="K9" s="237"/>
      <c r="L9" s="314"/>
      <c r="M9" s="243"/>
      <c r="N9" s="316"/>
      <c r="O9" s="236">
        <v>133</v>
      </c>
      <c r="P9" s="241">
        <v>276</v>
      </c>
      <c r="Q9" s="340"/>
      <c r="R9" s="341"/>
      <c r="S9" s="342"/>
      <c r="T9" s="343"/>
      <c r="U9" s="109">
        <f t="shared" si="1"/>
        <v>248</v>
      </c>
      <c r="V9" s="31">
        <f t="shared" si="2"/>
        <v>653</v>
      </c>
      <c r="W9" s="344"/>
      <c r="X9" s="322"/>
      <c r="Y9" s="323"/>
      <c r="Z9" s="237"/>
      <c r="AA9" s="237"/>
      <c r="AB9" s="314"/>
      <c r="AC9" s="236"/>
      <c r="AD9" s="315"/>
      <c r="AE9" s="236">
        <v>279</v>
      </c>
      <c r="AF9" s="237">
        <v>1578</v>
      </c>
      <c r="AG9" s="237"/>
      <c r="AH9" s="324"/>
      <c r="AI9" s="325"/>
      <c r="AJ9" s="314"/>
      <c r="AK9" s="236">
        <v>548</v>
      </c>
      <c r="AL9" s="324">
        <v>1405</v>
      </c>
      <c r="AM9" s="237"/>
      <c r="AN9" s="314"/>
      <c r="AO9" s="236"/>
      <c r="AP9" s="315"/>
      <c r="AQ9" s="108">
        <f t="shared" si="3"/>
        <v>827</v>
      </c>
      <c r="AR9" s="38">
        <f t="shared" si="4"/>
        <v>2983</v>
      </c>
      <c r="AS9" s="344"/>
      <c r="AT9" s="322"/>
      <c r="AU9" s="327"/>
      <c r="AV9" s="317"/>
      <c r="AW9" s="317"/>
      <c r="AX9" s="318"/>
      <c r="AY9" s="243"/>
      <c r="AZ9" s="318"/>
      <c r="BA9" s="243">
        <v>282</v>
      </c>
      <c r="BB9" s="317">
        <v>3636</v>
      </c>
      <c r="BC9" s="317"/>
      <c r="BD9" s="242"/>
      <c r="BE9" s="328"/>
      <c r="BF9" s="318"/>
      <c r="BG9" s="243">
        <v>383</v>
      </c>
      <c r="BH9" s="242">
        <v>1929</v>
      </c>
      <c r="BI9" s="317"/>
      <c r="BJ9" s="318"/>
      <c r="BK9" s="243"/>
      <c r="BL9" s="318"/>
      <c r="BM9" s="28">
        <f t="shared" si="5"/>
        <v>665</v>
      </c>
      <c r="BN9" s="44">
        <f t="shared" si="6"/>
        <v>5565</v>
      </c>
      <c r="BO9" s="321"/>
      <c r="BP9" s="322"/>
      <c r="BQ9" s="330">
        <v>13</v>
      </c>
      <c r="BR9" s="331">
        <v>22</v>
      </c>
      <c r="BS9" s="317"/>
      <c r="BT9" s="326"/>
      <c r="BU9" s="241"/>
      <c r="BV9" s="314"/>
      <c r="BW9" s="332">
        <v>0</v>
      </c>
      <c r="BX9" s="331">
        <v>0</v>
      </c>
      <c r="BY9" s="317"/>
      <c r="BZ9" s="326"/>
      <c r="CA9" s="241"/>
      <c r="CB9" s="314"/>
      <c r="CC9" s="332">
        <v>0</v>
      </c>
      <c r="CD9" s="335">
        <v>0</v>
      </c>
      <c r="CE9" s="317"/>
      <c r="CF9" s="326"/>
      <c r="CG9" s="327"/>
      <c r="CH9" s="318"/>
      <c r="CI9" s="28">
        <f t="shared" si="7"/>
        <v>13</v>
      </c>
      <c r="CJ9" s="45">
        <f t="shared" si="8"/>
        <v>22</v>
      </c>
      <c r="CK9" s="345"/>
      <c r="CL9" s="337"/>
      <c r="CM9" s="32">
        <f t="shared" si="9"/>
        <v>91</v>
      </c>
      <c r="CN9" s="337"/>
      <c r="CO9" s="317"/>
      <c r="CP9" s="318"/>
      <c r="CQ9" s="236"/>
      <c r="CR9" s="314"/>
      <c r="CS9" s="332">
        <v>0</v>
      </c>
      <c r="CT9" s="331">
        <v>0</v>
      </c>
    </row>
    <row r="10" spans="1:98" ht="15.75" thickBot="1" x14ac:dyDescent="0.3">
      <c r="A10" s="290">
        <v>45967</v>
      </c>
      <c r="B10" s="291" t="s">
        <v>17</v>
      </c>
      <c r="C10" s="99">
        <v>78</v>
      </c>
      <c r="D10" s="74">
        <v>198</v>
      </c>
      <c r="E10" s="74"/>
      <c r="F10" s="292"/>
      <c r="G10" s="99"/>
      <c r="H10" s="293"/>
      <c r="I10" s="99">
        <v>37</v>
      </c>
      <c r="J10" s="74">
        <v>179</v>
      </c>
      <c r="K10" s="74"/>
      <c r="L10" s="292"/>
      <c r="M10" s="125"/>
      <c r="N10" s="294"/>
      <c r="O10" s="99">
        <v>133</v>
      </c>
      <c r="P10" s="295">
        <v>276</v>
      </c>
      <c r="Q10" s="296">
        <v>2</v>
      </c>
      <c r="R10" s="297">
        <v>4</v>
      </c>
      <c r="S10" s="298"/>
      <c r="T10" s="299"/>
      <c r="U10" s="109">
        <f t="shared" si="1"/>
        <v>250</v>
      </c>
      <c r="V10" s="31">
        <f t="shared" si="2"/>
        <v>657</v>
      </c>
      <c r="W10" s="79"/>
      <c r="X10" s="300"/>
      <c r="Y10" s="73">
        <v>226</v>
      </c>
      <c r="Z10" s="74">
        <v>451</v>
      </c>
      <c r="AA10" s="74"/>
      <c r="AB10" s="292"/>
      <c r="AC10" s="99"/>
      <c r="AD10" s="293"/>
      <c r="AE10" s="99">
        <v>279</v>
      </c>
      <c r="AF10" s="74">
        <v>1578</v>
      </c>
      <c r="AG10" s="74"/>
      <c r="AH10" s="75"/>
      <c r="AI10" s="301"/>
      <c r="AJ10" s="292"/>
      <c r="AK10" s="99">
        <v>548</v>
      </c>
      <c r="AL10" s="75">
        <v>1405</v>
      </c>
      <c r="AM10" s="74"/>
      <c r="AN10" s="292"/>
      <c r="AO10" s="99"/>
      <c r="AP10" s="293"/>
      <c r="AQ10" s="108">
        <f t="shared" si="3"/>
        <v>1053</v>
      </c>
      <c r="AR10" s="38">
        <f t="shared" si="4"/>
        <v>3434</v>
      </c>
      <c r="AS10" s="79"/>
      <c r="AT10" s="300"/>
      <c r="AU10" s="76">
        <v>0</v>
      </c>
      <c r="AV10" s="77">
        <v>0</v>
      </c>
      <c r="AW10" s="77"/>
      <c r="AX10" s="302"/>
      <c r="AY10" s="125"/>
      <c r="AZ10" s="302"/>
      <c r="BA10" s="125">
        <v>282</v>
      </c>
      <c r="BB10" s="77">
        <v>3636</v>
      </c>
      <c r="BC10" s="77"/>
      <c r="BD10" s="78"/>
      <c r="BE10" s="303"/>
      <c r="BF10" s="302"/>
      <c r="BG10" s="125">
        <v>383</v>
      </c>
      <c r="BH10" s="78">
        <v>1929</v>
      </c>
      <c r="BI10" s="77"/>
      <c r="BJ10" s="302"/>
      <c r="BK10" s="125"/>
      <c r="BL10" s="302"/>
      <c r="BM10" s="28">
        <f t="shared" si="5"/>
        <v>665</v>
      </c>
      <c r="BN10" s="44">
        <f t="shared" si="6"/>
        <v>5565</v>
      </c>
      <c r="BO10" s="79"/>
      <c r="BP10" s="300"/>
      <c r="BQ10" s="80">
        <v>0</v>
      </c>
      <c r="BR10" s="81">
        <v>0</v>
      </c>
      <c r="BS10" s="77"/>
      <c r="BT10" s="210"/>
      <c r="BU10" s="100"/>
      <c r="BV10" s="292"/>
      <c r="BW10" s="188">
        <v>0</v>
      </c>
      <c r="BX10" s="81">
        <v>0</v>
      </c>
      <c r="BY10" s="77"/>
      <c r="BZ10" s="210"/>
      <c r="CA10" s="100"/>
      <c r="CB10" s="292"/>
      <c r="CC10" s="188">
        <v>0</v>
      </c>
      <c r="CD10" s="82">
        <v>0</v>
      </c>
      <c r="CE10" s="77"/>
      <c r="CF10" s="210"/>
      <c r="CG10" s="76"/>
      <c r="CH10" s="302"/>
      <c r="CI10" s="28">
        <f t="shared" si="7"/>
        <v>0</v>
      </c>
      <c r="CJ10" s="45">
        <f t="shared" si="8"/>
        <v>0</v>
      </c>
      <c r="CK10" s="79"/>
      <c r="CL10" s="304"/>
      <c r="CM10" s="32">
        <f t="shared" si="9"/>
        <v>304</v>
      </c>
      <c r="CN10" s="304"/>
      <c r="CO10" s="77"/>
      <c r="CP10" s="302"/>
      <c r="CQ10" s="99"/>
      <c r="CR10" s="292"/>
      <c r="CS10" s="188">
        <v>0</v>
      </c>
      <c r="CT10" s="101">
        <v>0</v>
      </c>
    </row>
    <row r="11" spans="1:98" ht="15.75" thickBot="1" x14ac:dyDescent="0.3">
      <c r="A11" s="313">
        <v>45968</v>
      </c>
      <c r="B11" s="233" t="s">
        <v>18</v>
      </c>
      <c r="C11" s="236"/>
      <c r="D11" s="237"/>
      <c r="E11" s="237"/>
      <c r="F11" s="314"/>
      <c r="G11" s="236"/>
      <c r="H11" s="315"/>
      <c r="I11" s="236"/>
      <c r="J11" s="237"/>
      <c r="K11" s="237"/>
      <c r="L11" s="314"/>
      <c r="M11" s="243"/>
      <c r="N11" s="316"/>
      <c r="O11" s="236">
        <v>147</v>
      </c>
      <c r="P11" s="241"/>
      <c r="Q11" s="317"/>
      <c r="R11" s="318"/>
      <c r="S11" s="319"/>
      <c r="T11" s="320"/>
      <c r="U11" s="109">
        <f t="shared" si="1"/>
        <v>147</v>
      </c>
      <c r="V11" s="31">
        <f t="shared" si="2"/>
        <v>0</v>
      </c>
      <c r="W11" s="321"/>
      <c r="X11" s="322"/>
      <c r="Y11" s="323"/>
      <c r="Z11" s="237"/>
      <c r="AA11" s="237"/>
      <c r="AB11" s="314"/>
      <c r="AC11" s="236"/>
      <c r="AD11" s="315"/>
      <c r="AE11" s="236"/>
      <c r="AF11" s="237"/>
      <c r="AG11" s="237"/>
      <c r="AH11" s="324"/>
      <c r="AI11" s="325"/>
      <c r="AJ11" s="314"/>
      <c r="AK11" s="236"/>
      <c r="AL11" s="324"/>
      <c r="AM11" s="237"/>
      <c r="AN11" s="314"/>
      <c r="AO11" s="236"/>
      <c r="AP11" s="315"/>
      <c r="AQ11" s="108">
        <f t="shared" si="3"/>
        <v>0</v>
      </c>
      <c r="AR11" s="38">
        <f t="shared" si="4"/>
        <v>0</v>
      </c>
      <c r="AS11" s="321"/>
      <c r="AT11" s="322"/>
      <c r="AU11" s="327">
        <v>0</v>
      </c>
      <c r="AV11" s="317">
        <v>0</v>
      </c>
      <c r="AW11" s="317"/>
      <c r="AX11" s="318"/>
      <c r="AY11" s="243"/>
      <c r="AZ11" s="318"/>
      <c r="BA11" s="243">
        <v>228</v>
      </c>
      <c r="BB11" s="317">
        <v>2232</v>
      </c>
      <c r="BC11" s="317"/>
      <c r="BD11" s="242"/>
      <c r="BE11" s="328">
        <v>1</v>
      </c>
      <c r="BF11" s="318">
        <v>5</v>
      </c>
      <c r="BG11" s="243">
        <v>383</v>
      </c>
      <c r="BH11" s="242">
        <v>1929</v>
      </c>
      <c r="BI11" s="317"/>
      <c r="BJ11" s="318"/>
      <c r="BK11" s="243">
        <v>3</v>
      </c>
      <c r="BL11" s="318">
        <v>30</v>
      </c>
      <c r="BM11" s="28">
        <f t="shared" si="5"/>
        <v>615</v>
      </c>
      <c r="BN11" s="44">
        <f t="shared" si="6"/>
        <v>4196</v>
      </c>
      <c r="BO11" s="321"/>
      <c r="BP11" s="322"/>
      <c r="BQ11" s="330">
        <v>0</v>
      </c>
      <c r="BR11" s="331">
        <v>0</v>
      </c>
      <c r="BS11" s="317"/>
      <c r="BT11" s="326"/>
      <c r="BU11" s="241"/>
      <c r="BV11" s="314"/>
      <c r="BW11" s="332">
        <v>0</v>
      </c>
      <c r="BX11" s="333">
        <v>0</v>
      </c>
      <c r="BY11" s="317"/>
      <c r="BZ11" s="326"/>
      <c r="CA11" s="242"/>
      <c r="CB11" s="318"/>
      <c r="CC11" s="334">
        <v>0</v>
      </c>
      <c r="CD11" s="335">
        <v>0</v>
      </c>
      <c r="CE11" s="317"/>
      <c r="CF11" s="326"/>
      <c r="CG11" s="327"/>
      <c r="CH11" s="318"/>
      <c r="CI11" s="28">
        <f t="shared" si="7"/>
        <v>0</v>
      </c>
      <c r="CJ11" s="45">
        <f t="shared" si="8"/>
        <v>0</v>
      </c>
      <c r="CK11" s="321"/>
      <c r="CL11" s="337"/>
      <c r="CM11" s="32">
        <f t="shared" si="9"/>
        <v>0</v>
      </c>
      <c r="CN11" s="337"/>
      <c r="CO11" s="317"/>
      <c r="CP11" s="318"/>
      <c r="CQ11" s="236"/>
      <c r="CR11" s="314"/>
      <c r="CS11" s="332">
        <v>0</v>
      </c>
      <c r="CT11" s="333">
        <v>0</v>
      </c>
    </row>
    <row r="12" spans="1:98" ht="15.75" thickBot="1" x14ac:dyDescent="0.3">
      <c r="A12" s="244">
        <v>45969</v>
      </c>
      <c r="B12" s="245" t="s">
        <v>19</v>
      </c>
      <c r="C12" s="246"/>
      <c r="D12" s="247"/>
      <c r="E12" s="247"/>
      <c r="F12" s="248"/>
      <c r="G12" s="246"/>
      <c r="H12" s="249"/>
      <c r="I12" s="246"/>
      <c r="J12" s="247"/>
      <c r="K12" s="247"/>
      <c r="L12" s="248"/>
      <c r="M12" s="264"/>
      <c r="N12" s="284"/>
      <c r="O12" s="246"/>
      <c r="P12" s="269"/>
      <c r="Q12" s="267"/>
      <c r="R12" s="268"/>
      <c r="S12" s="285"/>
      <c r="T12" s="286"/>
      <c r="U12" s="109">
        <f t="shared" si="1"/>
        <v>0</v>
      </c>
      <c r="V12" s="31">
        <f t="shared" si="2"/>
        <v>0</v>
      </c>
      <c r="W12" s="273"/>
      <c r="X12" s="260"/>
      <c r="Y12" s="261"/>
      <c r="Z12" s="247"/>
      <c r="AA12" s="247"/>
      <c r="AB12" s="248"/>
      <c r="AC12" s="246"/>
      <c r="AD12" s="249"/>
      <c r="AE12" s="246"/>
      <c r="AF12" s="247"/>
      <c r="AG12" s="247"/>
      <c r="AH12" s="262"/>
      <c r="AI12" s="263"/>
      <c r="AJ12" s="248"/>
      <c r="AK12" s="246"/>
      <c r="AL12" s="262"/>
      <c r="AM12" s="247"/>
      <c r="AN12" s="248"/>
      <c r="AO12" s="246"/>
      <c r="AP12" s="249"/>
      <c r="AQ12" s="108">
        <f t="shared" si="3"/>
        <v>0</v>
      </c>
      <c r="AR12" s="38">
        <f t="shared" si="4"/>
        <v>0</v>
      </c>
      <c r="AS12" s="273"/>
      <c r="AT12" s="260"/>
      <c r="AU12" s="266"/>
      <c r="AV12" s="267"/>
      <c r="AW12" s="267"/>
      <c r="AX12" s="268"/>
      <c r="AY12" s="264"/>
      <c r="AZ12" s="268"/>
      <c r="BA12" s="264"/>
      <c r="BB12" s="267"/>
      <c r="BC12" s="267"/>
      <c r="BD12" s="269"/>
      <c r="BE12" s="270"/>
      <c r="BF12" s="268"/>
      <c r="BG12" s="264"/>
      <c r="BH12" s="269"/>
      <c r="BI12" s="267"/>
      <c r="BJ12" s="268"/>
      <c r="BK12" s="264"/>
      <c r="BL12" s="268"/>
      <c r="BM12" s="28">
        <f t="shared" si="5"/>
        <v>0</v>
      </c>
      <c r="BN12" s="44">
        <f t="shared" si="6"/>
        <v>0</v>
      </c>
      <c r="BO12" s="273"/>
      <c r="BP12" s="260"/>
      <c r="BQ12" s="274">
        <v>0</v>
      </c>
      <c r="BR12" s="275">
        <v>0</v>
      </c>
      <c r="BS12" s="267"/>
      <c r="BT12" s="265"/>
      <c r="BU12" s="276"/>
      <c r="BV12" s="248"/>
      <c r="BW12" s="277">
        <v>0</v>
      </c>
      <c r="BX12" s="287">
        <v>0</v>
      </c>
      <c r="BY12" s="267"/>
      <c r="BZ12" s="265"/>
      <c r="CA12" s="269"/>
      <c r="CB12" s="268"/>
      <c r="CC12" s="288">
        <v>0</v>
      </c>
      <c r="CD12" s="278">
        <v>0</v>
      </c>
      <c r="CE12" s="267"/>
      <c r="CF12" s="265"/>
      <c r="CG12" s="266"/>
      <c r="CH12" s="268"/>
      <c r="CI12" s="28">
        <f t="shared" si="7"/>
        <v>0</v>
      </c>
      <c r="CJ12" s="45">
        <f t="shared" si="8"/>
        <v>0</v>
      </c>
      <c r="CK12" s="273"/>
      <c r="CL12" s="281"/>
      <c r="CM12" s="32">
        <f t="shared" si="9"/>
        <v>0</v>
      </c>
      <c r="CN12" s="281"/>
      <c r="CO12" s="267"/>
      <c r="CP12" s="268"/>
      <c r="CQ12" s="246"/>
      <c r="CR12" s="248"/>
      <c r="CS12" s="277">
        <v>0</v>
      </c>
      <c r="CT12" s="287">
        <v>0</v>
      </c>
    </row>
    <row r="13" spans="1:98" s="129" customFormat="1" ht="15.75" thickBot="1" x14ac:dyDescent="0.3">
      <c r="A13" s="244">
        <v>45970</v>
      </c>
      <c r="B13" s="357" t="s">
        <v>20</v>
      </c>
      <c r="C13" s="246"/>
      <c r="D13" s="247"/>
      <c r="E13" s="247"/>
      <c r="F13" s="248"/>
      <c r="G13" s="246"/>
      <c r="H13" s="249"/>
      <c r="I13" s="246"/>
      <c r="J13" s="247"/>
      <c r="K13" s="247"/>
      <c r="L13" s="248"/>
      <c r="M13" s="264"/>
      <c r="N13" s="284"/>
      <c r="O13" s="246"/>
      <c r="P13" s="269"/>
      <c r="Q13" s="267"/>
      <c r="R13" s="268"/>
      <c r="S13" s="285"/>
      <c r="T13" s="286"/>
      <c r="U13" s="109">
        <f t="shared" si="1"/>
        <v>0</v>
      </c>
      <c r="V13" s="31">
        <f t="shared" si="2"/>
        <v>0</v>
      </c>
      <c r="W13" s="273"/>
      <c r="X13" s="260"/>
      <c r="Y13" s="261"/>
      <c r="Z13" s="247"/>
      <c r="AA13" s="247"/>
      <c r="AB13" s="248"/>
      <c r="AC13" s="246"/>
      <c r="AD13" s="249"/>
      <c r="AE13" s="246"/>
      <c r="AF13" s="247"/>
      <c r="AG13" s="247"/>
      <c r="AH13" s="262"/>
      <c r="AI13" s="263"/>
      <c r="AJ13" s="248"/>
      <c r="AK13" s="246"/>
      <c r="AL13" s="262"/>
      <c r="AM13" s="247"/>
      <c r="AN13" s="248"/>
      <c r="AO13" s="246"/>
      <c r="AP13" s="249"/>
      <c r="AQ13" s="108">
        <f t="shared" si="3"/>
        <v>0</v>
      </c>
      <c r="AR13" s="38">
        <f t="shared" si="4"/>
        <v>0</v>
      </c>
      <c r="AS13" s="273"/>
      <c r="AT13" s="260"/>
      <c r="AU13" s="266"/>
      <c r="AV13" s="267"/>
      <c r="AW13" s="267"/>
      <c r="AX13" s="268"/>
      <c r="AY13" s="264"/>
      <c r="AZ13" s="268"/>
      <c r="BA13" s="264"/>
      <c r="BB13" s="267"/>
      <c r="BC13" s="267"/>
      <c r="BD13" s="269"/>
      <c r="BE13" s="270"/>
      <c r="BF13" s="268"/>
      <c r="BG13" s="264"/>
      <c r="BH13" s="269"/>
      <c r="BI13" s="267"/>
      <c r="BJ13" s="268"/>
      <c r="BK13" s="264"/>
      <c r="BL13" s="268"/>
      <c r="BM13" s="28">
        <f t="shared" si="5"/>
        <v>0</v>
      </c>
      <c r="BN13" s="44">
        <f t="shared" si="6"/>
        <v>0</v>
      </c>
      <c r="BO13" s="273"/>
      <c r="BP13" s="260"/>
      <c r="BQ13" s="274">
        <v>0</v>
      </c>
      <c r="BR13" s="275">
        <v>0</v>
      </c>
      <c r="BS13" s="267"/>
      <c r="BT13" s="265"/>
      <c r="BU13" s="276"/>
      <c r="BV13" s="248"/>
      <c r="BW13" s="277">
        <v>0</v>
      </c>
      <c r="BX13" s="287">
        <v>0</v>
      </c>
      <c r="BY13" s="267"/>
      <c r="BZ13" s="265"/>
      <c r="CA13" s="269"/>
      <c r="CB13" s="268"/>
      <c r="CC13" s="288">
        <v>0</v>
      </c>
      <c r="CD13" s="278">
        <v>0</v>
      </c>
      <c r="CE13" s="267"/>
      <c r="CF13" s="265"/>
      <c r="CG13" s="266"/>
      <c r="CH13" s="268"/>
      <c r="CI13" s="28">
        <f t="shared" si="7"/>
        <v>0</v>
      </c>
      <c r="CJ13" s="45">
        <f t="shared" si="8"/>
        <v>0</v>
      </c>
      <c r="CK13" s="273"/>
      <c r="CL13" s="281"/>
      <c r="CM13" s="32">
        <f t="shared" si="9"/>
        <v>0</v>
      </c>
      <c r="CN13" s="281"/>
      <c r="CO13" s="267"/>
      <c r="CP13" s="268"/>
      <c r="CQ13" s="246"/>
      <c r="CR13" s="248"/>
      <c r="CS13" s="277">
        <v>0</v>
      </c>
      <c r="CT13" s="287">
        <v>0</v>
      </c>
    </row>
    <row r="14" spans="1:98" ht="15.75" thickBot="1" x14ac:dyDescent="0.3">
      <c r="A14" s="313">
        <v>45971</v>
      </c>
      <c r="B14" s="234" t="s">
        <v>14</v>
      </c>
      <c r="C14" s="236">
        <v>84</v>
      </c>
      <c r="D14" s="237">
        <v>207</v>
      </c>
      <c r="E14" s="236">
        <v>23</v>
      </c>
      <c r="F14" s="315">
        <v>48</v>
      </c>
      <c r="G14" s="236"/>
      <c r="H14" s="315"/>
      <c r="I14" s="236">
        <v>68</v>
      </c>
      <c r="J14" s="237">
        <v>279</v>
      </c>
      <c r="K14" s="237">
        <v>31</v>
      </c>
      <c r="L14" s="314">
        <v>100</v>
      </c>
      <c r="M14" s="243"/>
      <c r="N14" s="316"/>
      <c r="O14" s="236">
        <v>125</v>
      </c>
      <c r="P14" s="242"/>
      <c r="Q14" s="317"/>
      <c r="R14" s="318"/>
      <c r="S14" s="319"/>
      <c r="T14" s="320"/>
      <c r="U14" s="109">
        <f t="shared" si="1"/>
        <v>331</v>
      </c>
      <c r="V14" s="31">
        <f t="shared" si="2"/>
        <v>634</v>
      </c>
      <c r="W14" s="321"/>
      <c r="X14" s="322"/>
      <c r="Y14" s="323"/>
      <c r="Z14" s="237"/>
      <c r="AA14" s="237">
        <v>161</v>
      </c>
      <c r="AB14" s="314">
        <v>319</v>
      </c>
      <c r="AC14" s="236"/>
      <c r="AD14" s="315"/>
      <c r="AE14" s="236"/>
      <c r="AF14" s="237"/>
      <c r="AG14" s="237">
        <v>74</v>
      </c>
      <c r="AH14" s="324">
        <v>399</v>
      </c>
      <c r="AI14" s="325"/>
      <c r="AJ14" s="314"/>
      <c r="AK14" s="236"/>
      <c r="AL14" s="324"/>
      <c r="AM14" s="237">
        <v>114</v>
      </c>
      <c r="AN14" s="314">
        <v>385</v>
      </c>
      <c r="AO14" s="236"/>
      <c r="AP14" s="315"/>
      <c r="AQ14" s="108">
        <f t="shared" si="3"/>
        <v>349</v>
      </c>
      <c r="AR14" s="38">
        <f t="shared" si="4"/>
        <v>1103</v>
      </c>
      <c r="AS14" s="321"/>
      <c r="AT14" s="322"/>
      <c r="AU14" s="327">
        <v>0</v>
      </c>
      <c r="AV14" s="317">
        <v>0</v>
      </c>
      <c r="AW14" s="317"/>
      <c r="AX14" s="318"/>
      <c r="AY14" s="243">
        <v>1</v>
      </c>
      <c r="AZ14" s="318">
        <v>2</v>
      </c>
      <c r="BA14" s="243">
        <v>218</v>
      </c>
      <c r="BB14" s="317">
        <v>2058</v>
      </c>
      <c r="BC14" s="317"/>
      <c r="BD14" s="242"/>
      <c r="BE14" s="328">
        <v>0</v>
      </c>
      <c r="BF14" s="318">
        <v>0</v>
      </c>
      <c r="BG14" s="243">
        <v>383</v>
      </c>
      <c r="BH14" s="242">
        <v>1929</v>
      </c>
      <c r="BI14" s="317"/>
      <c r="BJ14" s="318"/>
      <c r="BK14" s="243">
        <v>2</v>
      </c>
      <c r="BL14" s="318">
        <v>138</v>
      </c>
      <c r="BM14" s="28">
        <f t="shared" si="5"/>
        <v>604</v>
      </c>
      <c r="BN14" s="44">
        <f t="shared" si="6"/>
        <v>4127</v>
      </c>
      <c r="BO14" s="321"/>
      <c r="BP14" s="322"/>
      <c r="BQ14" s="330">
        <v>0</v>
      </c>
      <c r="BR14" s="331">
        <v>0</v>
      </c>
      <c r="BS14" s="317">
        <v>12</v>
      </c>
      <c r="BT14" s="326">
        <v>35</v>
      </c>
      <c r="BU14" s="241"/>
      <c r="BV14" s="314"/>
      <c r="BW14" s="332">
        <v>0</v>
      </c>
      <c r="BX14" s="333">
        <v>0</v>
      </c>
      <c r="BY14" s="317">
        <v>29</v>
      </c>
      <c r="BZ14" s="326">
        <v>176</v>
      </c>
      <c r="CA14" s="242"/>
      <c r="CB14" s="318"/>
      <c r="CC14" s="334">
        <v>0</v>
      </c>
      <c r="CD14" s="335">
        <v>0</v>
      </c>
      <c r="CE14" s="317">
        <v>45</v>
      </c>
      <c r="CF14" s="326">
        <v>264</v>
      </c>
      <c r="CG14" s="327"/>
      <c r="CH14" s="318"/>
      <c r="CI14" s="28">
        <f t="shared" si="7"/>
        <v>86</v>
      </c>
      <c r="CJ14" s="45">
        <f t="shared" si="8"/>
        <v>475</v>
      </c>
      <c r="CK14" s="321"/>
      <c r="CL14" s="337"/>
      <c r="CM14" s="32">
        <f t="shared" si="9"/>
        <v>84</v>
      </c>
      <c r="CN14" s="337"/>
      <c r="CO14" s="317"/>
      <c r="CP14" s="318"/>
      <c r="CQ14" s="236"/>
      <c r="CR14" s="314"/>
      <c r="CS14" s="332">
        <v>0</v>
      </c>
      <c r="CT14" s="331">
        <v>0</v>
      </c>
    </row>
    <row r="15" spans="1:98" s="129" customFormat="1" ht="15.75" thickBot="1" x14ac:dyDescent="0.3">
      <c r="A15" s="313">
        <v>45972</v>
      </c>
      <c r="B15" s="233" t="s">
        <v>15</v>
      </c>
      <c r="C15" s="236">
        <v>84</v>
      </c>
      <c r="D15" s="237">
        <v>207</v>
      </c>
      <c r="E15" s="237"/>
      <c r="F15" s="314"/>
      <c r="G15" s="236"/>
      <c r="H15" s="315"/>
      <c r="I15" s="236">
        <v>68</v>
      </c>
      <c r="J15" s="237">
        <v>279</v>
      </c>
      <c r="K15" s="237"/>
      <c r="L15" s="314"/>
      <c r="M15" s="243"/>
      <c r="N15" s="316"/>
      <c r="O15" s="236">
        <v>117</v>
      </c>
      <c r="P15" s="241"/>
      <c r="Q15" s="317"/>
      <c r="R15" s="318"/>
      <c r="S15" s="319"/>
      <c r="T15" s="320"/>
      <c r="U15" s="109">
        <f t="shared" si="1"/>
        <v>269</v>
      </c>
      <c r="V15" s="31">
        <f t="shared" si="2"/>
        <v>486</v>
      </c>
      <c r="W15" s="344"/>
      <c r="X15" s="322"/>
      <c r="Y15" s="323"/>
      <c r="Z15" s="237"/>
      <c r="AA15" s="237"/>
      <c r="AB15" s="314"/>
      <c r="AC15" s="236"/>
      <c r="AD15" s="315"/>
      <c r="AE15" s="236">
        <v>327</v>
      </c>
      <c r="AF15" s="237">
        <v>1796</v>
      </c>
      <c r="AG15" s="237"/>
      <c r="AH15" s="324"/>
      <c r="AI15" s="325"/>
      <c r="AJ15" s="314"/>
      <c r="AK15" s="236">
        <v>523</v>
      </c>
      <c r="AL15" s="324">
        <v>1424</v>
      </c>
      <c r="AM15" s="237"/>
      <c r="AN15" s="314"/>
      <c r="AO15" s="236"/>
      <c r="AP15" s="315"/>
      <c r="AQ15" s="108">
        <f t="shared" si="3"/>
        <v>850</v>
      </c>
      <c r="AR15" s="38">
        <f t="shared" si="4"/>
        <v>3220</v>
      </c>
      <c r="AS15" s="344"/>
      <c r="AT15" s="322"/>
      <c r="AU15" s="327">
        <v>0</v>
      </c>
      <c r="AV15" s="317">
        <v>0</v>
      </c>
      <c r="AW15" s="317"/>
      <c r="AX15" s="318"/>
      <c r="AY15" s="243"/>
      <c r="AZ15" s="318"/>
      <c r="BA15" s="243">
        <v>218</v>
      </c>
      <c r="BB15" s="317">
        <v>2058</v>
      </c>
      <c r="BC15" s="317">
        <v>49</v>
      </c>
      <c r="BD15" s="242">
        <v>335</v>
      </c>
      <c r="BE15" s="328"/>
      <c r="BF15" s="318"/>
      <c r="BG15" s="243"/>
      <c r="BH15" s="242"/>
      <c r="BI15" s="317">
        <v>42</v>
      </c>
      <c r="BJ15" s="318">
        <v>206</v>
      </c>
      <c r="BK15" s="243">
        <v>1</v>
      </c>
      <c r="BL15" s="318">
        <v>25</v>
      </c>
      <c r="BM15" s="28">
        <f t="shared" si="5"/>
        <v>310</v>
      </c>
      <c r="BN15" s="44">
        <f t="shared" si="6"/>
        <v>2624</v>
      </c>
      <c r="BO15" s="321"/>
      <c r="BP15" s="322"/>
      <c r="BQ15" s="330">
        <v>12</v>
      </c>
      <c r="BR15" s="331">
        <v>35</v>
      </c>
      <c r="BS15" s="317"/>
      <c r="BT15" s="326"/>
      <c r="BU15" s="241"/>
      <c r="BV15" s="314"/>
      <c r="BW15" s="332">
        <v>39</v>
      </c>
      <c r="BX15" s="333">
        <v>176</v>
      </c>
      <c r="BY15" s="317"/>
      <c r="BZ15" s="326"/>
      <c r="CA15" s="242"/>
      <c r="CB15" s="318"/>
      <c r="CC15" s="334">
        <v>45</v>
      </c>
      <c r="CD15" s="335">
        <v>264</v>
      </c>
      <c r="CE15" s="317"/>
      <c r="CF15" s="326"/>
      <c r="CG15" s="327"/>
      <c r="CH15" s="318"/>
      <c r="CI15" s="28">
        <f t="shared" si="7"/>
        <v>96</v>
      </c>
      <c r="CJ15" s="45">
        <f t="shared" si="8"/>
        <v>475</v>
      </c>
      <c r="CK15" s="345"/>
      <c r="CL15" s="337"/>
      <c r="CM15" s="32">
        <f t="shared" si="9"/>
        <v>96</v>
      </c>
      <c r="CN15" s="337"/>
      <c r="CO15" s="317"/>
      <c r="CP15" s="318"/>
      <c r="CQ15" s="236">
        <v>1</v>
      </c>
      <c r="CR15" s="314">
        <v>6</v>
      </c>
      <c r="CS15" s="332">
        <v>1</v>
      </c>
      <c r="CT15" s="331">
        <v>6</v>
      </c>
    </row>
    <row r="16" spans="1:98" s="129" customFormat="1" ht="15.75" thickBot="1" x14ac:dyDescent="0.3">
      <c r="A16" s="313">
        <v>45973</v>
      </c>
      <c r="B16" s="234" t="s">
        <v>16</v>
      </c>
      <c r="C16" s="236"/>
      <c r="D16" s="237"/>
      <c r="E16" s="237"/>
      <c r="F16" s="314"/>
      <c r="G16" s="236"/>
      <c r="H16" s="315"/>
      <c r="I16" s="236"/>
      <c r="J16" s="237">
        <v>196</v>
      </c>
      <c r="K16" s="237"/>
      <c r="L16" s="314"/>
      <c r="M16" s="243"/>
      <c r="N16" s="316"/>
      <c r="O16" s="236"/>
      <c r="P16" s="242"/>
      <c r="Q16" s="317"/>
      <c r="R16" s="318"/>
      <c r="S16" s="319"/>
      <c r="T16" s="320"/>
      <c r="U16" s="109">
        <f t="shared" si="1"/>
        <v>0</v>
      </c>
      <c r="V16" s="31">
        <f t="shared" si="2"/>
        <v>196</v>
      </c>
      <c r="W16" s="344"/>
      <c r="X16" s="322"/>
      <c r="Y16" s="323"/>
      <c r="Z16" s="237"/>
      <c r="AA16" s="237"/>
      <c r="AB16" s="314"/>
      <c r="AC16" s="236"/>
      <c r="AD16" s="315"/>
      <c r="AE16" s="236"/>
      <c r="AF16" s="237"/>
      <c r="AG16" s="237"/>
      <c r="AH16" s="324"/>
      <c r="AI16" s="325"/>
      <c r="AJ16" s="314"/>
      <c r="AK16" s="236"/>
      <c r="AL16" s="324"/>
      <c r="AM16" s="237"/>
      <c r="AN16" s="314"/>
      <c r="AO16" s="236"/>
      <c r="AP16" s="315"/>
      <c r="AQ16" s="108">
        <f t="shared" si="3"/>
        <v>0</v>
      </c>
      <c r="AR16" s="38">
        <f t="shared" si="4"/>
        <v>0</v>
      </c>
      <c r="AS16" s="344"/>
      <c r="AT16" s="322"/>
      <c r="AU16" s="327">
        <v>0</v>
      </c>
      <c r="AV16" s="317"/>
      <c r="AW16" s="317"/>
      <c r="AX16" s="318"/>
      <c r="AY16" s="243"/>
      <c r="AZ16" s="318"/>
      <c r="BA16" s="243">
        <v>237</v>
      </c>
      <c r="BB16" s="317">
        <v>2175</v>
      </c>
      <c r="BC16" s="317"/>
      <c r="BD16" s="242"/>
      <c r="BE16" s="328"/>
      <c r="BF16" s="318"/>
      <c r="BG16" s="243"/>
      <c r="BH16" s="242"/>
      <c r="BI16" s="317">
        <v>41</v>
      </c>
      <c r="BJ16" s="318">
        <v>181</v>
      </c>
      <c r="BK16" s="243"/>
      <c r="BL16" s="318"/>
      <c r="BM16" s="28">
        <f t="shared" si="5"/>
        <v>278</v>
      </c>
      <c r="BN16" s="44">
        <f t="shared" si="6"/>
        <v>2356</v>
      </c>
      <c r="BO16" s="321"/>
      <c r="BP16" s="322"/>
      <c r="BQ16" s="330">
        <v>12</v>
      </c>
      <c r="BR16" s="331">
        <v>35</v>
      </c>
      <c r="BS16" s="317"/>
      <c r="BT16" s="326"/>
      <c r="BU16" s="241"/>
      <c r="BV16" s="314"/>
      <c r="BW16" s="332">
        <v>29</v>
      </c>
      <c r="BX16" s="333">
        <v>176</v>
      </c>
      <c r="BY16" s="317"/>
      <c r="BZ16" s="326"/>
      <c r="CA16" s="242"/>
      <c r="CB16" s="318"/>
      <c r="CC16" s="334">
        <v>32</v>
      </c>
      <c r="CD16" s="335">
        <v>174</v>
      </c>
      <c r="CE16" s="317"/>
      <c r="CF16" s="326"/>
      <c r="CG16" s="327"/>
      <c r="CH16" s="318"/>
      <c r="CI16" s="28">
        <f t="shared" si="7"/>
        <v>73</v>
      </c>
      <c r="CJ16" s="45">
        <f t="shared" si="8"/>
        <v>385</v>
      </c>
      <c r="CK16" s="345"/>
      <c r="CL16" s="337"/>
      <c r="CM16" s="32">
        <f t="shared" si="9"/>
        <v>12</v>
      </c>
      <c r="CN16" s="337"/>
      <c r="CO16" s="317">
        <v>35</v>
      </c>
      <c r="CP16" s="318">
        <v>100</v>
      </c>
      <c r="CQ16" s="236"/>
      <c r="CR16" s="314"/>
      <c r="CS16" s="332">
        <v>36</v>
      </c>
      <c r="CT16" s="331">
        <v>106</v>
      </c>
    </row>
    <row r="17" spans="1:98" ht="15.75" thickBot="1" x14ac:dyDescent="0.3">
      <c r="A17" s="290">
        <v>45974</v>
      </c>
      <c r="B17" s="366" t="s">
        <v>17</v>
      </c>
      <c r="C17" s="99">
        <v>84</v>
      </c>
      <c r="D17" s="74">
        <v>207</v>
      </c>
      <c r="E17" s="74"/>
      <c r="F17" s="292"/>
      <c r="G17" s="99"/>
      <c r="H17" s="293"/>
      <c r="I17" s="99">
        <v>50</v>
      </c>
      <c r="J17" s="74">
        <v>207</v>
      </c>
      <c r="K17" s="74"/>
      <c r="L17" s="292"/>
      <c r="M17" s="125"/>
      <c r="N17" s="294"/>
      <c r="O17" s="99">
        <v>130</v>
      </c>
      <c r="P17" s="78">
        <v>229</v>
      </c>
      <c r="Q17" s="77"/>
      <c r="R17" s="302"/>
      <c r="S17" s="307"/>
      <c r="T17" s="308"/>
      <c r="U17" s="109">
        <f t="shared" si="1"/>
        <v>264</v>
      </c>
      <c r="V17" s="31">
        <f t="shared" si="2"/>
        <v>643</v>
      </c>
      <c r="W17" s="79"/>
      <c r="X17" s="300"/>
      <c r="Y17" s="73">
        <v>234</v>
      </c>
      <c r="Z17" s="74">
        <v>479</v>
      </c>
      <c r="AA17" s="74"/>
      <c r="AB17" s="292"/>
      <c r="AC17" s="99"/>
      <c r="AD17" s="293"/>
      <c r="AE17" s="99">
        <v>327</v>
      </c>
      <c r="AF17" s="74">
        <v>1796</v>
      </c>
      <c r="AG17" s="74"/>
      <c r="AH17" s="75"/>
      <c r="AI17" s="301"/>
      <c r="AJ17" s="292"/>
      <c r="AK17" s="99">
        <v>477</v>
      </c>
      <c r="AL17" s="75">
        <v>1339</v>
      </c>
      <c r="AM17" s="74"/>
      <c r="AN17" s="292"/>
      <c r="AO17" s="99"/>
      <c r="AP17" s="293"/>
      <c r="AQ17" s="108">
        <f t="shared" si="3"/>
        <v>1038</v>
      </c>
      <c r="AR17" s="38">
        <f t="shared" si="4"/>
        <v>3614</v>
      </c>
      <c r="AS17" s="79"/>
      <c r="AT17" s="300"/>
      <c r="AU17" s="76">
        <v>0</v>
      </c>
      <c r="AV17" s="77">
        <v>0</v>
      </c>
      <c r="AW17" s="77"/>
      <c r="AX17" s="302"/>
      <c r="AY17" s="125"/>
      <c r="AZ17" s="302"/>
      <c r="BA17" s="125">
        <v>215</v>
      </c>
      <c r="BB17" s="77">
        <v>1984</v>
      </c>
      <c r="BC17" s="77"/>
      <c r="BD17" s="78"/>
      <c r="BE17" s="303"/>
      <c r="BF17" s="302"/>
      <c r="BG17" s="125">
        <v>424</v>
      </c>
      <c r="BH17" s="78">
        <v>2110</v>
      </c>
      <c r="BI17" s="77"/>
      <c r="BJ17" s="302"/>
      <c r="BK17" s="125"/>
      <c r="BL17" s="302"/>
      <c r="BM17" s="28">
        <f t="shared" si="5"/>
        <v>639</v>
      </c>
      <c r="BN17" s="44">
        <f t="shared" si="6"/>
        <v>4094</v>
      </c>
      <c r="BO17" s="79"/>
      <c r="BP17" s="300"/>
      <c r="BQ17" s="80">
        <v>12</v>
      </c>
      <c r="BR17" s="81">
        <v>35</v>
      </c>
      <c r="BS17" s="77"/>
      <c r="BT17" s="210"/>
      <c r="BU17" s="100"/>
      <c r="BV17" s="292"/>
      <c r="BW17" s="188">
        <v>29</v>
      </c>
      <c r="BX17" s="101">
        <v>176</v>
      </c>
      <c r="BY17" s="77"/>
      <c r="BZ17" s="210"/>
      <c r="CA17" s="78"/>
      <c r="CB17" s="302"/>
      <c r="CC17" s="192">
        <v>32</v>
      </c>
      <c r="CD17" s="82">
        <v>174</v>
      </c>
      <c r="CE17" s="77"/>
      <c r="CF17" s="210"/>
      <c r="CG17" s="76"/>
      <c r="CH17" s="302"/>
      <c r="CI17" s="28">
        <f t="shared" si="7"/>
        <v>73</v>
      </c>
      <c r="CJ17" s="45">
        <f t="shared" si="8"/>
        <v>385</v>
      </c>
      <c r="CK17" s="79"/>
      <c r="CL17" s="304"/>
      <c r="CM17" s="32">
        <f t="shared" si="9"/>
        <v>330</v>
      </c>
      <c r="CN17" s="304"/>
      <c r="CO17" s="317"/>
      <c r="CP17" s="318"/>
      <c r="CQ17" s="236"/>
      <c r="CR17" s="314"/>
      <c r="CS17" s="188">
        <v>36</v>
      </c>
      <c r="CT17" s="101">
        <v>106</v>
      </c>
    </row>
    <row r="18" spans="1:98" ht="15.75" thickBot="1" x14ac:dyDescent="0.3">
      <c r="A18" s="313">
        <v>45975</v>
      </c>
      <c r="B18" s="234" t="s">
        <v>18</v>
      </c>
      <c r="C18" s="236"/>
      <c r="D18" s="237"/>
      <c r="E18" s="237"/>
      <c r="F18" s="314"/>
      <c r="G18" s="236"/>
      <c r="H18" s="315"/>
      <c r="I18" s="236"/>
      <c r="J18" s="237"/>
      <c r="K18" s="237"/>
      <c r="L18" s="314"/>
      <c r="M18" s="243"/>
      <c r="N18" s="316"/>
      <c r="O18" s="236"/>
      <c r="P18" s="242"/>
      <c r="Q18" s="317"/>
      <c r="R18" s="318"/>
      <c r="S18" s="319"/>
      <c r="T18" s="320"/>
      <c r="U18" s="109">
        <f t="shared" si="1"/>
        <v>0</v>
      </c>
      <c r="V18" s="31">
        <f t="shared" si="2"/>
        <v>0</v>
      </c>
      <c r="W18" s="321"/>
      <c r="X18" s="322"/>
      <c r="Y18" s="323"/>
      <c r="Z18" s="237"/>
      <c r="AA18" s="237"/>
      <c r="AB18" s="314"/>
      <c r="AC18" s="236"/>
      <c r="AD18" s="315"/>
      <c r="AE18" s="236">
        <v>442</v>
      </c>
      <c r="AF18" s="237">
        <v>2403</v>
      </c>
      <c r="AG18" s="237"/>
      <c r="AH18" s="324"/>
      <c r="AI18" s="325"/>
      <c r="AJ18" s="314"/>
      <c r="AK18" s="236">
        <v>742</v>
      </c>
      <c r="AL18" s="324">
        <v>2176</v>
      </c>
      <c r="AM18" s="237"/>
      <c r="AN18" s="314"/>
      <c r="AO18" s="236"/>
      <c r="AP18" s="315"/>
      <c r="AQ18" s="108">
        <f t="shared" si="3"/>
        <v>1184</v>
      </c>
      <c r="AR18" s="38">
        <f t="shared" si="4"/>
        <v>4579</v>
      </c>
      <c r="AS18" s="321"/>
      <c r="AT18" s="322"/>
      <c r="AU18" s="327">
        <v>0</v>
      </c>
      <c r="AV18" s="317">
        <v>0</v>
      </c>
      <c r="AW18" s="317"/>
      <c r="AX18" s="318"/>
      <c r="AY18" s="243">
        <v>1</v>
      </c>
      <c r="AZ18" s="318">
        <v>15</v>
      </c>
      <c r="BA18" s="243">
        <v>147</v>
      </c>
      <c r="BB18" s="317">
        <v>1358</v>
      </c>
      <c r="BC18" s="317"/>
      <c r="BD18" s="242"/>
      <c r="BE18" s="328"/>
      <c r="BF18" s="318"/>
      <c r="BG18" s="243">
        <v>421</v>
      </c>
      <c r="BH18" s="242">
        <v>2067</v>
      </c>
      <c r="BI18" s="317"/>
      <c r="BJ18" s="318"/>
      <c r="BK18" s="243">
        <v>4</v>
      </c>
      <c r="BL18" s="318">
        <v>10</v>
      </c>
      <c r="BM18" s="28">
        <f t="shared" si="5"/>
        <v>573</v>
      </c>
      <c r="BN18" s="44">
        <f t="shared" si="6"/>
        <v>3450</v>
      </c>
      <c r="BO18" s="321"/>
      <c r="BP18" s="322"/>
      <c r="BQ18" s="330">
        <v>12</v>
      </c>
      <c r="BR18" s="331">
        <v>35</v>
      </c>
      <c r="BS18" s="317"/>
      <c r="BT18" s="326"/>
      <c r="BU18" s="241"/>
      <c r="BV18" s="314"/>
      <c r="BW18" s="332">
        <v>29</v>
      </c>
      <c r="BX18" s="333">
        <v>176</v>
      </c>
      <c r="BY18" s="317">
        <v>33</v>
      </c>
      <c r="BZ18" s="326">
        <v>207</v>
      </c>
      <c r="CA18" s="242"/>
      <c r="CB18" s="318"/>
      <c r="CC18" s="334">
        <v>6</v>
      </c>
      <c r="CD18" s="335">
        <v>85</v>
      </c>
      <c r="CE18" s="317">
        <v>71</v>
      </c>
      <c r="CF18" s="326">
        <v>238</v>
      </c>
      <c r="CG18" s="327"/>
      <c r="CH18" s="318"/>
      <c r="CI18" s="28">
        <f t="shared" si="7"/>
        <v>151</v>
      </c>
      <c r="CJ18" s="45">
        <f t="shared" si="8"/>
        <v>741</v>
      </c>
      <c r="CK18" s="321"/>
      <c r="CL18" s="337"/>
      <c r="CM18" s="32">
        <f t="shared" si="9"/>
        <v>12</v>
      </c>
      <c r="CN18" s="337"/>
      <c r="CO18" s="317"/>
      <c r="CP18" s="318"/>
      <c r="CQ18" s="236"/>
      <c r="CR18" s="314"/>
      <c r="CS18" s="332">
        <v>11</v>
      </c>
      <c r="CT18" s="333">
        <v>23</v>
      </c>
    </row>
    <row r="19" spans="1:98" ht="15.75" thickBot="1" x14ac:dyDescent="0.3">
      <c r="A19" s="244">
        <v>45976</v>
      </c>
      <c r="B19" s="357" t="s">
        <v>19</v>
      </c>
      <c r="C19" s="246"/>
      <c r="D19" s="247"/>
      <c r="E19" s="247"/>
      <c r="F19" s="248"/>
      <c r="G19" s="246"/>
      <c r="H19" s="249"/>
      <c r="I19" s="246"/>
      <c r="J19" s="247"/>
      <c r="K19" s="247"/>
      <c r="L19" s="248"/>
      <c r="M19" s="264"/>
      <c r="N19" s="284"/>
      <c r="O19" s="246"/>
      <c r="P19" s="269"/>
      <c r="Q19" s="267"/>
      <c r="R19" s="268"/>
      <c r="S19" s="285"/>
      <c r="T19" s="286"/>
      <c r="U19" s="109">
        <f t="shared" si="1"/>
        <v>0</v>
      </c>
      <c r="V19" s="31">
        <f t="shared" si="2"/>
        <v>0</v>
      </c>
      <c r="W19" s="273"/>
      <c r="X19" s="260"/>
      <c r="Y19" s="261"/>
      <c r="Z19" s="247"/>
      <c r="AA19" s="247"/>
      <c r="AB19" s="248"/>
      <c r="AC19" s="246"/>
      <c r="AD19" s="249"/>
      <c r="AE19" s="246"/>
      <c r="AF19" s="247"/>
      <c r="AG19" s="247"/>
      <c r="AH19" s="262"/>
      <c r="AI19" s="263"/>
      <c r="AJ19" s="248"/>
      <c r="AK19" s="246"/>
      <c r="AL19" s="262"/>
      <c r="AM19" s="247"/>
      <c r="AN19" s="248"/>
      <c r="AO19" s="246"/>
      <c r="AP19" s="249"/>
      <c r="AQ19" s="108">
        <f t="shared" si="3"/>
        <v>0</v>
      </c>
      <c r="AR19" s="38">
        <f t="shared" si="4"/>
        <v>0</v>
      </c>
      <c r="AS19" s="273"/>
      <c r="AT19" s="260"/>
      <c r="AU19" s="266"/>
      <c r="AV19" s="267"/>
      <c r="AW19" s="267"/>
      <c r="AX19" s="268"/>
      <c r="AY19" s="264"/>
      <c r="AZ19" s="268"/>
      <c r="BA19" s="264"/>
      <c r="BB19" s="267"/>
      <c r="BC19" s="267"/>
      <c r="BD19" s="269"/>
      <c r="BE19" s="270"/>
      <c r="BF19" s="268"/>
      <c r="BG19" s="264"/>
      <c r="BH19" s="269"/>
      <c r="BI19" s="267"/>
      <c r="BJ19" s="268"/>
      <c r="BK19" s="264"/>
      <c r="BL19" s="268"/>
      <c r="BM19" s="28">
        <f t="shared" si="5"/>
        <v>0</v>
      </c>
      <c r="BN19" s="44">
        <f t="shared" si="6"/>
        <v>0</v>
      </c>
      <c r="BO19" s="273"/>
      <c r="BP19" s="260"/>
      <c r="BQ19" s="274">
        <v>0</v>
      </c>
      <c r="BR19" s="275">
        <v>0</v>
      </c>
      <c r="BS19" s="267"/>
      <c r="BT19" s="265"/>
      <c r="BU19" s="276"/>
      <c r="BV19" s="248"/>
      <c r="BW19" s="277">
        <v>33</v>
      </c>
      <c r="BX19" s="287">
        <v>207</v>
      </c>
      <c r="BY19" s="267"/>
      <c r="BZ19" s="265"/>
      <c r="CA19" s="269"/>
      <c r="CB19" s="268"/>
      <c r="CC19" s="288">
        <v>71</v>
      </c>
      <c r="CD19" s="278">
        <v>238</v>
      </c>
      <c r="CE19" s="267"/>
      <c r="CF19" s="265"/>
      <c r="CG19" s="266"/>
      <c r="CH19" s="268"/>
      <c r="CI19" s="28">
        <f t="shared" si="7"/>
        <v>104</v>
      </c>
      <c r="CJ19" s="45">
        <f t="shared" si="8"/>
        <v>445</v>
      </c>
      <c r="CK19" s="273"/>
      <c r="CL19" s="281"/>
      <c r="CM19" s="32">
        <f t="shared" si="9"/>
        <v>0</v>
      </c>
      <c r="CN19" s="281"/>
      <c r="CO19" s="267"/>
      <c r="CP19" s="268"/>
      <c r="CQ19" s="246"/>
      <c r="CR19" s="248"/>
      <c r="CS19" s="277">
        <v>7</v>
      </c>
      <c r="CT19" s="287">
        <v>10</v>
      </c>
    </row>
    <row r="20" spans="1:98" s="129" customFormat="1" ht="15.75" thickBot="1" x14ac:dyDescent="0.3">
      <c r="A20" s="244">
        <v>45977</v>
      </c>
      <c r="B20" s="245" t="s">
        <v>20</v>
      </c>
      <c r="C20" s="246"/>
      <c r="D20" s="247"/>
      <c r="E20" s="247"/>
      <c r="F20" s="248"/>
      <c r="G20" s="246"/>
      <c r="H20" s="249"/>
      <c r="I20" s="246"/>
      <c r="J20" s="247"/>
      <c r="K20" s="247"/>
      <c r="L20" s="248"/>
      <c r="M20" s="264"/>
      <c r="N20" s="284"/>
      <c r="O20" s="246"/>
      <c r="P20" s="269"/>
      <c r="Q20" s="267"/>
      <c r="R20" s="268">
        <v>0</v>
      </c>
      <c r="S20" s="285"/>
      <c r="T20" s="286"/>
      <c r="U20" s="109">
        <f t="shared" si="1"/>
        <v>0</v>
      </c>
      <c r="V20" s="31">
        <f t="shared" si="2"/>
        <v>0</v>
      </c>
      <c r="W20" s="273"/>
      <c r="X20" s="260"/>
      <c r="Y20" s="261"/>
      <c r="Z20" s="247"/>
      <c r="AA20" s="247"/>
      <c r="AB20" s="248"/>
      <c r="AC20" s="246"/>
      <c r="AD20" s="249"/>
      <c r="AE20" s="246"/>
      <c r="AF20" s="247"/>
      <c r="AG20" s="247"/>
      <c r="AH20" s="262"/>
      <c r="AI20" s="263"/>
      <c r="AJ20" s="248"/>
      <c r="AK20" s="246"/>
      <c r="AL20" s="262"/>
      <c r="AM20" s="247"/>
      <c r="AN20" s="248"/>
      <c r="AO20" s="246"/>
      <c r="AP20" s="249"/>
      <c r="AQ20" s="108">
        <f t="shared" si="3"/>
        <v>0</v>
      </c>
      <c r="AR20" s="38">
        <f t="shared" si="4"/>
        <v>0</v>
      </c>
      <c r="AS20" s="273"/>
      <c r="AT20" s="260"/>
      <c r="AU20" s="266"/>
      <c r="AV20" s="267"/>
      <c r="AW20" s="267"/>
      <c r="AX20" s="268"/>
      <c r="AY20" s="264"/>
      <c r="AZ20" s="268"/>
      <c r="BA20" s="264"/>
      <c r="BB20" s="267"/>
      <c r="BC20" s="267"/>
      <c r="BD20" s="269"/>
      <c r="BE20" s="270"/>
      <c r="BF20" s="268"/>
      <c r="BG20" s="264"/>
      <c r="BH20" s="269"/>
      <c r="BI20" s="267"/>
      <c r="BJ20" s="268"/>
      <c r="BK20" s="264"/>
      <c r="BL20" s="268"/>
      <c r="BM20" s="28">
        <f t="shared" si="5"/>
        <v>0</v>
      </c>
      <c r="BN20" s="44">
        <f t="shared" si="6"/>
        <v>0</v>
      </c>
      <c r="BO20" s="273"/>
      <c r="BP20" s="260"/>
      <c r="BQ20" s="274">
        <v>0</v>
      </c>
      <c r="BR20" s="275">
        <v>0</v>
      </c>
      <c r="BS20" s="267"/>
      <c r="BT20" s="265"/>
      <c r="BU20" s="276"/>
      <c r="BV20" s="248"/>
      <c r="BW20" s="277">
        <v>33</v>
      </c>
      <c r="BX20" s="287">
        <v>207</v>
      </c>
      <c r="BY20" s="267"/>
      <c r="BZ20" s="265"/>
      <c r="CA20" s="269"/>
      <c r="CB20" s="268"/>
      <c r="CC20" s="288">
        <v>71</v>
      </c>
      <c r="CD20" s="278">
        <v>238</v>
      </c>
      <c r="CE20" s="267"/>
      <c r="CF20" s="265"/>
      <c r="CG20" s="266"/>
      <c r="CH20" s="268"/>
      <c r="CI20" s="28">
        <f t="shared" si="7"/>
        <v>104</v>
      </c>
      <c r="CJ20" s="45">
        <f t="shared" si="8"/>
        <v>445</v>
      </c>
      <c r="CK20" s="273"/>
      <c r="CL20" s="281"/>
      <c r="CM20" s="32">
        <f t="shared" si="9"/>
        <v>0</v>
      </c>
      <c r="CN20" s="281"/>
      <c r="CO20" s="267"/>
      <c r="CP20" s="268"/>
      <c r="CQ20" s="246"/>
      <c r="CR20" s="248"/>
      <c r="CS20" s="277">
        <v>7</v>
      </c>
      <c r="CT20" s="287">
        <v>10</v>
      </c>
    </row>
    <row r="21" spans="1:98" ht="15.75" thickBot="1" x14ac:dyDescent="0.3">
      <c r="A21" s="313">
        <v>45978</v>
      </c>
      <c r="B21" s="233" t="s">
        <v>14</v>
      </c>
      <c r="C21" s="236">
        <v>58</v>
      </c>
      <c r="D21" s="237">
        <v>133</v>
      </c>
      <c r="E21" s="237"/>
      <c r="F21" s="314">
        <v>25</v>
      </c>
      <c r="G21" s="236">
        <v>54</v>
      </c>
      <c r="H21" s="315"/>
      <c r="I21" s="236">
        <v>0</v>
      </c>
      <c r="J21" s="237">
        <v>0</v>
      </c>
      <c r="K21" s="237">
        <v>4</v>
      </c>
      <c r="L21" s="314">
        <v>20</v>
      </c>
      <c r="M21" s="243"/>
      <c r="N21" s="316"/>
      <c r="O21" s="236"/>
      <c r="P21" s="242"/>
      <c r="Q21" s="317"/>
      <c r="R21" s="318"/>
      <c r="S21" s="319"/>
      <c r="T21" s="320"/>
      <c r="U21" s="109">
        <f t="shared" si="1"/>
        <v>116</v>
      </c>
      <c r="V21" s="31">
        <f t="shared" si="2"/>
        <v>178</v>
      </c>
      <c r="W21" s="321"/>
      <c r="X21" s="322"/>
      <c r="Y21" s="323"/>
      <c r="Z21" s="237"/>
      <c r="AA21" s="237">
        <v>151</v>
      </c>
      <c r="AB21" s="314">
        <v>301</v>
      </c>
      <c r="AC21" s="236"/>
      <c r="AD21" s="315"/>
      <c r="AE21" s="236">
        <v>398</v>
      </c>
      <c r="AF21" s="237">
        <v>2183</v>
      </c>
      <c r="AG21" s="237">
        <v>115</v>
      </c>
      <c r="AH21" s="324">
        <v>607</v>
      </c>
      <c r="AI21" s="325"/>
      <c r="AJ21" s="314"/>
      <c r="AK21" s="236">
        <v>665</v>
      </c>
      <c r="AL21" s="324">
        <v>1904</v>
      </c>
      <c r="AM21" s="237">
        <v>265</v>
      </c>
      <c r="AN21" s="314">
        <v>837</v>
      </c>
      <c r="AO21" s="236"/>
      <c r="AP21" s="315"/>
      <c r="AQ21" s="108">
        <f t="shared" si="3"/>
        <v>1594</v>
      </c>
      <c r="AR21" s="38">
        <f t="shared" si="4"/>
        <v>5832</v>
      </c>
      <c r="AS21" s="321"/>
      <c r="AT21" s="322"/>
      <c r="AU21" s="327">
        <v>0</v>
      </c>
      <c r="AV21" s="317">
        <v>0</v>
      </c>
      <c r="AW21" s="317"/>
      <c r="AX21" s="318">
        <v>0</v>
      </c>
      <c r="AY21" s="243">
        <v>1</v>
      </c>
      <c r="AZ21" s="318">
        <v>2</v>
      </c>
      <c r="BA21" s="243">
        <v>115</v>
      </c>
      <c r="BB21" s="317">
        <v>1011</v>
      </c>
      <c r="BC21" s="317">
        <v>12</v>
      </c>
      <c r="BD21" s="242">
        <v>81</v>
      </c>
      <c r="BE21" s="328"/>
      <c r="BF21" s="318"/>
      <c r="BG21" s="243">
        <v>421</v>
      </c>
      <c r="BH21" s="242">
        <v>2067</v>
      </c>
      <c r="BI21" s="317"/>
      <c r="BJ21" s="318"/>
      <c r="BK21" s="243">
        <v>1</v>
      </c>
      <c r="BL21" s="318">
        <v>6</v>
      </c>
      <c r="BM21" s="28">
        <f t="shared" si="5"/>
        <v>550</v>
      </c>
      <c r="BN21" s="44">
        <f t="shared" si="6"/>
        <v>3167</v>
      </c>
      <c r="BO21" s="321"/>
      <c r="BP21" s="322"/>
      <c r="BQ21" s="330">
        <v>0</v>
      </c>
      <c r="BR21" s="331">
        <v>0</v>
      </c>
      <c r="BS21" s="317">
        <v>12</v>
      </c>
      <c r="BT21" s="326">
        <v>37</v>
      </c>
      <c r="BU21" s="241"/>
      <c r="BV21" s="314"/>
      <c r="BW21" s="332">
        <v>33</v>
      </c>
      <c r="BX21" s="333">
        <v>207</v>
      </c>
      <c r="BY21" s="317"/>
      <c r="BZ21" s="326"/>
      <c r="CA21" s="242"/>
      <c r="CB21" s="318"/>
      <c r="CC21" s="334">
        <v>71</v>
      </c>
      <c r="CD21" s="335">
        <v>238</v>
      </c>
      <c r="CE21" s="317"/>
      <c r="CF21" s="326"/>
      <c r="CG21" s="327"/>
      <c r="CH21" s="318"/>
      <c r="CI21" s="28">
        <f t="shared" si="7"/>
        <v>116</v>
      </c>
      <c r="CJ21" s="45">
        <f t="shared" si="8"/>
        <v>482</v>
      </c>
      <c r="CK21" s="321"/>
      <c r="CL21" s="337"/>
      <c r="CM21" s="32">
        <f t="shared" si="9"/>
        <v>58</v>
      </c>
      <c r="CN21" s="337"/>
      <c r="CO21" s="317"/>
      <c r="CP21" s="318"/>
      <c r="CQ21" s="236"/>
      <c r="CR21" s="314"/>
      <c r="CS21" s="332">
        <v>7</v>
      </c>
      <c r="CT21" s="331">
        <v>10</v>
      </c>
    </row>
    <row r="22" spans="1:98" ht="15.75" thickBot="1" x14ac:dyDescent="0.3">
      <c r="A22" s="313">
        <v>45979</v>
      </c>
      <c r="B22" s="234" t="s">
        <v>15</v>
      </c>
      <c r="C22" s="236"/>
      <c r="D22" s="237"/>
      <c r="E22" s="237"/>
      <c r="F22" s="314">
        <v>17</v>
      </c>
      <c r="G22" s="236">
        <v>54</v>
      </c>
      <c r="H22" s="315"/>
      <c r="I22" s="236">
        <v>0</v>
      </c>
      <c r="J22" s="237">
        <v>0</v>
      </c>
      <c r="K22" s="237"/>
      <c r="L22" s="314"/>
      <c r="M22" s="243"/>
      <c r="N22" s="316"/>
      <c r="O22" s="236"/>
      <c r="P22" s="242"/>
      <c r="Q22" s="317"/>
      <c r="R22" s="318"/>
      <c r="S22" s="319"/>
      <c r="T22" s="320"/>
      <c r="U22" s="109">
        <f t="shared" si="1"/>
        <v>54</v>
      </c>
      <c r="V22" s="31">
        <f t="shared" si="2"/>
        <v>17</v>
      </c>
      <c r="W22" s="321"/>
      <c r="X22" s="322"/>
      <c r="Y22" s="323"/>
      <c r="Z22" s="237"/>
      <c r="AA22" s="237"/>
      <c r="AB22" s="314"/>
      <c r="AC22" s="236"/>
      <c r="AD22" s="315"/>
      <c r="AE22" s="236">
        <v>398</v>
      </c>
      <c r="AF22" s="237">
        <v>2183</v>
      </c>
      <c r="AG22" s="237"/>
      <c r="AH22" s="324"/>
      <c r="AI22" s="325"/>
      <c r="AJ22" s="314"/>
      <c r="AK22" s="236">
        <v>616</v>
      </c>
      <c r="AL22" s="324">
        <v>1759</v>
      </c>
      <c r="AM22" s="237"/>
      <c r="AN22" s="314"/>
      <c r="AO22" s="236"/>
      <c r="AP22" s="315"/>
      <c r="AQ22" s="108">
        <f t="shared" si="3"/>
        <v>1014</v>
      </c>
      <c r="AR22" s="38">
        <f t="shared" si="4"/>
        <v>3942</v>
      </c>
      <c r="AS22" s="321"/>
      <c r="AT22" s="322"/>
      <c r="AU22" s="327">
        <v>0</v>
      </c>
      <c r="AV22" s="317">
        <v>0</v>
      </c>
      <c r="AW22" s="317"/>
      <c r="AX22" s="318"/>
      <c r="AY22" s="243">
        <v>1</v>
      </c>
      <c r="AZ22" s="318">
        <v>2</v>
      </c>
      <c r="BA22" s="243">
        <v>95</v>
      </c>
      <c r="BB22" s="317">
        <v>802</v>
      </c>
      <c r="BC22" s="317"/>
      <c r="BD22" s="242"/>
      <c r="BE22" s="328"/>
      <c r="BF22" s="318"/>
      <c r="BG22" s="243">
        <v>421</v>
      </c>
      <c r="BH22" s="242">
        <v>2067</v>
      </c>
      <c r="BI22" s="317"/>
      <c r="BJ22" s="318"/>
      <c r="BK22" s="243">
        <v>1</v>
      </c>
      <c r="BL22" s="318">
        <v>1</v>
      </c>
      <c r="BM22" s="28">
        <f t="shared" si="5"/>
        <v>518</v>
      </c>
      <c r="BN22" s="44">
        <f t="shared" si="6"/>
        <v>2872</v>
      </c>
      <c r="BO22" s="321"/>
      <c r="BP22" s="322"/>
      <c r="BQ22" s="330">
        <v>12</v>
      </c>
      <c r="BR22" s="331">
        <v>37</v>
      </c>
      <c r="BS22" s="317"/>
      <c r="BT22" s="326"/>
      <c r="BU22" s="241"/>
      <c r="BV22" s="314"/>
      <c r="BW22" s="332">
        <v>33</v>
      </c>
      <c r="BX22" s="333">
        <v>207</v>
      </c>
      <c r="BY22" s="317"/>
      <c r="BZ22" s="326"/>
      <c r="CA22" s="242"/>
      <c r="CB22" s="318"/>
      <c r="CC22" s="334">
        <v>41</v>
      </c>
      <c r="CD22" s="335">
        <v>191</v>
      </c>
      <c r="CE22" s="317"/>
      <c r="CF22" s="326"/>
      <c r="CG22" s="327"/>
      <c r="CH22" s="318"/>
      <c r="CI22" s="28">
        <f t="shared" si="7"/>
        <v>86</v>
      </c>
      <c r="CJ22" s="45">
        <f t="shared" si="8"/>
        <v>435</v>
      </c>
      <c r="CK22" s="321"/>
      <c r="CL22" s="337"/>
      <c r="CM22" s="32">
        <f t="shared" si="9"/>
        <v>12</v>
      </c>
      <c r="CN22" s="337"/>
      <c r="CO22" s="317"/>
      <c r="CP22" s="318"/>
      <c r="CQ22" s="236"/>
      <c r="CR22" s="314"/>
      <c r="CS22" s="332">
        <v>7</v>
      </c>
      <c r="CT22" s="331">
        <v>10</v>
      </c>
    </row>
    <row r="23" spans="1:98" s="129" customFormat="1" ht="15.75" thickBot="1" x14ac:dyDescent="0.3">
      <c r="A23" s="313">
        <v>45980</v>
      </c>
      <c r="B23" s="233" t="s">
        <v>16</v>
      </c>
      <c r="C23" s="236"/>
      <c r="D23" s="237"/>
      <c r="E23" s="237"/>
      <c r="F23" s="314"/>
      <c r="G23" s="236"/>
      <c r="H23" s="315"/>
      <c r="I23" s="236"/>
      <c r="J23" s="237"/>
      <c r="K23" s="237"/>
      <c r="L23" s="314"/>
      <c r="M23" s="243"/>
      <c r="N23" s="316"/>
      <c r="O23" s="236"/>
      <c r="P23" s="242"/>
      <c r="Q23" s="317"/>
      <c r="R23" s="318"/>
      <c r="S23" s="319"/>
      <c r="T23" s="320"/>
      <c r="U23" s="109">
        <f t="shared" si="1"/>
        <v>0</v>
      </c>
      <c r="V23" s="31">
        <f t="shared" si="2"/>
        <v>0</v>
      </c>
      <c r="W23" s="344"/>
      <c r="X23" s="322"/>
      <c r="Y23" s="323"/>
      <c r="Z23" s="237"/>
      <c r="AA23" s="237"/>
      <c r="AB23" s="314"/>
      <c r="AC23" s="236"/>
      <c r="AD23" s="315"/>
      <c r="AE23" s="236">
        <v>398</v>
      </c>
      <c r="AF23" s="237">
        <v>2183</v>
      </c>
      <c r="AG23" s="237"/>
      <c r="AH23" s="324"/>
      <c r="AI23" s="325"/>
      <c r="AJ23" s="314"/>
      <c r="AK23" s="236">
        <v>567</v>
      </c>
      <c r="AL23" s="324">
        <v>1695</v>
      </c>
      <c r="AM23" s="237"/>
      <c r="AN23" s="314"/>
      <c r="AO23" s="236">
        <v>4</v>
      </c>
      <c r="AP23" s="315">
        <v>45</v>
      </c>
      <c r="AQ23" s="108">
        <f t="shared" si="3"/>
        <v>969</v>
      </c>
      <c r="AR23" s="38">
        <f t="shared" si="4"/>
        <v>3923</v>
      </c>
      <c r="AS23" s="344"/>
      <c r="AT23" s="322"/>
      <c r="AU23" s="327">
        <v>0</v>
      </c>
      <c r="AV23" s="317">
        <v>0</v>
      </c>
      <c r="AW23" s="317"/>
      <c r="AX23" s="318"/>
      <c r="AY23" s="243">
        <v>1</v>
      </c>
      <c r="AZ23" s="318">
        <v>16</v>
      </c>
      <c r="BA23" s="243"/>
      <c r="BB23" s="317"/>
      <c r="BC23" s="317"/>
      <c r="BD23" s="242"/>
      <c r="BE23" s="328"/>
      <c r="BF23" s="318"/>
      <c r="BG23" s="243">
        <v>420</v>
      </c>
      <c r="BH23" s="242">
        <v>2051</v>
      </c>
      <c r="BI23" s="317">
        <v>22</v>
      </c>
      <c r="BJ23" s="318">
        <v>97</v>
      </c>
      <c r="BK23" s="243">
        <v>2</v>
      </c>
      <c r="BL23" s="318">
        <v>7</v>
      </c>
      <c r="BM23" s="28">
        <f t="shared" si="5"/>
        <v>445</v>
      </c>
      <c r="BN23" s="44">
        <f t="shared" si="6"/>
        <v>2171</v>
      </c>
      <c r="BO23" s="321"/>
      <c r="BP23" s="322"/>
      <c r="BQ23" s="330">
        <v>12</v>
      </c>
      <c r="BR23" s="331">
        <v>37</v>
      </c>
      <c r="BS23" s="317"/>
      <c r="BT23" s="326"/>
      <c r="BU23" s="241"/>
      <c r="BV23" s="314"/>
      <c r="BW23" s="332"/>
      <c r="BX23" s="333"/>
      <c r="BY23" s="317"/>
      <c r="BZ23" s="326"/>
      <c r="CA23" s="242"/>
      <c r="CB23" s="318"/>
      <c r="CC23" s="334">
        <v>22</v>
      </c>
      <c r="CD23" s="335">
        <v>97</v>
      </c>
      <c r="CE23" s="317"/>
      <c r="CF23" s="326"/>
      <c r="CG23" s="327"/>
      <c r="CH23" s="318"/>
      <c r="CI23" s="28">
        <f t="shared" si="7"/>
        <v>34</v>
      </c>
      <c r="CJ23" s="45">
        <f t="shared" si="8"/>
        <v>134</v>
      </c>
      <c r="CK23" s="345"/>
      <c r="CL23" s="337"/>
      <c r="CM23" s="32">
        <f t="shared" si="9"/>
        <v>12</v>
      </c>
      <c r="CN23" s="337"/>
      <c r="CO23" s="317"/>
      <c r="CP23" s="318"/>
      <c r="CQ23" s="236"/>
      <c r="CR23" s="314"/>
      <c r="CS23" s="332">
        <v>7</v>
      </c>
      <c r="CT23" s="331">
        <v>10</v>
      </c>
    </row>
    <row r="24" spans="1:98" ht="15.75" thickBot="1" x14ac:dyDescent="0.3">
      <c r="A24" s="290">
        <v>45981</v>
      </c>
      <c r="B24" s="291" t="s">
        <v>17</v>
      </c>
      <c r="C24" s="99">
        <v>83</v>
      </c>
      <c r="D24" s="74">
        <v>168</v>
      </c>
      <c r="E24" s="74">
        <v>227</v>
      </c>
      <c r="F24" s="292"/>
      <c r="G24" s="99"/>
      <c r="H24" s="293"/>
      <c r="I24" s="99">
        <v>0</v>
      </c>
      <c r="J24" s="74">
        <v>0</v>
      </c>
      <c r="K24" s="74"/>
      <c r="L24" s="292"/>
      <c r="M24" s="125"/>
      <c r="N24" s="294"/>
      <c r="O24" s="99">
        <v>127</v>
      </c>
      <c r="P24" s="78">
        <v>236</v>
      </c>
      <c r="Q24" s="77"/>
      <c r="R24" s="302"/>
      <c r="S24" s="307"/>
      <c r="T24" s="308"/>
      <c r="U24" s="109">
        <f t="shared" si="1"/>
        <v>437</v>
      </c>
      <c r="V24" s="31">
        <f t="shared" si="2"/>
        <v>404</v>
      </c>
      <c r="W24" s="79"/>
      <c r="X24" s="300"/>
      <c r="Y24" s="73">
        <v>168</v>
      </c>
      <c r="Z24" s="74">
        <v>661</v>
      </c>
      <c r="AA24" s="74"/>
      <c r="AB24" s="292"/>
      <c r="AC24" s="99"/>
      <c r="AD24" s="293"/>
      <c r="AE24" s="99">
        <v>364</v>
      </c>
      <c r="AF24" s="74">
        <v>2056</v>
      </c>
      <c r="AG24" s="74"/>
      <c r="AH24" s="75"/>
      <c r="AI24" s="301"/>
      <c r="AJ24" s="292"/>
      <c r="AK24" s="99">
        <v>552</v>
      </c>
      <c r="AL24" s="75">
        <v>1629</v>
      </c>
      <c r="AM24" s="74"/>
      <c r="AN24" s="292"/>
      <c r="AO24" s="99"/>
      <c r="AP24" s="293"/>
      <c r="AQ24" s="108">
        <f t="shared" si="3"/>
        <v>1084</v>
      </c>
      <c r="AR24" s="38">
        <f t="shared" si="4"/>
        <v>4346</v>
      </c>
      <c r="AS24" s="79"/>
      <c r="AT24" s="300"/>
      <c r="AU24" s="76">
        <v>0</v>
      </c>
      <c r="AV24" s="77">
        <v>0</v>
      </c>
      <c r="AW24" s="77"/>
      <c r="AX24" s="302"/>
      <c r="AY24" s="125"/>
      <c r="AZ24" s="302"/>
      <c r="BA24" s="125">
        <v>91</v>
      </c>
      <c r="BB24" s="77">
        <v>696</v>
      </c>
      <c r="BC24" s="77"/>
      <c r="BD24" s="78"/>
      <c r="BE24" s="303"/>
      <c r="BF24" s="302"/>
      <c r="BG24" s="125">
        <v>442</v>
      </c>
      <c r="BH24" s="78">
        <v>2148</v>
      </c>
      <c r="BI24" s="77"/>
      <c r="BJ24" s="302"/>
      <c r="BK24" s="125"/>
      <c r="BL24" s="302"/>
      <c r="BM24" s="28">
        <f t="shared" si="5"/>
        <v>533</v>
      </c>
      <c r="BN24" s="44">
        <f t="shared" si="6"/>
        <v>2844</v>
      </c>
      <c r="BO24" s="79"/>
      <c r="BP24" s="300"/>
      <c r="BQ24" s="80">
        <v>12</v>
      </c>
      <c r="BR24" s="81">
        <v>37</v>
      </c>
      <c r="BS24" s="77"/>
      <c r="BT24" s="210"/>
      <c r="BU24" s="100"/>
      <c r="BV24" s="292"/>
      <c r="BW24" s="188">
        <v>33</v>
      </c>
      <c r="BX24" s="101">
        <v>207</v>
      </c>
      <c r="BY24" s="77"/>
      <c r="BZ24" s="210"/>
      <c r="CA24" s="78">
        <v>2</v>
      </c>
      <c r="CB24" s="302">
        <v>4</v>
      </c>
      <c r="CC24" s="192">
        <v>0</v>
      </c>
      <c r="CD24" s="82">
        <v>0</v>
      </c>
      <c r="CE24" s="77"/>
      <c r="CF24" s="210"/>
      <c r="CG24" s="76"/>
      <c r="CH24" s="302"/>
      <c r="CI24" s="28">
        <f t="shared" si="7"/>
        <v>47</v>
      </c>
      <c r="CJ24" s="45">
        <f t="shared" si="8"/>
        <v>248</v>
      </c>
      <c r="CK24" s="79"/>
      <c r="CL24" s="304"/>
      <c r="CM24" s="32">
        <f t="shared" si="9"/>
        <v>263</v>
      </c>
      <c r="CN24" s="304"/>
      <c r="CO24" s="77"/>
      <c r="CP24" s="302"/>
      <c r="CQ24" s="99"/>
      <c r="CR24" s="292"/>
      <c r="CS24" s="188">
        <v>7</v>
      </c>
      <c r="CT24" s="101">
        <v>10</v>
      </c>
    </row>
    <row r="25" spans="1:98" ht="15.75" thickBot="1" x14ac:dyDescent="0.3">
      <c r="A25" s="313">
        <v>45982</v>
      </c>
      <c r="B25" s="233" t="s">
        <v>18</v>
      </c>
      <c r="C25" s="236"/>
      <c r="D25" s="239"/>
      <c r="E25" s="237"/>
      <c r="F25" s="314"/>
      <c r="G25" s="236"/>
      <c r="H25" s="315"/>
      <c r="I25" s="236"/>
      <c r="J25" s="239"/>
      <c r="K25" s="237"/>
      <c r="L25" s="314"/>
      <c r="M25" s="243"/>
      <c r="N25" s="316"/>
      <c r="O25" s="243"/>
      <c r="P25" s="242"/>
      <c r="Q25" s="317"/>
      <c r="R25" s="318"/>
      <c r="S25" s="319"/>
      <c r="T25" s="320"/>
      <c r="U25" s="109">
        <f t="shared" si="1"/>
        <v>0</v>
      </c>
      <c r="V25" s="31">
        <f t="shared" si="2"/>
        <v>0</v>
      </c>
      <c r="W25" s="321"/>
      <c r="X25" s="322"/>
      <c r="Y25" s="323"/>
      <c r="Z25" s="237"/>
      <c r="AA25" s="237"/>
      <c r="AB25" s="314"/>
      <c r="AC25" s="236"/>
      <c r="AD25" s="315"/>
      <c r="AE25" s="236">
        <v>364</v>
      </c>
      <c r="AF25" s="237">
        <v>2056</v>
      </c>
      <c r="AG25" s="237"/>
      <c r="AH25" s="324"/>
      <c r="AI25" s="325"/>
      <c r="AJ25" s="314"/>
      <c r="AK25" s="236">
        <v>469</v>
      </c>
      <c r="AL25" s="324">
        <v>1353</v>
      </c>
      <c r="AM25" s="237"/>
      <c r="AN25" s="314"/>
      <c r="AO25" s="236"/>
      <c r="AP25" s="315"/>
      <c r="AQ25" s="108">
        <f t="shared" si="3"/>
        <v>833</v>
      </c>
      <c r="AR25" s="38">
        <f t="shared" si="4"/>
        <v>3409</v>
      </c>
      <c r="AS25" s="321"/>
      <c r="AT25" s="322"/>
      <c r="AU25" s="327">
        <v>0</v>
      </c>
      <c r="AV25" s="317">
        <v>0</v>
      </c>
      <c r="AW25" s="317"/>
      <c r="AX25" s="318"/>
      <c r="AY25" s="243"/>
      <c r="AZ25" s="318"/>
      <c r="BA25" s="243">
        <v>81</v>
      </c>
      <c r="BB25" s="317">
        <v>518</v>
      </c>
      <c r="BC25" s="317"/>
      <c r="BD25" s="242"/>
      <c r="BE25" s="328"/>
      <c r="BF25" s="318"/>
      <c r="BG25" s="243">
        <v>442</v>
      </c>
      <c r="BH25" s="242">
        <v>2148</v>
      </c>
      <c r="BI25" s="317"/>
      <c r="BJ25" s="318"/>
      <c r="BK25" s="243"/>
      <c r="BL25" s="318"/>
      <c r="BM25" s="28">
        <f t="shared" si="5"/>
        <v>523</v>
      </c>
      <c r="BN25" s="44">
        <f t="shared" si="6"/>
        <v>2666</v>
      </c>
      <c r="BO25" s="321"/>
      <c r="BP25" s="322"/>
      <c r="BQ25" s="330">
        <v>12</v>
      </c>
      <c r="BR25" s="331">
        <v>37</v>
      </c>
      <c r="BS25" s="317"/>
      <c r="BT25" s="326"/>
      <c r="BU25" s="241"/>
      <c r="BV25" s="314"/>
      <c r="BW25" s="332">
        <v>22</v>
      </c>
      <c r="BX25" s="333">
        <v>120</v>
      </c>
      <c r="BY25" s="317"/>
      <c r="BZ25" s="326"/>
      <c r="CA25" s="242">
        <v>2</v>
      </c>
      <c r="CB25" s="318">
        <v>8</v>
      </c>
      <c r="CC25" s="334">
        <v>0</v>
      </c>
      <c r="CD25" s="335">
        <v>0</v>
      </c>
      <c r="CE25" s="317"/>
      <c r="CF25" s="326"/>
      <c r="CG25" s="327"/>
      <c r="CH25" s="318"/>
      <c r="CI25" s="28">
        <f t="shared" si="7"/>
        <v>36</v>
      </c>
      <c r="CJ25" s="45">
        <f t="shared" si="8"/>
        <v>165</v>
      </c>
      <c r="CK25" s="321"/>
      <c r="CL25" s="337"/>
      <c r="CM25" s="32">
        <f t="shared" si="9"/>
        <v>12</v>
      </c>
      <c r="CN25" s="337"/>
      <c r="CO25" s="317"/>
      <c r="CP25" s="318"/>
      <c r="CQ25" s="236"/>
      <c r="CR25" s="314"/>
      <c r="CS25" s="332">
        <v>5</v>
      </c>
      <c r="CT25" s="333">
        <v>8</v>
      </c>
    </row>
    <row r="26" spans="1:98" s="129" customFormat="1" ht="15.75" thickBot="1" x14ac:dyDescent="0.3">
      <c r="A26" s="244">
        <v>45983</v>
      </c>
      <c r="B26" s="245" t="s">
        <v>19</v>
      </c>
      <c r="C26" s="276"/>
      <c r="D26" s="267"/>
      <c r="E26" s="246"/>
      <c r="F26" s="248"/>
      <c r="G26" s="246"/>
      <c r="H26" s="249"/>
      <c r="I26" s="276"/>
      <c r="J26" s="267"/>
      <c r="K26" s="246"/>
      <c r="L26" s="248"/>
      <c r="M26" s="264"/>
      <c r="N26" s="284"/>
      <c r="O26" s="246"/>
      <c r="P26" s="269"/>
      <c r="Q26" s="267"/>
      <c r="R26" s="268"/>
      <c r="S26" s="285"/>
      <c r="T26" s="286"/>
      <c r="U26" s="109">
        <f t="shared" si="1"/>
        <v>0</v>
      </c>
      <c r="V26" s="31">
        <f t="shared" si="2"/>
        <v>0</v>
      </c>
      <c r="W26" s="273"/>
      <c r="X26" s="260"/>
      <c r="Y26" s="261"/>
      <c r="Z26" s="247"/>
      <c r="AA26" s="247"/>
      <c r="AB26" s="248"/>
      <c r="AC26" s="246"/>
      <c r="AD26" s="249"/>
      <c r="AE26" s="246"/>
      <c r="AF26" s="247"/>
      <c r="AG26" s="247"/>
      <c r="AH26" s="262"/>
      <c r="AI26" s="263"/>
      <c r="AJ26" s="248"/>
      <c r="AK26" s="246"/>
      <c r="AL26" s="262"/>
      <c r="AM26" s="247"/>
      <c r="AN26" s="248"/>
      <c r="AO26" s="246"/>
      <c r="AP26" s="249"/>
      <c r="AQ26" s="108">
        <f t="shared" si="3"/>
        <v>0</v>
      </c>
      <c r="AR26" s="38">
        <f t="shared" si="4"/>
        <v>0</v>
      </c>
      <c r="AS26" s="273"/>
      <c r="AT26" s="260"/>
      <c r="AU26" s="266"/>
      <c r="AV26" s="267"/>
      <c r="AW26" s="267"/>
      <c r="AX26" s="268"/>
      <c r="AY26" s="264"/>
      <c r="AZ26" s="268"/>
      <c r="BA26" s="264"/>
      <c r="BB26" s="267"/>
      <c r="BC26" s="267"/>
      <c r="BD26" s="269"/>
      <c r="BE26" s="270"/>
      <c r="BF26" s="268"/>
      <c r="BG26" s="264"/>
      <c r="BH26" s="269"/>
      <c r="BI26" s="267"/>
      <c r="BJ26" s="268"/>
      <c r="BK26" s="264"/>
      <c r="BL26" s="268"/>
      <c r="BM26" s="28">
        <f t="shared" si="5"/>
        <v>0</v>
      </c>
      <c r="BN26" s="44">
        <f t="shared" si="6"/>
        <v>0</v>
      </c>
      <c r="BO26" s="273"/>
      <c r="BP26" s="260"/>
      <c r="BQ26" s="274">
        <v>12</v>
      </c>
      <c r="BR26" s="275">
        <v>37</v>
      </c>
      <c r="BS26" s="267"/>
      <c r="BT26" s="265"/>
      <c r="BU26" s="276"/>
      <c r="BV26" s="248"/>
      <c r="BW26" s="277">
        <v>0</v>
      </c>
      <c r="BX26" s="287">
        <v>0</v>
      </c>
      <c r="BY26" s="267"/>
      <c r="BZ26" s="265"/>
      <c r="CA26" s="269"/>
      <c r="CB26" s="268"/>
      <c r="CC26" s="288">
        <v>0</v>
      </c>
      <c r="CD26" s="278">
        <v>0</v>
      </c>
      <c r="CE26" s="267"/>
      <c r="CF26" s="265"/>
      <c r="CG26" s="266"/>
      <c r="CH26" s="268"/>
      <c r="CI26" s="28">
        <f t="shared" si="7"/>
        <v>12</v>
      </c>
      <c r="CJ26" s="45">
        <f t="shared" si="8"/>
        <v>37</v>
      </c>
      <c r="CK26" s="273"/>
      <c r="CL26" s="281"/>
      <c r="CM26" s="32">
        <f t="shared" si="9"/>
        <v>12</v>
      </c>
      <c r="CN26" s="281"/>
      <c r="CO26" s="267"/>
      <c r="CP26" s="268"/>
      <c r="CQ26" s="246"/>
      <c r="CR26" s="248"/>
      <c r="CS26" s="277">
        <v>0</v>
      </c>
      <c r="CT26" s="287">
        <v>0</v>
      </c>
    </row>
    <row r="27" spans="1:98" s="129" customFormat="1" ht="15.75" thickBot="1" x14ac:dyDescent="0.3">
      <c r="A27" s="244">
        <v>45984</v>
      </c>
      <c r="B27" s="357" t="s">
        <v>20</v>
      </c>
      <c r="C27" s="246"/>
      <c r="D27" s="247"/>
      <c r="E27" s="247"/>
      <c r="F27" s="248"/>
      <c r="G27" s="246"/>
      <c r="H27" s="249"/>
      <c r="I27" s="246"/>
      <c r="J27" s="247"/>
      <c r="K27" s="247"/>
      <c r="L27" s="248"/>
      <c r="M27" s="264"/>
      <c r="N27" s="284"/>
      <c r="O27" s="246"/>
      <c r="P27" s="269"/>
      <c r="Q27" s="267"/>
      <c r="R27" s="268"/>
      <c r="S27" s="285"/>
      <c r="T27" s="286"/>
      <c r="U27" s="109">
        <f t="shared" si="1"/>
        <v>0</v>
      </c>
      <c r="V27" s="31">
        <f t="shared" si="2"/>
        <v>0</v>
      </c>
      <c r="W27" s="273"/>
      <c r="X27" s="260"/>
      <c r="Y27" s="261"/>
      <c r="Z27" s="247"/>
      <c r="AA27" s="247"/>
      <c r="AB27" s="248"/>
      <c r="AC27" s="246"/>
      <c r="AD27" s="249"/>
      <c r="AE27" s="246"/>
      <c r="AF27" s="247"/>
      <c r="AG27" s="247"/>
      <c r="AH27" s="262"/>
      <c r="AI27" s="263"/>
      <c r="AJ27" s="248"/>
      <c r="AK27" s="246"/>
      <c r="AL27" s="262"/>
      <c r="AM27" s="247"/>
      <c r="AN27" s="248"/>
      <c r="AO27" s="246"/>
      <c r="AP27" s="249"/>
      <c r="AQ27" s="108">
        <f t="shared" si="3"/>
        <v>0</v>
      </c>
      <c r="AR27" s="38">
        <f t="shared" si="4"/>
        <v>0</v>
      </c>
      <c r="AS27" s="273"/>
      <c r="AT27" s="260"/>
      <c r="AU27" s="266"/>
      <c r="AV27" s="267"/>
      <c r="AW27" s="267"/>
      <c r="AX27" s="268"/>
      <c r="AY27" s="264"/>
      <c r="AZ27" s="268"/>
      <c r="BA27" s="264"/>
      <c r="BB27" s="267"/>
      <c r="BC27" s="267"/>
      <c r="BD27" s="269"/>
      <c r="BE27" s="270"/>
      <c r="BF27" s="268"/>
      <c r="BG27" s="264"/>
      <c r="BH27" s="269"/>
      <c r="BI27" s="267"/>
      <c r="BJ27" s="268"/>
      <c r="BK27" s="264"/>
      <c r="BL27" s="268"/>
      <c r="BM27" s="28">
        <f t="shared" si="5"/>
        <v>0</v>
      </c>
      <c r="BN27" s="44">
        <f t="shared" si="6"/>
        <v>0</v>
      </c>
      <c r="BO27" s="273"/>
      <c r="BP27" s="260"/>
      <c r="BQ27" s="274">
        <v>12</v>
      </c>
      <c r="BR27" s="275">
        <v>37</v>
      </c>
      <c r="BS27" s="267"/>
      <c r="BT27" s="265"/>
      <c r="BU27" s="276"/>
      <c r="BV27" s="248"/>
      <c r="BW27" s="277">
        <v>0</v>
      </c>
      <c r="BX27" s="287">
        <v>0</v>
      </c>
      <c r="BY27" s="267"/>
      <c r="BZ27" s="265"/>
      <c r="CA27" s="269"/>
      <c r="CB27" s="268"/>
      <c r="CC27" s="288">
        <v>0</v>
      </c>
      <c r="CD27" s="278">
        <v>0</v>
      </c>
      <c r="CE27" s="267"/>
      <c r="CF27" s="265"/>
      <c r="CG27" s="266"/>
      <c r="CH27" s="268"/>
      <c r="CI27" s="28">
        <f t="shared" si="7"/>
        <v>12</v>
      </c>
      <c r="CJ27" s="45">
        <f t="shared" si="8"/>
        <v>37</v>
      </c>
      <c r="CK27" s="273"/>
      <c r="CL27" s="281"/>
      <c r="CM27" s="32">
        <f t="shared" si="9"/>
        <v>12</v>
      </c>
      <c r="CN27" s="281"/>
      <c r="CO27" s="267"/>
      <c r="CP27" s="268"/>
      <c r="CQ27" s="246"/>
      <c r="CR27" s="248"/>
      <c r="CS27" s="277">
        <v>0</v>
      </c>
      <c r="CT27" s="287">
        <v>0</v>
      </c>
    </row>
    <row r="28" spans="1:98" s="129" customFormat="1" ht="15.75" thickBot="1" x14ac:dyDescent="0.3">
      <c r="A28" s="313">
        <v>45985</v>
      </c>
      <c r="B28" s="234" t="s">
        <v>14</v>
      </c>
      <c r="C28" s="236"/>
      <c r="D28" s="237"/>
      <c r="E28" s="237"/>
      <c r="F28" s="314"/>
      <c r="G28" s="236"/>
      <c r="H28" s="315"/>
      <c r="I28" s="236">
        <v>18</v>
      </c>
      <c r="J28" s="237">
        <v>118</v>
      </c>
      <c r="K28" s="237">
        <v>18</v>
      </c>
      <c r="L28" s="314">
        <v>118</v>
      </c>
      <c r="M28" s="243"/>
      <c r="N28" s="316"/>
      <c r="O28" s="236"/>
      <c r="P28" s="242"/>
      <c r="Q28" s="317"/>
      <c r="R28" s="318"/>
      <c r="S28" s="319"/>
      <c r="T28" s="320"/>
      <c r="U28" s="109">
        <f t="shared" si="1"/>
        <v>36</v>
      </c>
      <c r="V28" s="31">
        <f t="shared" si="2"/>
        <v>236</v>
      </c>
      <c r="W28" s="321"/>
      <c r="X28" s="322"/>
      <c r="Y28" s="323"/>
      <c r="Z28" s="237"/>
      <c r="AA28" s="237">
        <v>125</v>
      </c>
      <c r="AB28" s="314">
        <v>247</v>
      </c>
      <c r="AC28" s="236"/>
      <c r="AD28" s="315"/>
      <c r="AE28" s="236">
        <v>382</v>
      </c>
      <c r="AF28" s="237">
        <v>2151</v>
      </c>
      <c r="AG28" s="237">
        <v>81</v>
      </c>
      <c r="AH28" s="324">
        <v>505</v>
      </c>
      <c r="AI28" s="325"/>
      <c r="AJ28" s="314"/>
      <c r="AK28" s="236">
        <v>560</v>
      </c>
      <c r="AL28" s="324">
        <v>1539</v>
      </c>
      <c r="AM28" s="237">
        <v>91</v>
      </c>
      <c r="AN28" s="314">
        <v>216</v>
      </c>
      <c r="AO28" s="236">
        <v>26</v>
      </c>
      <c r="AP28" s="315">
        <v>112</v>
      </c>
      <c r="AQ28" s="108">
        <f t="shared" si="3"/>
        <v>1265</v>
      </c>
      <c r="AR28" s="38">
        <f t="shared" si="4"/>
        <v>4770</v>
      </c>
      <c r="AS28" s="321"/>
      <c r="AT28" s="322"/>
      <c r="AU28" s="327"/>
      <c r="AV28" s="317"/>
      <c r="AW28" s="317"/>
      <c r="AX28" s="318"/>
      <c r="AY28" s="243"/>
      <c r="AZ28" s="318"/>
      <c r="BA28" s="243"/>
      <c r="BB28" s="317"/>
      <c r="BC28" s="317"/>
      <c r="BD28" s="242"/>
      <c r="BE28" s="328"/>
      <c r="BF28" s="318"/>
      <c r="BG28" s="243"/>
      <c r="BH28" s="242"/>
      <c r="BI28" s="317"/>
      <c r="BJ28" s="318"/>
      <c r="BK28" s="243"/>
      <c r="BL28" s="318"/>
      <c r="BM28" s="28">
        <f t="shared" si="5"/>
        <v>0</v>
      </c>
      <c r="BN28" s="44">
        <f t="shared" si="6"/>
        <v>0</v>
      </c>
      <c r="BO28" s="321"/>
      <c r="BP28" s="322"/>
      <c r="BQ28" s="330">
        <v>12</v>
      </c>
      <c r="BR28" s="331">
        <v>37</v>
      </c>
      <c r="BS28" s="317">
        <v>12</v>
      </c>
      <c r="BT28" s="326">
        <v>23</v>
      </c>
      <c r="BU28" s="241"/>
      <c r="BV28" s="314"/>
      <c r="BW28" s="332">
        <v>0</v>
      </c>
      <c r="BX28" s="333">
        <v>0</v>
      </c>
      <c r="BY28" s="317"/>
      <c r="BZ28" s="326"/>
      <c r="CA28" s="242"/>
      <c r="CB28" s="318"/>
      <c r="CC28" s="334">
        <v>0</v>
      </c>
      <c r="CD28" s="335">
        <v>0</v>
      </c>
      <c r="CE28" s="317"/>
      <c r="CF28" s="326"/>
      <c r="CG28" s="327"/>
      <c r="CH28" s="318"/>
      <c r="CI28" s="28">
        <f t="shared" si="7"/>
        <v>24</v>
      </c>
      <c r="CJ28" s="45">
        <f t="shared" si="8"/>
        <v>60</v>
      </c>
      <c r="CK28" s="321"/>
      <c r="CL28" s="337"/>
      <c r="CM28" s="32">
        <f t="shared" si="9"/>
        <v>12</v>
      </c>
      <c r="CN28" s="337"/>
      <c r="CO28" s="317"/>
      <c r="CP28" s="318"/>
      <c r="CQ28" s="236">
        <v>1</v>
      </c>
      <c r="CR28" s="314">
        <v>1</v>
      </c>
      <c r="CS28" s="332">
        <v>1</v>
      </c>
      <c r="CT28" s="333">
        <v>1</v>
      </c>
    </row>
    <row r="29" spans="1:98" s="129" customFormat="1" ht="15.75" thickBot="1" x14ac:dyDescent="0.3">
      <c r="A29" s="313">
        <v>45986</v>
      </c>
      <c r="B29" s="233" t="s">
        <v>15</v>
      </c>
      <c r="C29" s="236">
        <v>134</v>
      </c>
      <c r="D29" s="237">
        <v>227</v>
      </c>
      <c r="E29" s="237"/>
      <c r="F29" s="314"/>
      <c r="G29" s="236"/>
      <c r="H29" s="315"/>
      <c r="I29" s="236"/>
      <c r="J29" s="237"/>
      <c r="K29" s="237"/>
      <c r="L29" s="314"/>
      <c r="M29" s="243"/>
      <c r="N29" s="316"/>
      <c r="O29" s="236"/>
      <c r="P29" s="241"/>
      <c r="Q29" s="317"/>
      <c r="R29" s="318"/>
      <c r="S29" s="319"/>
      <c r="T29" s="320"/>
      <c r="U29" s="109">
        <f t="shared" si="1"/>
        <v>134</v>
      </c>
      <c r="V29" s="31">
        <f t="shared" si="2"/>
        <v>227</v>
      </c>
      <c r="W29" s="344"/>
      <c r="X29" s="322"/>
      <c r="Y29" s="236"/>
      <c r="Z29" s="237"/>
      <c r="AA29" s="237"/>
      <c r="AB29" s="314"/>
      <c r="AC29" s="236"/>
      <c r="AD29" s="315"/>
      <c r="AE29" s="236">
        <v>349</v>
      </c>
      <c r="AF29" s="237">
        <v>2014</v>
      </c>
      <c r="AG29" s="237"/>
      <c r="AH29" s="324"/>
      <c r="AI29" s="325"/>
      <c r="AJ29" s="314"/>
      <c r="AK29" s="236">
        <v>546</v>
      </c>
      <c r="AL29" s="324">
        <v>1479</v>
      </c>
      <c r="AM29" s="237"/>
      <c r="AN29" s="314"/>
      <c r="AO29" s="236"/>
      <c r="AP29" s="315"/>
      <c r="AQ29" s="108">
        <f t="shared" si="3"/>
        <v>895</v>
      </c>
      <c r="AR29" s="38">
        <f t="shared" si="4"/>
        <v>3493</v>
      </c>
      <c r="AS29" s="344"/>
      <c r="AT29" s="322"/>
      <c r="AU29" s="327">
        <v>0</v>
      </c>
      <c r="AV29" s="317">
        <v>0</v>
      </c>
      <c r="AW29" s="317"/>
      <c r="AX29" s="318"/>
      <c r="AY29" s="243"/>
      <c r="AZ29" s="318"/>
      <c r="BA29" s="243">
        <v>70</v>
      </c>
      <c r="BB29" s="317">
        <v>484</v>
      </c>
      <c r="BC29" s="317">
        <v>9</v>
      </c>
      <c r="BD29" s="242">
        <v>68</v>
      </c>
      <c r="BE29" s="328"/>
      <c r="BF29" s="318"/>
      <c r="BG29" s="243">
        <v>441</v>
      </c>
      <c r="BH29" s="242">
        <v>2142</v>
      </c>
      <c r="BI29" s="317">
        <v>26</v>
      </c>
      <c r="BJ29" s="318">
        <v>55</v>
      </c>
      <c r="BK29" s="243"/>
      <c r="BL29" s="318"/>
      <c r="BM29" s="28">
        <f t="shared" si="5"/>
        <v>546</v>
      </c>
      <c r="BN29" s="44">
        <f t="shared" si="6"/>
        <v>2749</v>
      </c>
      <c r="BO29" s="321"/>
      <c r="BP29" s="322"/>
      <c r="BQ29" s="330">
        <v>24</v>
      </c>
      <c r="BR29" s="331">
        <v>60</v>
      </c>
      <c r="BS29" s="317"/>
      <c r="BT29" s="326"/>
      <c r="BU29" s="241"/>
      <c r="BV29" s="314"/>
      <c r="BW29" s="332">
        <v>0</v>
      </c>
      <c r="BX29" s="333">
        <v>0</v>
      </c>
      <c r="BY29" s="317"/>
      <c r="BZ29" s="326"/>
      <c r="CA29" s="242"/>
      <c r="CB29" s="318"/>
      <c r="CC29" s="334">
        <v>0</v>
      </c>
      <c r="CD29" s="335">
        <v>0</v>
      </c>
      <c r="CE29" s="317"/>
      <c r="CF29" s="326"/>
      <c r="CG29" s="327"/>
      <c r="CH29" s="318"/>
      <c r="CI29" s="28">
        <f t="shared" si="7"/>
        <v>24</v>
      </c>
      <c r="CJ29" s="45">
        <f t="shared" si="8"/>
        <v>60</v>
      </c>
      <c r="CK29" s="345"/>
      <c r="CL29" s="337"/>
      <c r="CM29" s="32">
        <f t="shared" si="9"/>
        <v>158</v>
      </c>
      <c r="CN29" s="337"/>
      <c r="CO29" s="317">
        <v>60</v>
      </c>
      <c r="CP29" s="318">
        <v>144</v>
      </c>
      <c r="CQ29" s="236"/>
      <c r="CR29" s="314"/>
      <c r="CS29" s="332">
        <v>60</v>
      </c>
      <c r="CT29" s="333">
        <v>144</v>
      </c>
    </row>
    <row r="30" spans="1:98" s="129" customFormat="1" ht="15.75" thickBot="1" x14ac:dyDescent="0.3">
      <c r="A30" s="313">
        <v>45987</v>
      </c>
      <c r="B30" s="234" t="s">
        <v>16</v>
      </c>
      <c r="C30" s="236"/>
      <c r="D30" s="237"/>
      <c r="E30" s="237"/>
      <c r="F30" s="314"/>
      <c r="G30" s="236"/>
      <c r="H30" s="315"/>
      <c r="I30" s="236"/>
      <c r="J30" s="237"/>
      <c r="K30" s="237"/>
      <c r="L30" s="314"/>
      <c r="M30" s="243"/>
      <c r="N30" s="316"/>
      <c r="O30" s="236"/>
      <c r="P30" s="242"/>
      <c r="Q30" s="317"/>
      <c r="R30" s="318"/>
      <c r="S30" s="319"/>
      <c r="T30" s="320"/>
      <c r="U30" s="109">
        <f t="shared" si="1"/>
        <v>0</v>
      </c>
      <c r="V30" s="31">
        <f t="shared" si="2"/>
        <v>0</v>
      </c>
      <c r="W30" s="344"/>
      <c r="X30" s="322"/>
      <c r="Y30" s="323"/>
      <c r="Z30" s="237"/>
      <c r="AA30" s="237"/>
      <c r="AB30" s="314"/>
      <c r="AC30" s="236"/>
      <c r="AD30" s="315"/>
      <c r="AE30" s="236"/>
      <c r="AF30" s="237"/>
      <c r="AG30" s="237"/>
      <c r="AH30" s="324"/>
      <c r="AI30" s="325"/>
      <c r="AJ30" s="314"/>
      <c r="AK30" s="236"/>
      <c r="AL30" s="324"/>
      <c r="AM30" s="237"/>
      <c r="AN30" s="314"/>
      <c r="AO30" s="236"/>
      <c r="AP30" s="315"/>
      <c r="AQ30" s="108">
        <f t="shared" si="3"/>
        <v>0</v>
      </c>
      <c r="AR30" s="38">
        <f t="shared" si="4"/>
        <v>0</v>
      </c>
      <c r="AS30" s="344"/>
      <c r="AT30" s="322"/>
      <c r="AU30" s="327"/>
      <c r="AV30" s="317"/>
      <c r="AW30" s="317"/>
      <c r="AX30" s="318"/>
      <c r="AY30" s="243"/>
      <c r="AZ30" s="318"/>
      <c r="BA30" s="243"/>
      <c r="BB30" s="317"/>
      <c r="BC30" s="317"/>
      <c r="BD30" s="242"/>
      <c r="BE30" s="328"/>
      <c r="BF30" s="318"/>
      <c r="BG30" s="243"/>
      <c r="BH30" s="242"/>
      <c r="BI30" s="317"/>
      <c r="BJ30" s="318"/>
      <c r="BK30" s="243"/>
      <c r="BL30" s="318"/>
      <c r="BM30" s="28">
        <f t="shared" si="5"/>
        <v>0</v>
      </c>
      <c r="BN30" s="44">
        <f t="shared" si="6"/>
        <v>0</v>
      </c>
      <c r="BO30" s="321"/>
      <c r="BP30" s="322"/>
      <c r="BQ30" s="330">
        <v>11</v>
      </c>
      <c r="BR30" s="331">
        <v>20</v>
      </c>
      <c r="BS30" s="317"/>
      <c r="BT30" s="326"/>
      <c r="BU30" s="241"/>
      <c r="BV30" s="314"/>
      <c r="BW30" s="332">
        <v>0</v>
      </c>
      <c r="BX30" s="333">
        <v>0</v>
      </c>
      <c r="BY30" s="317"/>
      <c r="BZ30" s="326"/>
      <c r="CA30" s="242"/>
      <c r="CB30" s="318"/>
      <c r="CC30" s="334">
        <v>0</v>
      </c>
      <c r="CD30" s="335">
        <v>0</v>
      </c>
      <c r="CE30" s="317"/>
      <c r="CF30" s="326"/>
      <c r="CG30" s="327"/>
      <c r="CH30" s="318"/>
      <c r="CI30" s="28">
        <f t="shared" si="7"/>
        <v>11</v>
      </c>
      <c r="CJ30" s="45">
        <f t="shared" si="8"/>
        <v>20</v>
      </c>
      <c r="CK30" s="345"/>
      <c r="CL30" s="337"/>
      <c r="CM30" s="32">
        <f t="shared" si="9"/>
        <v>11</v>
      </c>
      <c r="CN30" s="337"/>
      <c r="CO30" s="317">
        <v>38</v>
      </c>
      <c r="CP30" s="318">
        <v>148</v>
      </c>
      <c r="CQ30" s="236"/>
      <c r="CR30" s="314"/>
      <c r="CS30" s="332">
        <v>98</v>
      </c>
      <c r="CT30" s="333">
        <v>292</v>
      </c>
    </row>
    <row r="31" spans="1:98" s="129" customFormat="1" ht="15.75" thickBot="1" x14ac:dyDescent="0.3">
      <c r="A31" s="290">
        <v>45988</v>
      </c>
      <c r="B31" s="366" t="s">
        <v>17</v>
      </c>
      <c r="C31" s="99">
        <v>57</v>
      </c>
      <c r="D31" s="74">
        <v>125</v>
      </c>
      <c r="E31" s="74"/>
      <c r="F31" s="292"/>
      <c r="G31" s="99"/>
      <c r="H31" s="293"/>
      <c r="I31" s="99">
        <v>18</v>
      </c>
      <c r="J31" s="74">
        <v>118</v>
      </c>
      <c r="K31" s="74"/>
      <c r="L31" s="292"/>
      <c r="M31" s="125"/>
      <c r="N31" s="294"/>
      <c r="O31" s="99">
        <v>136</v>
      </c>
      <c r="P31" s="78">
        <v>227</v>
      </c>
      <c r="Q31" s="77"/>
      <c r="R31" s="302"/>
      <c r="S31" s="307"/>
      <c r="T31" s="308"/>
      <c r="U31" s="109">
        <f t="shared" si="1"/>
        <v>211</v>
      </c>
      <c r="V31" s="31">
        <f t="shared" si="2"/>
        <v>470</v>
      </c>
      <c r="W31" s="79"/>
      <c r="X31" s="300"/>
      <c r="Y31" s="73">
        <v>171</v>
      </c>
      <c r="Z31" s="74">
        <v>333</v>
      </c>
      <c r="AA31" s="74"/>
      <c r="AB31" s="292"/>
      <c r="AC31" s="99"/>
      <c r="AD31" s="293"/>
      <c r="AE31" s="99">
        <v>307</v>
      </c>
      <c r="AF31" s="74">
        <v>1824</v>
      </c>
      <c r="AG31" s="74"/>
      <c r="AH31" s="75"/>
      <c r="AI31" s="301"/>
      <c r="AJ31" s="292"/>
      <c r="AK31" s="99">
        <v>539</v>
      </c>
      <c r="AL31" s="75">
        <v>1465</v>
      </c>
      <c r="AM31" s="74"/>
      <c r="AN31" s="292"/>
      <c r="AO31" s="99"/>
      <c r="AP31" s="293"/>
      <c r="AQ31" s="108">
        <f t="shared" si="3"/>
        <v>1017</v>
      </c>
      <c r="AR31" s="38">
        <f t="shared" si="4"/>
        <v>3622</v>
      </c>
      <c r="AS31" s="79"/>
      <c r="AT31" s="300"/>
      <c r="AU31" s="76">
        <v>0</v>
      </c>
      <c r="AV31" s="77">
        <v>0</v>
      </c>
      <c r="AW31" s="77"/>
      <c r="AX31" s="302"/>
      <c r="AY31" s="125"/>
      <c r="AZ31" s="302"/>
      <c r="BA31" s="125">
        <v>79</v>
      </c>
      <c r="BB31" s="77">
        <v>552</v>
      </c>
      <c r="BC31" s="77"/>
      <c r="BD31" s="78"/>
      <c r="BE31" s="303"/>
      <c r="BF31" s="302"/>
      <c r="BG31" s="125">
        <v>467</v>
      </c>
      <c r="BH31" s="78">
        <v>2197</v>
      </c>
      <c r="BI31" s="77"/>
      <c r="BJ31" s="302"/>
      <c r="BK31" s="125"/>
      <c r="BL31" s="302"/>
      <c r="BM31" s="28">
        <f t="shared" si="5"/>
        <v>546</v>
      </c>
      <c r="BN31" s="44">
        <f t="shared" si="6"/>
        <v>2749</v>
      </c>
      <c r="BO31" s="79"/>
      <c r="BP31" s="300"/>
      <c r="BQ31" s="80">
        <v>0</v>
      </c>
      <c r="BR31" s="81">
        <v>0</v>
      </c>
      <c r="BS31" s="77"/>
      <c r="BT31" s="210"/>
      <c r="BU31" s="100"/>
      <c r="BV31" s="292"/>
      <c r="BW31" s="188">
        <v>0</v>
      </c>
      <c r="BX31" s="101">
        <v>0</v>
      </c>
      <c r="BY31" s="77"/>
      <c r="BZ31" s="210"/>
      <c r="CA31" s="78"/>
      <c r="CB31" s="302"/>
      <c r="CC31" s="192">
        <v>0</v>
      </c>
      <c r="CD31" s="82">
        <v>0</v>
      </c>
      <c r="CE31" s="77"/>
      <c r="CF31" s="210"/>
      <c r="CG31" s="76"/>
      <c r="CH31" s="302"/>
      <c r="CI31" s="28">
        <f t="shared" si="7"/>
        <v>0</v>
      </c>
      <c r="CJ31" s="45">
        <f t="shared" si="8"/>
        <v>0</v>
      </c>
      <c r="CK31" s="79"/>
      <c r="CL31" s="304"/>
      <c r="CM31" s="32">
        <f t="shared" si="9"/>
        <v>228</v>
      </c>
      <c r="CN31" s="304"/>
      <c r="CO31" s="77"/>
      <c r="CP31" s="302"/>
      <c r="CQ31" s="99"/>
      <c r="CR31" s="292"/>
      <c r="CS31" s="188">
        <v>74</v>
      </c>
      <c r="CT31" s="101">
        <v>248</v>
      </c>
    </row>
    <row r="32" spans="1:98" s="129" customFormat="1" ht="15.75" thickBot="1" x14ac:dyDescent="0.3">
      <c r="A32" s="313">
        <v>45989</v>
      </c>
      <c r="B32" s="234" t="s">
        <v>18</v>
      </c>
      <c r="C32" s="236"/>
      <c r="D32" s="237"/>
      <c r="E32" s="237"/>
      <c r="F32" s="314"/>
      <c r="G32" s="236"/>
      <c r="H32" s="315"/>
      <c r="I32" s="236"/>
      <c r="J32" s="237"/>
      <c r="K32" s="237"/>
      <c r="L32" s="314"/>
      <c r="M32" s="243"/>
      <c r="N32" s="316"/>
      <c r="O32" s="236">
        <v>106</v>
      </c>
      <c r="P32" s="242"/>
      <c r="Q32" s="317"/>
      <c r="R32" s="318"/>
      <c r="S32" s="319"/>
      <c r="T32" s="320"/>
      <c r="U32" s="109">
        <f t="shared" si="1"/>
        <v>106</v>
      </c>
      <c r="V32" s="31">
        <f t="shared" si="2"/>
        <v>0</v>
      </c>
      <c r="W32" s="321"/>
      <c r="X32" s="322"/>
      <c r="Y32" s="323"/>
      <c r="Z32" s="237"/>
      <c r="AA32" s="237"/>
      <c r="AB32" s="314"/>
      <c r="AC32" s="236"/>
      <c r="AD32" s="315"/>
      <c r="AE32" s="236"/>
      <c r="AF32" s="237"/>
      <c r="AG32" s="237"/>
      <c r="AH32" s="324"/>
      <c r="AI32" s="325"/>
      <c r="AJ32" s="314"/>
      <c r="AK32" s="236"/>
      <c r="AL32" s="324"/>
      <c r="AM32" s="237"/>
      <c r="AN32" s="314"/>
      <c r="AO32" s="236"/>
      <c r="AP32" s="315"/>
      <c r="AQ32" s="108">
        <f t="shared" si="3"/>
        <v>0</v>
      </c>
      <c r="AR32" s="38">
        <f t="shared" si="4"/>
        <v>0</v>
      </c>
      <c r="AS32" s="321"/>
      <c r="AT32" s="322"/>
      <c r="AU32" s="327"/>
      <c r="AV32" s="317"/>
      <c r="AW32" s="317"/>
      <c r="AX32" s="318"/>
      <c r="AY32" s="243">
        <v>2</v>
      </c>
      <c r="AZ32" s="318">
        <v>2</v>
      </c>
      <c r="BA32" s="243"/>
      <c r="BB32" s="317"/>
      <c r="BC32" s="317"/>
      <c r="BD32" s="242"/>
      <c r="BE32" s="328"/>
      <c r="BF32" s="318"/>
      <c r="BG32" s="243"/>
      <c r="BH32" s="242"/>
      <c r="BI32" s="317"/>
      <c r="BJ32" s="318"/>
      <c r="BK32" s="243">
        <v>4</v>
      </c>
      <c r="BL32" s="318">
        <v>12</v>
      </c>
      <c r="BM32" s="28">
        <f t="shared" si="5"/>
        <v>6</v>
      </c>
      <c r="BN32" s="44">
        <f t="shared" si="6"/>
        <v>14</v>
      </c>
      <c r="BO32" s="321"/>
      <c r="BP32" s="322"/>
      <c r="BQ32" s="330">
        <v>0</v>
      </c>
      <c r="BR32" s="331">
        <v>0</v>
      </c>
      <c r="BS32" s="317"/>
      <c r="BT32" s="326"/>
      <c r="BU32" s="241"/>
      <c r="BV32" s="314"/>
      <c r="BW32" s="332">
        <v>0</v>
      </c>
      <c r="BX32" s="333">
        <v>0</v>
      </c>
      <c r="BY32" s="317"/>
      <c r="BZ32" s="326"/>
      <c r="CA32" s="242"/>
      <c r="CB32" s="318"/>
      <c r="CC32" s="334">
        <v>0</v>
      </c>
      <c r="CD32" s="335">
        <v>0</v>
      </c>
      <c r="CE32" s="317"/>
      <c r="CF32" s="326"/>
      <c r="CG32" s="327"/>
      <c r="CH32" s="318"/>
      <c r="CI32" s="28">
        <f t="shared" si="7"/>
        <v>0</v>
      </c>
      <c r="CJ32" s="45">
        <f t="shared" si="8"/>
        <v>0</v>
      </c>
      <c r="CK32" s="321"/>
      <c r="CL32" s="337"/>
      <c r="CM32" s="32">
        <f t="shared" si="9"/>
        <v>0</v>
      </c>
      <c r="CN32" s="337"/>
      <c r="CO32" s="317"/>
      <c r="CP32" s="318"/>
      <c r="CQ32" s="236"/>
      <c r="CR32" s="314"/>
      <c r="CS32" s="332">
        <v>54</v>
      </c>
      <c r="CT32" s="333">
        <v>193</v>
      </c>
    </row>
    <row r="33" spans="1:98" s="129" customFormat="1" ht="15.75" thickBot="1" x14ac:dyDescent="0.3">
      <c r="A33" s="244">
        <v>45990</v>
      </c>
      <c r="B33" s="357" t="s">
        <v>19</v>
      </c>
      <c r="C33" s="246"/>
      <c r="D33" s="247"/>
      <c r="E33" s="247"/>
      <c r="F33" s="248"/>
      <c r="G33" s="246"/>
      <c r="H33" s="249"/>
      <c r="I33" s="246"/>
      <c r="J33" s="247"/>
      <c r="K33" s="247"/>
      <c r="L33" s="248"/>
      <c r="M33" s="264"/>
      <c r="N33" s="284"/>
      <c r="O33" s="246"/>
      <c r="P33" s="269"/>
      <c r="Q33" s="267"/>
      <c r="R33" s="268"/>
      <c r="S33" s="267"/>
      <c r="T33" s="268"/>
      <c r="U33" s="109">
        <f t="shared" si="1"/>
        <v>0</v>
      </c>
      <c r="V33" s="31">
        <f t="shared" si="2"/>
        <v>0</v>
      </c>
      <c r="W33" s="273"/>
      <c r="X33" s="260"/>
      <c r="Y33" s="261"/>
      <c r="Z33" s="247"/>
      <c r="AA33" s="247"/>
      <c r="AB33" s="248"/>
      <c r="AC33" s="246"/>
      <c r="AD33" s="249"/>
      <c r="AE33" s="246"/>
      <c r="AF33" s="247"/>
      <c r="AG33" s="247"/>
      <c r="AH33" s="262"/>
      <c r="AI33" s="263"/>
      <c r="AJ33" s="248"/>
      <c r="AK33" s="246"/>
      <c r="AL33" s="262"/>
      <c r="AM33" s="247"/>
      <c r="AN33" s="248"/>
      <c r="AO33" s="246"/>
      <c r="AP33" s="249"/>
      <c r="AQ33" s="108">
        <f t="shared" si="3"/>
        <v>0</v>
      </c>
      <c r="AR33" s="38">
        <f t="shared" si="4"/>
        <v>0</v>
      </c>
      <c r="AS33" s="273"/>
      <c r="AT33" s="260"/>
      <c r="AU33" s="266"/>
      <c r="AV33" s="267"/>
      <c r="AW33" s="267"/>
      <c r="AX33" s="268"/>
      <c r="AY33" s="264"/>
      <c r="AZ33" s="268"/>
      <c r="BA33" s="264"/>
      <c r="BB33" s="267"/>
      <c r="BC33" s="267"/>
      <c r="BD33" s="269"/>
      <c r="BE33" s="270"/>
      <c r="BF33" s="268"/>
      <c r="BG33" s="264"/>
      <c r="BH33" s="269"/>
      <c r="BI33" s="267"/>
      <c r="BJ33" s="268"/>
      <c r="BK33" s="264"/>
      <c r="BL33" s="268"/>
      <c r="BM33" s="28">
        <f t="shared" si="5"/>
        <v>0</v>
      </c>
      <c r="BN33" s="44">
        <f t="shared" si="6"/>
        <v>0</v>
      </c>
      <c r="BO33" s="273"/>
      <c r="BP33" s="260"/>
      <c r="BQ33" s="274">
        <v>0</v>
      </c>
      <c r="BR33" s="275">
        <v>0</v>
      </c>
      <c r="BS33" s="267"/>
      <c r="BT33" s="265"/>
      <c r="BU33" s="269"/>
      <c r="BV33" s="268"/>
      <c r="BW33" s="288">
        <v>0</v>
      </c>
      <c r="BX33" s="287">
        <v>0</v>
      </c>
      <c r="BY33" s="267"/>
      <c r="BZ33" s="265"/>
      <c r="CA33" s="269"/>
      <c r="CB33" s="268"/>
      <c r="CC33" s="288">
        <v>0</v>
      </c>
      <c r="CD33" s="287">
        <v>0</v>
      </c>
      <c r="CE33" s="267"/>
      <c r="CF33" s="265"/>
      <c r="CG33" s="266"/>
      <c r="CH33" s="268"/>
      <c r="CI33" s="28">
        <f t="shared" si="7"/>
        <v>0</v>
      </c>
      <c r="CJ33" s="45">
        <f t="shared" si="8"/>
        <v>0</v>
      </c>
      <c r="CK33" s="273"/>
      <c r="CL33" s="281"/>
      <c r="CM33" s="32">
        <f t="shared" si="9"/>
        <v>0</v>
      </c>
      <c r="CN33" s="281"/>
      <c r="CO33" s="267"/>
      <c r="CP33" s="268"/>
      <c r="CQ33" s="246"/>
      <c r="CR33" s="248"/>
      <c r="CS33" s="277"/>
      <c r="CT33" s="287"/>
    </row>
    <row r="34" spans="1:98" s="129" customFormat="1" ht="15.75" thickBot="1" x14ac:dyDescent="0.3">
      <c r="A34" s="244">
        <v>45991</v>
      </c>
      <c r="B34" s="245" t="s">
        <v>20</v>
      </c>
      <c r="C34" s="246"/>
      <c r="D34" s="247"/>
      <c r="E34" s="247"/>
      <c r="F34" s="248"/>
      <c r="G34" s="246"/>
      <c r="H34" s="249"/>
      <c r="I34" s="246"/>
      <c r="J34" s="247"/>
      <c r="K34" s="247"/>
      <c r="L34" s="248"/>
      <c r="M34" s="264"/>
      <c r="N34" s="284"/>
      <c r="O34" s="246"/>
      <c r="P34" s="269"/>
      <c r="Q34" s="267"/>
      <c r="R34" s="268"/>
      <c r="S34" s="267"/>
      <c r="T34" s="268"/>
      <c r="U34" s="109">
        <f t="shared" si="1"/>
        <v>0</v>
      </c>
      <c r="V34" s="31">
        <f t="shared" si="2"/>
        <v>0</v>
      </c>
      <c r="W34" s="273"/>
      <c r="X34" s="260"/>
      <c r="Y34" s="261"/>
      <c r="Z34" s="247"/>
      <c r="AA34" s="247"/>
      <c r="AB34" s="248"/>
      <c r="AC34" s="246"/>
      <c r="AD34" s="249"/>
      <c r="AE34" s="246"/>
      <c r="AF34" s="247"/>
      <c r="AG34" s="247"/>
      <c r="AH34" s="262"/>
      <c r="AI34" s="263"/>
      <c r="AJ34" s="248"/>
      <c r="AK34" s="246"/>
      <c r="AL34" s="262"/>
      <c r="AM34" s="247"/>
      <c r="AN34" s="248"/>
      <c r="AO34" s="264"/>
      <c r="AP34" s="268"/>
      <c r="AQ34" s="108">
        <f t="shared" si="3"/>
        <v>0</v>
      </c>
      <c r="AR34" s="38">
        <f t="shared" si="4"/>
        <v>0</v>
      </c>
      <c r="AS34" s="273"/>
      <c r="AT34" s="260"/>
      <c r="AU34" s="266"/>
      <c r="AV34" s="267"/>
      <c r="AW34" s="267"/>
      <c r="AX34" s="268"/>
      <c r="AY34" s="264"/>
      <c r="AZ34" s="268"/>
      <c r="BA34" s="264"/>
      <c r="BB34" s="267"/>
      <c r="BC34" s="267"/>
      <c r="BD34" s="269"/>
      <c r="BE34" s="270"/>
      <c r="BF34" s="268"/>
      <c r="BG34" s="264"/>
      <c r="BH34" s="269"/>
      <c r="BI34" s="267"/>
      <c r="BJ34" s="268"/>
      <c r="BK34" s="264"/>
      <c r="BL34" s="268"/>
      <c r="BM34" s="28">
        <f t="shared" si="5"/>
        <v>0</v>
      </c>
      <c r="BN34" s="44">
        <f t="shared" si="6"/>
        <v>0</v>
      </c>
      <c r="BO34" s="273"/>
      <c r="BP34" s="260"/>
      <c r="BQ34" s="274">
        <v>0</v>
      </c>
      <c r="BR34" s="275">
        <v>0</v>
      </c>
      <c r="BS34" s="267"/>
      <c r="BT34" s="265"/>
      <c r="BU34" s="267"/>
      <c r="BV34" s="268"/>
      <c r="BW34" s="288">
        <v>0</v>
      </c>
      <c r="BX34" s="287">
        <v>0</v>
      </c>
      <c r="BY34" s="267"/>
      <c r="BZ34" s="265"/>
      <c r="CA34" s="267"/>
      <c r="CB34" s="268"/>
      <c r="CC34" s="288">
        <v>0</v>
      </c>
      <c r="CD34" s="287">
        <v>0</v>
      </c>
      <c r="CE34" s="267"/>
      <c r="CF34" s="265"/>
      <c r="CG34" s="266"/>
      <c r="CH34" s="268"/>
      <c r="CI34" s="28">
        <f t="shared" si="7"/>
        <v>0</v>
      </c>
      <c r="CJ34" s="45">
        <f t="shared" si="8"/>
        <v>0</v>
      </c>
      <c r="CK34" s="273"/>
      <c r="CL34" s="281"/>
      <c r="CM34" s="32">
        <f t="shared" si="9"/>
        <v>0</v>
      </c>
      <c r="CN34" s="281"/>
      <c r="CO34" s="267"/>
      <c r="CP34" s="268"/>
      <c r="CQ34" s="267"/>
      <c r="CR34" s="268"/>
      <c r="CS34" s="277"/>
      <c r="CT34" s="287"/>
    </row>
    <row r="35" spans="1:98" s="129" customFormat="1" ht="15.75" thickBot="1" x14ac:dyDescent="0.3">
      <c r="A35" s="368" t="s">
        <v>21</v>
      </c>
      <c r="B35" s="346"/>
      <c r="C35" s="329">
        <v>57</v>
      </c>
      <c r="D35" s="347">
        <v>125</v>
      </c>
      <c r="E35" s="347"/>
      <c r="F35" s="348"/>
      <c r="G35" s="329"/>
      <c r="H35" s="349"/>
      <c r="I35" s="329">
        <v>18</v>
      </c>
      <c r="J35" s="347">
        <v>118</v>
      </c>
      <c r="K35" s="347"/>
      <c r="L35" s="348"/>
      <c r="M35" s="329"/>
      <c r="N35" s="349"/>
      <c r="O35" s="329">
        <v>106</v>
      </c>
      <c r="P35" s="367"/>
      <c r="Q35" s="350"/>
      <c r="R35" s="351"/>
      <c r="S35" s="350"/>
      <c r="T35" s="351"/>
      <c r="U35" s="109">
        <f t="shared" si="1"/>
        <v>181</v>
      </c>
      <c r="V35" s="31">
        <f t="shared" si="2"/>
        <v>243</v>
      </c>
      <c r="W35" s="352"/>
      <c r="X35" s="353"/>
      <c r="Y35" s="354"/>
      <c r="Z35" s="347"/>
      <c r="AA35" s="347"/>
      <c r="AB35" s="348"/>
      <c r="AC35" s="329"/>
      <c r="AD35" s="349"/>
      <c r="AE35" s="329">
        <v>307</v>
      </c>
      <c r="AF35" s="347">
        <v>1824</v>
      </c>
      <c r="AG35" s="347"/>
      <c r="AH35" s="336"/>
      <c r="AI35" s="355"/>
      <c r="AJ35" s="348"/>
      <c r="AK35" s="329">
        <v>435</v>
      </c>
      <c r="AL35" s="336">
        <v>1269</v>
      </c>
      <c r="AM35" s="347"/>
      <c r="AN35" s="348"/>
      <c r="AO35" s="243"/>
      <c r="AP35" s="318"/>
      <c r="AQ35" s="108">
        <f t="shared" si="3"/>
        <v>742</v>
      </c>
      <c r="AR35" s="38">
        <f t="shared" si="4"/>
        <v>3093</v>
      </c>
      <c r="AS35" s="356"/>
      <c r="AT35" s="353"/>
      <c r="AU35" s="354"/>
      <c r="AV35" s="347"/>
      <c r="AW35" s="347"/>
      <c r="AX35" s="348"/>
      <c r="AY35" s="329"/>
      <c r="AZ35" s="349"/>
      <c r="BA35" s="329"/>
      <c r="BB35" s="347"/>
      <c r="BC35" s="347"/>
      <c r="BD35" s="336"/>
      <c r="BE35" s="355"/>
      <c r="BF35" s="348"/>
      <c r="BG35" s="329"/>
      <c r="BH35" s="336"/>
      <c r="BI35" s="347"/>
      <c r="BJ35" s="348"/>
      <c r="BK35" s="354"/>
      <c r="BL35" s="347"/>
      <c r="BM35" s="28">
        <f t="shared" si="5"/>
        <v>0</v>
      </c>
      <c r="BN35" s="44">
        <f t="shared" si="6"/>
        <v>0</v>
      </c>
      <c r="BO35" s="356"/>
      <c r="BP35" s="353"/>
      <c r="BQ35" s="330">
        <v>0</v>
      </c>
      <c r="BR35" s="331">
        <v>0</v>
      </c>
      <c r="BS35" s="317"/>
      <c r="BT35" s="326"/>
      <c r="BU35" s="317"/>
      <c r="BV35" s="318"/>
      <c r="BW35" s="329">
        <v>0</v>
      </c>
      <c r="BX35" s="347">
        <v>0</v>
      </c>
      <c r="BY35" s="317"/>
      <c r="BZ35" s="326"/>
      <c r="CA35" s="317"/>
      <c r="CB35" s="318"/>
      <c r="CC35" s="329">
        <v>0</v>
      </c>
      <c r="CD35" s="336">
        <v>0</v>
      </c>
      <c r="CE35" s="317"/>
      <c r="CF35" s="326"/>
      <c r="CG35" s="327"/>
      <c r="CH35" s="318"/>
      <c r="CI35" s="28">
        <f t="shared" si="7"/>
        <v>0</v>
      </c>
      <c r="CJ35" s="45">
        <f t="shared" si="8"/>
        <v>0</v>
      </c>
      <c r="CK35" s="356"/>
      <c r="CM35" s="32">
        <f t="shared" si="9"/>
        <v>57</v>
      </c>
      <c r="CO35" s="317"/>
      <c r="CP35" s="318"/>
      <c r="CQ35" s="317"/>
      <c r="CR35" s="318"/>
      <c r="CS35" s="329">
        <v>41</v>
      </c>
      <c r="CT35" s="356">
        <v>153</v>
      </c>
    </row>
    <row r="37" spans="1:98" x14ac:dyDescent="0.25">
      <c r="F37" s="203" t="s">
        <v>30</v>
      </c>
      <c r="G37" s="203" t="s">
        <v>31</v>
      </c>
      <c r="H37" s="203" t="s">
        <v>32</v>
      </c>
    </row>
    <row r="38" spans="1:98" x14ac:dyDescent="0.25">
      <c r="F38" s="375">
        <v>45967</v>
      </c>
      <c r="G38">
        <f>U10+AQ10+BM10+CI10</f>
        <v>1968</v>
      </c>
      <c r="H38">
        <f>V10+AR10+BN10+CJ10</f>
        <v>9656</v>
      </c>
    </row>
    <row r="39" spans="1:98" x14ac:dyDescent="0.25">
      <c r="F39" s="375">
        <v>45974</v>
      </c>
      <c r="G39">
        <f>U17+AQ17+BM17+CI17</f>
        <v>2014</v>
      </c>
      <c r="H39">
        <f>V17+AR17+BN17+CJ17</f>
        <v>8736</v>
      </c>
    </row>
    <row r="40" spans="1:98" x14ac:dyDescent="0.25">
      <c r="F40" s="375">
        <v>45981</v>
      </c>
      <c r="G40">
        <f>U24+AQ24+BM24+CI24</f>
        <v>2101</v>
      </c>
      <c r="H40">
        <f>V24+AR24+BN24+CJ24</f>
        <v>7842</v>
      </c>
    </row>
    <row r="41" spans="1:98" x14ac:dyDescent="0.25">
      <c r="F41" s="375">
        <v>45988</v>
      </c>
      <c r="G41">
        <f>U31+AQ31+BM31+CI31</f>
        <v>1774</v>
      </c>
      <c r="H41">
        <f>V31+AR31+BN31+CJ31</f>
        <v>6841</v>
      </c>
    </row>
  </sheetData>
  <mergeCells count="17">
    <mergeCell ref="Y1:AS1"/>
    <mergeCell ref="AU1:BO1"/>
    <mergeCell ref="BQ1:CK1"/>
    <mergeCell ref="CO1:CT2"/>
    <mergeCell ref="C2:H2"/>
    <mergeCell ref="I2:N2"/>
    <mergeCell ref="O2:T2"/>
    <mergeCell ref="Y2:AD2"/>
    <mergeCell ref="AE2:AJ2"/>
    <mergeCell ref="CC2:CH2"/>
    <mergeCell ref="AK2:AP2"/>
    <mergeCell ref="AU2:AZ2"/>
    <mergeCell ref="BA2:BF2"/>
    <mergeCell ref="BG2:BL2"/>
    <mergeCell ref="BQ2:BV2"/>
    <mergeCell ref="BW2:CB2"/>
    <mergeCell ref="C1:W1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EFD7-381C-4165-8F9D-B856DFAB9076}">
  <dimension ref="A1:CT42"/>
  <sheetViews>
    <sheetView topLeftCell="N1" workbookViewId="0">
      <pane ySplit="1" topLeftCell="A11" activePane="bottomLeft" state="frozen"/>
      <selection pane="bottomLeft" activeCell="H39" sqref="H39"/>
    </sheetView>
  </sheetViews>
  <sheetFormatPr defaultRowHeight="15" x14ac:dyDescent="0.25"/>
  <cols>
    <col min="1" max="1" width="9.85546875" bestFit="1" customWidth="1"/>
  </cols>
  <sheetData>
    <row r="1" spans="1:98" ht="26.25" thickBot="1" x14ac:dyDescent="0.35">
      <c r="A1" s="1" t="s">
        <v>34</v>
      </c>
      <c r="B1" s="2"/>
      <c r="C1" s="590" t="s">
        <v>1</v>
      </c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2"/>
      <c r="X1" s="3"/>
      <c r="Y1" s="593" t="s">
        <v>2</v>
      </c>
      <c r="Z1" s="594"/>
      <c r="AA1" s="594"/>
      <c r="AB1" s="594"/>
      <c r="AC1" s="594"/>
      <c r="AD1" s="594"/>
      <c r="AE1" s="594"/>
      <c r="AF1" s="594"/>
      <c r="AG1" s="594"/>
      <c r="AH1" s="594"/>
      <c r="AI1" s="594"/>
      <c r="AJ1" s="594"/>
      <c r="AK1" s="594"/>
      <c r="AL1" s="594"/>
      <c r="AM1" s="594"/>
      <c r="AN1" s="594"/>
      <c r="AO1" s="594"/>
      <c r="AP1" s="594"/>
      <c r="AQ1" s="594"/>
      <c r="AR1" s="594"/>
      <c r="AS1" s="595"/>
      <c r="AT1" s="3"/>
      <c r="AU1" s="593" t="s">
        <v>3</v>
      </c>
      <c r="AV1" s="596"/>
      <c r="AW1" s="596"/>
      <c r="AX1" s="596"/>
      <c r="AY1" s="596"/>
      <c r="AZ1" s="596"/>
      <c r="BA1" s="596"/>
      <c r="BB1" s="596"/>
      <c r="BC1" s="596"/>
      <c r="BD1" s="596"/>
      <c r="BE1" s="596"/>
      <c r="BF1" s="596"/>
      <c r="BG1" s="596"/>
      <c r="BH1" s="596"/>
      <c r="BI1" s="596"/>
      <c r="BJ1" s="596"/>
      <c r="BK1" s="596"/>
      <c r="BL1" s="596"/>
      <c r="BM1" s="596"/>
      <c r="BN1" s="596"/>
      <c r="BO1" s="597"/>
      <c r="BP1" s="3"/>
      <c r="BQ1" s="593" t="s">
        <v>4</v>
      </c>
      <c r="BR1" s="596"/>
      <c r="BS1" s="596"/>
      <c r="BT1" s="596"/>
      <c r="BU1" s="596"/>
      <c r="BV1" s="596"/>
      <c r="BW1" s="596"/>
      <c r="BX1" s="596"/>
      <c r="BY1" s="596"/>
      <c r="BZ1" s="596"/>
      <c r="CA1" s="596"/>
      <c r="CB1" s="596"/>
      <c r="CC1" s="596"/>
      <c r="CD1" s="596"/>
      <c r="CE1" s="596"/>
      <c r="CF1" s="596"/>
      <c r="CG1" s="596"/>
      <c r="CH1" s="596"/>
      <c r="CI1" s="596"/>
      <c r="CJ1" s="596"/>
      <c r="CK1" s="597"/>
      <c r="CL1" s="3"/>
      <c r="CM1" s="4" t="s">
        <v>5</v>
      </c>
      <c r="CN1" s="3"/>
      <c r="CO1" s="578" t="s">
        <v>29</v>
      </c>
      <c r="CP1" s="579"/>
      <c r="CQ1" s="579"/>
      <c r="CR1" s="579"/>
      <c r="CS1" s="579"/>
      <c r="CT1" s="579"/>
    </row>
    <row r="2" spans="1:98" ht="16.5" thickTop="1" thickBot="1" x14ac:dyDescent="0.3">
      <c r="A2" s="5"/>
      <c r="B2" s="6"/>
      <c r="C2" s="598" t="s">
        <v>22</v>
      </c>
      <c r="D2" s="599"/>
      <c r="E2" s="599"/>
      <c r="F2" s="599"/>
      <c r="G2" s="599"/>
      <c r="H2" s="600"/>
      <c r="I2" s="601" t="s">
        <v>7</v>
      </c>
      <c r="J2" s="599"/>
      <c r="K2" s="599"/>
      <c r="L2" s="599"/>
      <c r="M2" s="599"/>
      <c r="N2" s="600"/>
      <c r="O2" s="601" t="s">
        <v>8</v>
      </c>
      <c r="P2" s="599"/>
      <c r="Q2" s="599"/>
      <c r="R2" s="599"/>
      <c r="S2" s="599"/>
      <c r="T2" s="600"/>
      <c r="U2" s="376"/>
      <c r="V2" s="8"/>
      <c r="W2" s="9"/>
      <c r="X2" s="3"/>
      <c r="Y2" s="598" t="s">
        <v>6</v>
      </c>
      <c r="Z2" s="599"/>
      <c r="AA2" s="599"/>
      <c r="AB2" s="599"/>
      <c r="AC2" s="599"/>
      <c r="AD2" s="600"/>
      <c r="AE2" s="601" t="s">
        <v>7</v>
      </c>
      <c r="AF2" s="599"/>
      <c r="AG2" s="599"/>
      <c r="AH2" s="599"/>
      <c r="AI2" s="599"/>
      <c r="AJ2" s="600"/>
      <c r="AK2" s="601" t="s">
        <v>9</v>
      </c>
      <c r="AL2" s="599"/>
      <c r="AM2" s="599"/>
      <c r="AN2" s="599"/>
      <c r="AO2" s="599"/>
      <c r="AP2" s="600"/>
      <c r="AQ2" s="376"/>
      <c r="AR2" s="8"/>
      <c r="AS2" s="9"/>
      <c r="AT2" s="3"/>
      <c r="AU2" s="598" t="s">
        <v>6</v>
      </c>
      <c r="AV2" s="599"/>
      <c r="AW2" s="599"/>
      <c r="AX2" s="599"/>
      <c r="AY2" s="599"/>
      <c r="AZ2" s="600"/>
      <c r="BA2" s="599" t="s">
        <v>7</v>
      </c>
      <c r="BB2" s="599"/>
      <c r="BC2" s="599"/>
      <c r="BD2" s="599"/>
      <c r="BE2" s="599"/>
      <c r="BF2" s="600"/>
      <c r="BG2" s="587" t="s">
        <v>9</v>
      </c>
      <c r="BH2" s="588"/>
      <c r="BI2" s="588"/>
      <c r="BJ2" s="588"/>
      <c r="BK2" s="588"/>
      <c r="BL2" s="589"/>
      <c r="BM2" s="128"/>
      <c r="BN2" s="10"/>
      <c r="BO2" s="9"/>
      <c r="BP2" s="3"/>
      <c r="BQ2" s="586" t="s">
        <v>6</v>
      </c>
      <c r="BR2" s="584"/>
      <c r="BS2" s="584"/>
      <c r="BT2" s="584"/>
      <c r="BU2" s="584"/>
      <c r="BV2" s="585"/>
      <c r="BW2" s="583" t="s">
        <v>7</v>
      </c>
      <c r="BX2" s="584"/>
      <c r="BY2" s="584"/>
      <c r="BZ2" s="584"/>
      <c r="CA2" s="584"/>
      <c r="CB2" s="585"/>
      <c r="CC2" s="580" t="s">
        <v>9</v>
      </c>
      <c r="CD2" s="581"/>
      <c r="CE2" s="581"/>
      <c r="CF2" s="581"/>
      <c r="CG2" s="581"/>
      <c r="CH2" s="582"/>
      <c r="CI2" s="128"/>
      <c r="CJ2" s="11"/>
      <c r="CK2" s="9"/>
      <c r="CL2" s="3"/>
      <c r="CM2" s="12"/>
      <c r="CN2" s="3"/>
      <c r="CO2" s="579"/>
      <c r="CP2" s="579"/>
      <c r="CQ2" s="579"/>
      <c r="CR2" s="579"/>
      <c r="CS2" s="579"/>
      <c r="CT2" s="579"/>
    </row>
    <row r="3" spans="1:98" ht="39" thickBot="1" x14ac:dyDescent="0.3">
      <c r="A3" s="13"/>
      <c r="B3" s="14"/>
      <c r="C3" s="15" t="s">
        <v>23</v>
      </c>
      <c r="D3" s="16" t="s">
        <v>24</v>
      </c>
      <c r="E3" s="111" t="s">
        <v>25</v>
      </c>
      <c r="F3" s="165" t="s">
        <v>26</v>
      </c>
      <c r="G3" s="123" t="s">
        <v>27</v>
      </c>
      <c r="H3" s="146" t="s">
        <v>28</v>
      </c>
      <c r="I3" s="107" t="s">
        <v>23</v>
      </c>
      <c r="J3" s="16" t="s">
        <v>24</v>
      </c>
      <c r="K3" s="111" t="s">
        <v>25</v>
      </c>
      <c r="L3" s="165" t="s">
        <v>26</v>
      </c>
      <c r="M3" s="160" t="s">
        <v>27</v>
      </c>
      <c r="N3" s="155" t="s">
        <v>28</v>
      </c>
      <c r="O3" s="107" t="s">
        <v>23</v>
      </c>
      <c r="P3" s="16" t="s">
        <v>24</v>
      </c>
      <c r="Q3" s="111" t="s">
        <v>25</v>
      </c>
      <c r="R3" s="165" t="s">
        <v>26</v>
      </c>
      <c r="S3" s="123" t="s">
        <v>27</v>
      </c>
      <c r="T3" s="146" t="s">
        <v>28</v>
      </c>
      <c r="U3" s="17" t="s">
        <v>10</v>
      </c>
      <c r="V3" s="18" t="s">
        <v>11</v>
      </c>
      <c r="W3" s="19" t="s">
        <v>12</v>
      </c>
      <c r="X3" s="3"/>
      <c r="Y3" s="15" t="s">
        <v>23</v>
      </c>
      <c r="Z3" s="16" t="s">
        <v>24</v>
      </c>
      <c r="AA3" s="111" t="s">
        <v>25</v>
      </c>
      <c r="AB3" s="165" t="s">
        <v>26</v>
      </c>
      <c r="AC3" s="123" t="s">
        <v>27</v>
      </c>
      <c r="AD3" s="146" t="s">
        <v>28</v>
      </c>
      <c r="AE3" s="107" t="s">
        <v>23</v>
      </c>
      <c r="AF3" s="16" t="s">
        <v>24</v>
      </c>
      <c r="AG3" s="111" t="s">
        <v>25</v>
      </c>
      <c r="AH3" s="112" t="s">
        <v>26</v>
      </c>
      <c r="AI3" s="142" t="s">
        <v>27</v>
      </c>
      <c r="AJ3" s="165" t="s">
        <v>28</v>
      </c>
      <c r="AK3" s="107" t="s">
        <v>23</v>
      </c>
      <c r="AL3" s="16" t="s">
        <v>24</v>
      </c>
      <c r="AM3" s="111" t="s">
        <v>25</v>
      </c>
      <c r="AN3" s="177" t="s">
        <v>26</v>
      </c>
      <c r="AO3" s="123" t="s">
        <v>27</v>
      </c>
      <c r="AP3" s="177" t="s">
        <v>28</v>
      </c>
      <c r="AQ3" s="20" t="s">
        <v>10</v>
      </c>
      <c r="AR3" s="21" t="s">
        <v>11</v>
      </c>
      <c r="AS3" s="19" t="s">
        <v>12</v>
      </c>
      <c r="AT3" s="3"/>
      <c r="AU3" s="15" t="s">
        <v>23</v>
      </c>
      <c r="AV3" s="16" t="s">
        <v>24</v>
      </c>
      <c r="AW3" s="111" t="s">
        <v>25</v>
      </c>
      <c r="AX3" s="177" t="s">
        <v>26</v>
      </c>
      <c r="AY3" s="160" t="s">
        <v>27</v>
      </c>
      <c r="AZ3" s="183" t="s">
        <v>28</v>
      </c>
      <c r="BA3" s="107" t="s">
        <v>23</v>
      </c>
      <c r="BB3" s="16" t="s">
        <v>24</v>
      </c>
      <c r="BC3" s="111" t="s">
        <v>25</v>
      </c>
      <c r="BD3" s="139" t="s">
        <v>26</v>
      </c>
      <c r="BE3" s="178" t="s">
        <v>27</v>
      </c>
      <c r="BF3" s="165" t="s">
        <v>28</v>
      </c>
      <c r="BG3" s="107" t="s">
        <v>23</v>
      </c>
      <c r="BH3" s="16" t="s">
        <v>24</v>
      </c>
      <c r="BI3" s="111" t="s">
        <v>25</v>
      </c>
      <c r="BJ3" s="177" t="s">
        <v>26</v>
      </c>
      <c r="BK3" s="160" t="s">
        <v>27</v>
      </c>
      <c r="BL3" s="183" t="s">
        <v>28</v>
      </c>
      <c r="BM3" s="23" t="s">
        <v>10</v>
      </c>
      <c r="BN3" s="24" t="s">
        <v>11</v>
      </c>
      <c r="BO3" s="19" t="s">
        <v>12</v>
      </c>
      <c r="BP3" s="3"/>
      <c r="BQ3" s="15" t="s">
        <v>23</v>
      </c>
      <c r="BR3" s="16" t="s">
        <v>24</v>
      </c>
      <c r="BS3" s="369" t="s">
        <v>25</v>
      </c>
      <c r="BT3" s="370" t="s">
        <v>26</v>
      </c>
      <c r="BU3" s="372" t="s">
        <v>27</v>
      </c>
      <c r="BV3" s="373" t="s">
        <v>28</v>
      </c>
      <c r="BW3" s="107" t="s">
        <v>23</v>
      </c>
      <c r="BX3" s="16" t="s">
        <v>24</v>
      </c>
      <c r="BY3" s="369" t="s">
        <v>25</v>
      </c>
      <c r="BZ3" s="370" t="s">
        <v>26</v>
      </c>
      <c r="CA3" s="372" t="s">
        <v>27</v>
      </c>
      <c r="CB3" s="373" t="s">
        <v>28</v>
      </c>
      <c r="CC3" s="107" t="s">
        <v>23</v>
      </c>
      <c r="CD3" s="16" t="s">
        <v>24</v>
      </c>
      <c r="CE3" s="369" t="s">
        <v>25</v>
      </c>
      <c r="CF3" s="370" t="s">
        <v>26</v>
      </c>
      <c r="CG3" s="151" t="s">
        <v>27</v>
      </c>
      <c r="CH3" s="183" t="s">
        <v>28</v>
      </c>
      <c r="CI3" s="193" t="s">
        <v>10</v>
      </c>
      <c r="CJ3" s="22" t="s">
        <v>11</v>
      </c>
      <c r="CK3" s="19" t="s">
        <v>12</v>
      </c>
      <c r="CL3" s="3"/>
      <c r="CM3" s="25"/>
      <c r="CN3" s="3"/>
      <c r="CO3" s="111" t="s">
        <v>25</v>
      </c>
      <c r="CP3" s="177" t="s">
        <v>26</v>
      </c>
      <c r="CQ3" s="123" t="s">
        <v>27</v>
      </c>
      <c r="CR3" s="146" t="s">
        <v>28</v>
      </c>
      <c r="CS3" s="107" t="s">
        <v>23</v>
      </c>
      <c r="CT3" s="16" t="s">
        <v>24</v>
      </c>
    </row>
    <row r="4" spans="1:98" ht="15.75" thickBot="1" x14ac:dyDescent="0.3">
      <c r="A4" s="26" t="s">
        <v>35</v>
      </c>
      <c r="B4" s="27"/>
      <c r="C4" s="28">
        <v>57</v>
      </c>
      <c r="D4" s="29">
        <v>125</v>
      </c>
      <c r="E4" s="113"/>
      <c r="F4" s="166"/>
      <c r="G4" s="143"/>
      <c r="H4" s="147"/>
      <c r="I4" s="28">
        <v>18</v>
      </c>
      <c r="J4" s="29">
        <v>118</v>
      </c>
      <c r="K4" s="113"/>
      <c r="L4" s="166"/>
      <c r="M4" s="143"/>
      <c r="N4" s="147"/>
      <c r="O4" s="28">
        <v>106</v>
      </c>
      <c r="P4" s="30"/>
      <c r="Q4" s="113"/>
      <c r="R4" s="166"/>
      <c r="S4" s="118"/>
      <c r="T4" s="171"/>
      <c r="U4" s="109">
        <v>181</v>
      </c>
      <c r="V4" s="31">
        <v>243</v>
      </c>
      <c r="W4" s="32"/>
      <c r="X4" s="33"/>
      <c r="Y4" s="323"/>
      <c r="Z4" s="237"/>
      <c r="AA4" s="120"/>
      <c r="AB4" s="167"/>
      <c r="AC4" s="138"/>
      <c r="AD4" s="148"/>
      <c r="AE4" s="50">
        <v>307</v>
      </c>
      <c r="AF4" s="51">
        <v>1824</v>
      </c>
      <c r="AG4" s="120"/>
      <c r="AH4" s="121"/>
      <c r="AI4" s="132"/>
      <c r="AJ4" s="167"/>
      <c r="AK4" s="89">
        <v>435</v>
      </c>
      <c r="AL4" s="36">
        <v>1269</v>
      </c>
      <c r="AM4" s="120"/>
      <c r="AN4" s="167"/>
      <c r="AO4" s="138"/>
      <c r="AP4" s="148"/>
      <c r="AQ4" s="108">
        <v>742</v>
      </c>
      <c r="AR4" s="38">
        <v>3093</v>
      </c>
      <c r="AS4" s="39"/>
      <c r="AT4" s="33"/>
      <c r="AU4" s="43">
        <v>0</v>
      </c>
      <c r="AV4" s="29">
        <v>0</v>
      </c>
      <c r="AW4" s="113"/>
      <c r="AX4" s="166"/>
      <c r="AY4" s="143"/>
      <c r="AZ4" s="147"/>
      <c r="BA4" s="147">
        <v>79</v>
      </c>
      <c r="BB4" s="147">
        <v>552</v>
      </c>
      <c r="BC4" s="113"/>
      <c r="BD4" s="114"/>
      <c r="BE4" s="131"/>
      <c r="BF4" s="166"/>
      <c r="BG4" s="28">
        <v>369</v>
      </c>
      <c r="BH4" s="45">
        <v>1819</v>
      </c>
      <c r="BI4" s="117"/>
      <c r="BJ4" s="170"/>
      <c r="BK4" s="162"/>
      <c r="BL4" s="170"/>
      <c r="BM4" s="28">
        <v>0</v>
      </c>
      <c r="BN4" s="44">
        <v>0</v>
      </c>
      <c r="BO4" s="39"/>
      <c r="BP4" s="33"/>
      <c r="BQ4" s="310">
        <v>0</v>
      </c>
      <c r="BR4" s="310">
        <v>0</v>
      </c>
      <c r="BS4" s="371"/>
      <c r="BT4" s="371"/>
      <c r="BU4" s="371">
        <v>1</v>
      </c>
      <c r="BV4" s="371">
        <v>2</v>
      </c>
      <c r="BW4" s="228">
        <v>0</v>
      </c>
      <c r="BX4" s="229">
        <v>0</v>
      </c>
      <c r="BY4" s="371"/>
      <c r="BZ4" s="371"/>
      <c r="CA4" s="371"/>
      <c r="CB4" s="371"/>
      <c r="CC4" s="228">
        <v>0</v>
      </c>
      <c r="CD4" s="230">
        <v>0</v>
      </c>
      <c r="CE4" s="371"/>
      <c r="CF4" s="371"/>
      <c r="CG4" s="195"/>
      <c r="CH4" s="197"/>
      <c r="CI4" s="193" t="s">
        <v>10</v>
      </c>
      <c r="CJ4" s="22" t="s">
        <v>11</v>
      </c>
      <c r="CK4" s="39"/>
      <c r="CL4" s="46"/>
      <c r="CM4" s="32"/>
      <c r="CN4" s="46"/>
      <c r="CO4" s="117"/>
      <c r="CP4" s="170"/>
      <c r="CQ4" s="152"/>
      <c r="CR4" s="170"/>
      <c r="CS4" s="194">
        <v>41</v>
      </c>
      <c r="CT4" s="47">
        <v>153</v>
      </c>
    </row>
    <row r="5" spans="1:98" s="106" customFormat="1" ht="15.75" thickBot="1" x14ac:dyDescent="0.3">
      <c r="A5" s="48">
        <v>45992</v>
      </c>
      <c r="B5" s="49" t="s">
        <v>14</v>
      </c>
      <c r="C5" s="329"/>
      <c r="D5" s="347"/>
      <c r="E5" s="347">
        <v>21</v>
      </c>
      <c r="F5" s="348">
        <v>53</v>
      </c>
      <c r="G5" s="329"/>
      <c r="H5" s="349"/>
      <c r="I5" s="28">
        <v>18</v>
      </c>
      <c r="J5" s="29">
        <v>118</v>
      </c>
      <c r="K5" s="347"/>
      <c r="L5" s="348"/>
      <c r="M5" s="329"/>
      <c r="N5" s="349"/>
      <c r="O5" s="28">
        <v>106</v>
      </c>
      <c r="P5" s="399"/>
      <c r="Q5" s="400"/>
      <c r="R5" s="401"/>
      <c r="S5" s="402"/>
      <c r="T5" s="403"/>
      <c r="U5" s="388">
        <f t="shared" ref="U5:V20" si="0">C5+E5+G5+I5+K5+M5+O5+Q5+S5</f>
        <v>145</v>
      </c>
      <c r="V5" s="31">
        <f t="shared" si="0"/>
        <v>171</v>
      </c>
      <c r="W5" s="53"/>
      <c r="X5" s="6"/>
      <c r="Y5" s="51"/>
      <c r="Z5" s="51"/>
      <c r="AA5" s="51"/>
      <c r="AB5" s="380"/>
      <c r="AC5" s="50"/>
      <c r="AD5" s="381"/>
      <c r="AE5" s="50"/>
      <c r="AF5" s="51"/>
      <c r="AG5" s="51">
        <v>92</v>
      </c>
      <c r="AH5" s="65">
        <v>781</v>
      </c>
      <c r="AI5" s="389"/>
      <c r="AJ5" s="380"/>
      <c r="AK5" s="50"/>
      <c r="AL5" s="65"/>
      <c r="AM5" s="51">
        <v>125</v>
      </c>
      <c r="AN5" s="380">
        <v>373</v>
      </c>
      <c r="AO5" s="50"/>
      <c r="AP5" s="381"/>
      <c r="AQ5" s="124">
        <f t="shared" ref="AQ5:AR20" si="1">Y5+AA5+AC5+AE5+AG5+AI5+AK5+AM5+AO5</f>
        <v>217</v>
      </c>
      <c r="AR5" s="390">
        <f t="shared" si="1"/>
        <v>1154</v>
      </c>
      <c r="AS5" s="53"/>
      <c r="AT5" s="6"/>
      <c r="AU5" s="54"/>
      <c r="AV5" s="51"/>
      <c r="AW5" s="51"/>
      <c r="AX5" s="380"/>
      <c r="AY5" s="124"/>
      <c r="AZ5" s="391"/>
      <c r="BA5" s="50">
        <v>79</v>
      </c>
      <c r="BB5" s="51">
        <v>552</v>
      </c>
      <c r="BC5" s="51"/>
      <c r="BD5" s="55"/>
      <c r="BE5" s="404"/>
      <c r="BF5" s="380"/>
      <c r="BG5" s="50">
        <v>369</v>
      </c>
      <c r="BH5" s="55">
        <v>1819</v>
      </c>
      <c r="BI5" s="51"/>
      <c r="BJ5" s="380"/>
      <c r="BK5" s="124"/>
      <c r="BL5" s="391"/>
      <c r="BM5" s="393">
        <f t="shared" ref="BM5:BN5" si="2">AU5+AW5+AY5+BA5+BC5+BE5+BG5+BI5+BK5</f>
        <v>448</v>
      </c>
      <c r="BN5" s="394">
        <f t="shared" si="2"/>
        <v>2371</v>
      </c>
      <c r="BO5" s="53"/>
      <c r="BP5" s="6"/>
      <c r="BQ5" s="405">
        <v>0</v>
      </c>
      <c r="BR5" s="406">
        <v>0</v>
      </c>
      <c r="BS5" s="51"/>
      <c r="BT5" s="65"/>
      <c r="BU5" s="55"/>
      <c r="BV5" s="380"/>
      <c r="BW5" s="393">
        <v>0</v>
      </c>
      <c r="BX5" s="406">
        <v>0</v>
      </c>
      <c r="BY5" s="51"/>
      <c r="BZ5" s="65"/>
      <c r="CA5" s="40"/>
      <c r="CB5" s="391"/>
      <c r="CC5" s="393">
        <v>0</v>
      </c>
      <c r="CD5" s="395">
        <v>0</v>
      </c>
      <c r="CE5" s="51"/>
      <c r="CF5" s="65"/>
      <c r="CG5" s="40"/>
      <c r="CH5" s="391"/>
      <c r="CI5" s="28">
        <f t="shared" ref="CI5:CJ20" si="3">BQ5+BS5+BU5+BW5+BY5+CA5+CC5+CE5+CG5</f>
        <v>0</v>
      </c>
      <c r="CJ5" s="45">
        <f t="shared" si="3"/>
        <v>0</v>
      </c>
      <c r="CK5" s="59"/>
      <c r="CL5" s="60"/>
      <c r="CM5" s="396"/>
      <c r="CN5" s="60"/>
      <c r="CO5" s="40">
        <v>84</v>
      </c>
      <c r="CP5" s="391">
        <v>267</v>
      </c>
      <c r="CQ5" s="40">
        <v>1</v>
      </c>
      <c r="CR5" s="391">
        <v>1</v>
      </c>
      <c r="CS5" s="187">
        <v>125</v>
      </c>
      <c r="CT5" s="57">
        <v>420</v>
      </c>
    </row>
    <row r="6" spans="1:98" s="106" customFormat="1" ht="15.75" thickBot="1" x14ac:dyDescent="0.3">
      <c r="A6" s="48">
        <v>45993</v>
      </c>
      <c r="B6" s="49" t="s">
        <v>15</v>
      </c>
      <c r="C6" s="50">
        <v>35</v>
      </c>
      <c r="D6" s="51">
        <v>76</v>
      </c>
      <c r="E6" s="51"/>
      <c r="F6" s="380"/>
      <c r="G6" s="50"/>
      <c r="H6" s="381"/>
      <c r="I6" s="50"/>
      <c r="J6" s="51"/>
      <c r="K6" s="51"/>
      <c r="L6" s="380"/>
      <c r="M6" s="124"/>
      <c r="N6" s="382"/>
      <c r="O6" s="50"/>
      <c r="P6" s="383"/>
      <c r="Q6" s="384"/>
      <c r="R6" s="385"/>
      <c r="S6" s="386"/>
      <c r="T6" s="387"/>
      <c r="U6" s="388">
        <f t="shared" si="0"/>
        <v>35</v>
      </c>
      <c r="V6" s="31">
        <f t="shared" si="0"/>
        <v>76</v>
      </c>
      <c r="W6" s="64"/>
      <c r="X6" s="6"/>
      <c r="Y6" s="54"/>
      <c r="Z6" s="51"/>
      <c r="AA6" s="51"/>
      <c r="AB6" s="380"/>
      <c r="AC6" s="50"/>
      <c r="AD6" s="381"/>
      <c r="AE6" s="50"/>
      <c r="AF6" s="51"/>
      <c r="AG6" s="51"/>
      <c r="AH6" s="65"/>
      <c r="AI6" s="389"/>
      <c r="AJ6" s="380"/>
      <c r="AK6" s="50"/>
      <c r="AL6" s="65"/>
      <c r="AM6" s="51"/>
      <c r="AN6" s="380"/>
      <c r="AO6" s="50"/>
      <c r="AP6" s="381"/>
      <c r="AQ6" s="124">
        <f t="shared" si="1"/>
        <v>0</v>
      </c>
      <c r="AR6" s="390">
        <f t="shared" si="1"/>
        <v>0</v>
      </c>
      <c r="AS6" s="64"/>
      <c r="AT6" s="6"/>
      <c r="AU6" s="40">
        <v>0</v>
      </c>
      <c r="AV6" s="41">
        <v>0</v>
      </c>
      <c r="AW6" s="41"/>
      <c r="AX6" s="391"/>
      <c r="AY6" s="124">
        <v>1</v>
      </c>
      <c r="AZ6" s="391">
        <v>2</v>
      </c>
      <c r="BA6" s="124"/>
      <c r="BB6" s="41"/>
      <c r="BC6" s="41">
        <v>18</v>
      </c>
      <c r="BD6" s="42">
        <v>168</v>
      </c>
      <c r="BE6" s="392"/>
      <c r="BF6" s="391"/>
      <c r="BG6" s="50">
        <v>369</v>
      </c>
      <c r="BH6" s="55">
        <v>1484</v>
      </c>
      <c r="BI6" s="41">
        <v>46</v>
      </c>
      <c r="BJ6" s="391">
        <v>293</v>
      </c>
      <c r="BK6" s="124"/>
      <c r="BL6" s="391"/>
      <c r="BM6" s="393">
        <f t="shared" ref="BM6:BN36" si="4">AU6+AW6+AY6+BA6+BC6+BE6+BG6+BI6+BK6</f>
        <v>434</v>
      </c>
      <c r="BN6" s="394">
        <f t="shared" si="4"/>
        <v>1947</v>
      </c>
      <c r="BO6" s="64"/>
      <c r="BP6" s="6"/>
      <c r="BQ6" s="405">
        <v>0</v>
      </c>
      <c r="BR6" s="406">
        <v>0</v>
      </c>
      <c r="BS6" s="41">
        <v>10</v>
      </c>
      <c r="BT6" s="390">
        <v>19</v>
      </c>
      <c r="BU6" s="55"/>
      <c r="BV6" s="380"/>
      <c r="BW6" s="393">
        <v>0</v>
      </c>
      <c r="BX6" s="406">
        <v>0</v>
      </c>
      <c r="BY6" s="41">
        <v>17</v>
      </c>
      <c r="BZ6" s="390">
        <v>107</v>
      </c>
      <c r="CA6" s="55"/>
      <c r="CB6" s="380"/>
      <c r="CC6" s="393">
        <v>0</v>
      </c>
      <c r="CD6" s="395">
        <v>0</v>
      </c>
      <c r="CE6" s="41">
        <v>28</v>
      </c>
      <c r="CF6" s="390">
        <v>159</v>
      </c>
      <c r="CG6" s="40"/>
      <c r="CH6" s="391"/>
      <c r="CI6" s="28">
        <f t="shared" si="3"/>
        <v>55</v>
      </c>
      <c r="CJ6" s="45">
        <f t="shared" si="3"/>
        <v>285</v>
      </c>
      <c r="CK6" s="64"/>
      <c r="CL6" s="60"/>
      <c r="CM6" s="396"/>
      <c r="CN6" s="60"/>
      <c r="CO6" s="41"/>
      <c r="CP6" s="391"/>
      <c r="CQ6" s="50"/>
      <c r="CR6" s="380"/>
      <c r="CS6" s="187">
        <v>111</v>
      </c>
      <c r="CT6" s="67">
        <v>357</v>
      </c>
    </row>
    <row r="7" spans="1:98" s="106" customFormat="1" ht="15.75" thickBot="1" x14ac:dyDescent="0.3">
      <c r="A7" s="48">
        <v>45994</v>
      </c>
      <c r="B7" s="49" t="s">
        <v>16</v>
      </c>
      <c r="C7" s="50"/>
      <c r="D7" s="51"/>
      <c r="E7" s="51"/>
      <c r="F7" s="380"/>
      <c r="G7" s="50"/>
      <c r="H7" s="381"/>
      <c r="I7" s="50"/>
      <c r="J7" s="51"/>
      <c r="K7" s="51"/>
      <c r="L7" s="380"/>
      <c r="M7" s="407"/>
      <c r="N7" s="408"/>
      <c r="O7" s="50"/>
      <c r="P7" s="55"/>
      <c r="Q7" s="384"/>
      <c r="R7" s="385"/>
      <c r="S7" s="386"/>
      <c r="T7" s="387"/>
      <c r="U7" s="388">
        <f t="shared" si="0"/>
        <v>0</v>
      </c>
      <c r="V7" s="31">
        <f t="shared" si="0"/>
        <v>0</v>
      </c>
      <c r="W7" s="64"/>
      <c r="X7" s="6"/>
      <c r="Y7" s="54"/>
      <c r="Z7" s="51"/>
      <c r="AA7" s="51">
        <v>104</v>
      </c>
      <c r="AB7" s="380">
        <v>486</v>
      </c>
      <c r="AC7" s="50"/>
      <c r="AD7" s="381"/>
      <c r="AE7" s="50">
        <v>382</v>
      </c>
      <c r="AF7" s="51">
        <v>2487</v>
      </c>
      <c r="AG7" s="51"/>
      <c r="AH7" s="65"/>
      <c r="AI7" s="389"/>
      <c r="AJ7" s="380"/>
      <c r="AK7" s="50">
        <v>529</v>
      </c>
      <c r="AL7" s="65">
        <v>1574</v>
      </c>
      <c r="AM7" s="51"/>
      <c r="AN7" s="380"/>
      <c r="AO7" s="50"/>
      <c r="AP7" s="381"/>
      <c r="AQ7" s="124">
        <f t="shared" si="1"/>
        <v>1015</v>
      </c>
      <c r="AR7" s="390">
        <f t="shared" si="1"/>
        <v>4547</v>
      </c>
      <c r="AS7" s="64"/>
      <c r="AT7" s="6"/>
      <c r="AU7" s="40">
        <v>0</v>
      </c>
      <c r="AV7" s="41">
        <v>0</v>
      </c>
      <c r="AW7" s="41"/>
      <c r="AX7" s="391"/>
      <c r="AY7" s="124"/>
      <c r="AZ7" s="391"/>
      <c r="BA7" s="124">
        <v>97</v>
      </c>
      <c r="BB7" s="41">
        <v>720</v>
      </c>
      <c r="BC7" s="41"/>
      <c r="BD7" s="42"/>
      <c r="BE7" s="392"/>
      <c r="BF7" s="391"/>
      <c r="BG7" s="124">
        <v>366</v>
      </c>
      <c r="BH7" s="42">
        <v>1781</v>
      </c>
      <c r="BI7" s="41"/>
      <c r="BJ7" s="391"/>
      <c r="BK7" s="124">
        <v>1</v>
      </c>
      <c r="BL7" s="391">
        <v>12</v>
      </c>
      <c r="BM7" s="393">
        <f t="shared" si="4"/>
        <v>464</v>
      </c>
      <c r="BN7" s="394">
        <f t="shared" si="4"/>
        <v>2513</v>
      </c>
      <c r="BO7" s="64"/>
      <c r="BP7" s="6"/>
      <c r="BQ7" s="56">
        <v>10</v>
      </c>
      <c r="BR7" s="57">
        <v>19</v>
      </c>
      <c r="BS7" s="41"/>
      <c r="BT7" s="390"/>
      <c r="BU7" s="55"/>
      <c r="BV7" s="380"/>
      <c r="BW7" s="187">
        <v>17</v>
      </c>
      <c r="BX7" s="57">
        <v>107</v>
      </c>
      <c r="BY7" s="41"/>
      <c r="BZ7" s="390"/>
      <c r="CA7" s="55"/>
      <c r="CB7" s="380"/>
      <c r="CC7" s="187">
        <v>28</v>
      </c>
      <c r="CD7" s="58">
        <v>159</v>
      </c>
      <c r="CE7" s="41"/>
      <c r="CF7" s="390"/>
      <c r="CG7" s="40"/>
      <c r="CH7" s="391"/>
      <c r="CI7" s="28">
        <f t="shared" si="3"/>
        <v>55</v>
      </c>
      <c r="CJ7" s="45">
        <f t="shared" si="3"/>
        <v>285</v>
      </c>
      <c r="CK7" s="64"/>
      <c r="CL7" s="60"/>
      <c r="CM7" s="396"/>
      <c r="CN7" s="60"/>
      <c r="CO7" s="41"/>
      <c r="CP7" s="391"/>
      <c r="CQ7" s="50"/>
      <c r="CR7" s="380"/>
      <c r="CS7" s="187">
        <v>98</v>
      </c>
      <c r="CT7" s="57">
        <v>301</v>
      </c>
    </row>
    <row r="8" spans="1:98" s="306" customFormat="1" ht="15.75" thickBot="1" x14ac:dyDescent="0.3">
      <c r="A8" s="290">
        <v>45995</v>
      </c>
      <c r="B8" s="366" t="s">
        <v>17</v>
      </c>
      <c r="C8" s="99">
        <v>53</v>
      </c>
      <c r="D8" s="74">
        <v>124</v>
      </c>
      <c r="E8" s="74"/>
      <c r="F8" s="292"/>
      <c r="G8" s="99"/>
      <c r="H8" s="293"/>
      <c r="I8" s="99">
        <v>18</v>
      </c>
      <c r="J8" s="74">
        <v>118</v>
      </c>
      <c r="K8" s="74"/>
      <c r="L8" s="292"/>
      <c r="M8" s="377"/>
      <c r="N8" s="378"/>
      <c r="O8" s="99">
        <v>100</v>
      </c>
      <c r="P8" s="295">
        <v>246</v>
      </c>
      <c r="Q8" s="296"/>
      <c r="R8" s="297"/>
      <c r="S8" s="298"/>
      <c r="T8" s="299"/>
      <c r="U8" s="388">
        <f t="shared" si="0"/>
        <v>171</v>
      </c>
      <c r="V8" s="31">
        <f t="shared" si="0"/>
        <v>488</v>
      </c>
      <c r="W8" s="72"/>
      <c r="X8" s="300"/>
      <c r="Y8" s="73">
        <v>229</v>
      </c>
      <c r="Z8" s="74">
        <v>590</v>
      </c>
      <c r="AA8" s="74"/>
      <c r="AB8" s="292"/>
      <c r="AC8" s="99"/>
      <c r="AD8" s="293"/>
      <c r="AE8" s="99">
        <v>382</v>
      </c>
      <c r="AF8" s="74">
        <v>2487</v>
      </c>
      <c r="AG8" s="74"/>
      <c r="AH8" s="75"/>
      <c r="AI8" s="301"/>
      <c r="AJ8" s="292"/>
      <c r="AK8" s="99">
        <v>456</v>
      </c>
      <c r="AL8" s="75">
        <v>1419</v>
      </c>
      <c r="AM8" s="74"/>
      <c r="AN8" s="292"/>
      <c r="AO8" s="99"/>
      <c r="AP8" s="293"/>
      <c r="AQ8" s="125">
        <f t="shared" si="1"/>
        <v>1067</v>
      </c>
      <c r="AR8" s="210">
        <f t="shared" si="1"/>
        <v>4496</v>
      </c>
      <c r="AS8" s="72"/>
      <c r="AT8" s="300"/>
      <c r="AU8" s="76">
        <v>0</v>
      </c>
      <c r="AV8" s="77">
        <v>0</v>
      </c>
      <c r="AW8" s="77"/>
      <c r="AX8" s="302"/>
      <c r="AY8" s="125"/>
      <c r="AZ8" s="302"/>
      <c r="BA8" s="125">
        <v>97</v>
      </c>
      <c r="BB8" s="77">
        <v>720</v>
      </c>
      <c r="BC8" s="77"/>
      <c r="BD8" s="78"/>
      <c r="BE8" s="303"/>
      <c r="BF8" s="302"/>
      <c r="BG8" s="125">
        <v>366</v>
      </c>
      <c r="BH8" s="78">
        <v>1781</v>
      </c>
      <c r="BI8" s="77"/>
      <c r="BJ8" s="302"/>
      <c r="BK8" s="125"/>
      <c r="BL8" s="302"/>
      <c r="BM8" s="69">
        <f t="shared" si="4"/>
        <v>463</v>
      </c>
      <c r="BN8" s="209">
        <f t="shared" si="4"/>
        <v>2501</v>
      </c>
      <c r="BO8" s="79"/>
      <c r="BP8" s="300"/>
      <c r="BQ8" s="80">
        <v>10</v>
      </c>
      <c r="BR8" s="81">
        <v>19</v>
      </c>
      <c r="BS8" s="77"/>
      <c r="BT8" s="210"/>
      <c r="BU8" s="100"/>
      <c r="BV8" s="292"/>
      <c r="BW8" s="188">
        <v>17</v>
      </c>
      <c r="BX8" s="81">
        <v>107</v>
      </c>
      <c r="BY8" s="77"/>
      <c r="BZ8" s="210"/>
      <c r="CA8" s="100"/>
      <c r="CB8" s="292"/>
      <c r="CC8" s="188">
        <v>28</v>
      </c>
      <c r="CD8" s="82">
        <v>159</v>
      </c>
      <c r="CE8" s="77"/>
      <c r="CF8" s="210"/>
      <c r="CG8" s="76"/>
      <c r="CH8" s="302"/>
      <c r="CI8" s="28">
        <f t="shared" si="3"/>
        <v>55</v>
      </c>
      <c r="CJ8" s="45">
        <f t="shared" si="3"/>
        <v>285</v>
      </c>
      <c r="CK8" s="83"/>
      <c r="CL8" s="304"/>
      <c r="CM8" s="379"/>
      <c r="CN8" s="304"/>
      <c r="CO8" s="77"/>
      <c r="CP8" s="302"/>
      <c r="CQ8" s="99"/>
      <c r="CR8" s="292"/>
      <c r="CS8" s="188">
        <v>78</v>
      </c>
      <c r="CT8" s="81">
        <v>250</v>
      </c>
    </row>
    <row r="9" spans="1:98" s="129" customFormat="1" ht="15.75" thickBot="1" x14ac:dyDescent="0.3">
      <c r="A9" s="48">
        <v>45996</v>
      </c>
      <c r="B9" s="49" t="s">
        <v>18</v>
      </c>
      <c r="C9" s="236"/>
      <c r="D9" s="237"/>
      <c r="E9" s="237"/>
      <c r="F9" s="314"/>
      <c r="G9" s="236"/>
      <c r="H9" s="315"/>
      <c r="I9" s="236"/>
      <c r="J9" s="237"/>
      <c r="K9" s="237"/>
      <c r="L9" s="314"/>
      <c r="M9" s="243"/>
      <c r="N9" s="316"/>
      <c r="O9" s="236"/>
      <c r="P9" s="241"/>
      <c r="Q9" s="340"/>
      <c r="R9" s="341"/>
      <c r="S9" s="342"/>
      <c r="T9" s="343"/>
      <c r="U9" s="388">
        <f t="shared" si="0"/>
        <v>0</v>
      </c>
      <c r="V9" s="31">
        <f t="shared" si="0"/>
        <v>0</v>
      </c>
      <c r="W9" s="344"/>
      <c r="X9" s="322"/>
      <c r="Y9" s="323"/>
      <c r="Z9" s="237"/>
      <c r="AA9" s="237"/>
      <c r="AB9" s="314"/>
      <c r="AC9" s="236"/>
      <c r="AD9" s="315"/>
      <c r="AE9" s="236">
        <v>322</v>
      </c>
      <c r="AF9" s="237">
        <v>2152</v>
      </c>
      <c r="AG9" s="237"/>
      <c r="AH9" s="324"/>
      <c r="AI9" s="325"/>
      <c r="AJ9" s="314"/>
      <c r="AK9" s="236">
        <v>405</v>
      </c>
      <c r="AL9" s="324">
        <v>1264</v>
      </c>
      <c r="AM9" s="237"/>
      <c r="AN9" s="314"/>
      <c r="AO9" s="236"/>
      <c r="AP9" s="315"/>
      <c r="AQ9" s="124">
        <f t="shared" si="1"/>
        <v>727</v>
      </c>
      <c r="AR9" s="390">
        <f t="shared" si="1"/>
        <v>3416</v>
      </c>
      <c r="AS9" s="344"/>
      <c r="AT9" s="322"/>
      <c r="AU9" s="327"/>
      <c r="AV9" s="317"/>
      <c r="AW9" s="317"/>
      <c r="AX9" s="318"/>
      <c r="AY9" s="243"/>
      <c r="AZ9" s="318"/>
      <c r="BA9" s="243"/>
      <c r="BB9" s="317"/>
      <c r="BC9" s="317"/>
      <c r="BD9" s="242"/>
      <c r="BE9" s="328"/>
      <c r="BF9" s="318"/>
      <c r="BG9" s="243">
        <v>348</v>
      </c>
      <c r="BH9" s="242"/>
      <c r="BI9" s="317"/>
      <c r="BJ9" s="318"/>
      <c r="BK9" s="243"/>
      <c r="BL9" s="318"/>
      <c r="BM9" s="28">
        <f t="shared" si="4"/>
        <v>348</v>
      </c>
      <c r="BN9" s="44">
        <f t="shared" si="4"/>
        <v>0</v>
      </c>
      <c r="BO9" s="321"/>
      <c r="BP9" s="322"/>
      <c r="BQ9" s="330">
        <v>10</v>
      </c>
      <c r="BR9" s="331">
        <v>19</v>
      </c>
      <c r="BS9" s="317"/>
      <c r="BT9" s="326"/>
      <c r="BU9" s="241"/>
      <c r="BV9" s="314"/>
      <c r="BW9" s="332">
        <v>17</v>
      </c>
      <c r="BX9" s="331">
        <v>107</v>
      </c>
      <c r="BY9" s="317"/>
      <c r="BZ9" s="326"/>
      <c r="CA9" s="241"/>
      <c r="CB9" s="314"/>
      <c r="CC9" s="187">
        <v>28</v>
      </c>
      <c r="CD9" s="58">
        <v>159</v>
      </c>
      <c r="CE9" s="317"/>
      <c r="CF9" s="326"/>
      <c r="CG9" s="327"/>
      <c r="CH9" s="318"/>
      <c r="CI9" s="28">
        <f t="shared" si="3"/>
        <v>55</v>
      </c>
      <c r="CJ9" s="45">
        <f t="shared" si="3"/>
        <v>285</v>
      </c>
      <c r="CK9" s="345"/>
      <c r="CL9" s="337"/>
      <c r="CM9" s="32"/>
      <c r="CN9" s="337"/>
      <c r="CO9" s="317"/>
      <c r="CP9" s="318"/>
      <c r="CQ9" s="236"/>
      <c r="CR9" s="314"/>
      <c r="CS9" s="332">
        <v>59</v>
      </c>
      <c r="CT9" s="331">
        <v>211</v>
      </c>
    </row>
    <row r="10" spans="1:98" s="283" customFormat="1" ht="15.75" thickBot="1" x14ac:dyDescent="0.3">
      <c r="A10" s="244">
        <v>45997</v>
      </c>
      <c r="B10" s="357" t="s">
        <v>19</v>
      </c>
      <c r="C10" s="246"/>
      <c r="D10" s="247"/>
      <c r="E10" s="247"/>
      <c r="F10" s="248"/>
      <c r="G10" s="246"/>
      <c r="H10" s="249"/>
      <c r="I10" s="246"/>
      <c r="J10" s="247"/>
      <c r="K10" s="247"/>
      <c r="L10" s="248"/>
      <c r="M10" s="264"/>
      <c r="N10" s="284"/>
      <c r="O10" s="246"/>
      <c r="P10" s="252"/>
      <c r="Q10" s="253"/>
      <c r="R10" s="254"/>
      <c r="S10" s="255"/>
      <c r="T10" s="256"/>
      <c r="U10" s="388">
        <f t="shared" si="0"/>
        <v>0</v>
      </c>
      <c r="V10" s="31">
        <f t="shared" si="0"/>
        <v>0</v>
      </c>
      <c r="W10" s="273"/>
      <c r="X10" s="260"/>
      <c r="Y10" s="261"/>
      <c r="Z10" s="247"/>
      <c r="AA10" s="247"/>
      <c r="AB10" s="248"/>
      <c r="AC10" s="246"/>
      <c r="AD10" s="249"/>
      <c r="AE10" s="246"/>
      <c r="AF10" s="247"/>
      <c r="AG10" s="247"/>
      <c r="AH10" s="262"/>
      <c r="AI10" s="263"/>
      <c r="AJ10" s="248"/>
      <c r="AK10" s="246"/>
      <c r="AL10" s="262"/>
      <c r="AM10" s="247"/>
      <c r="AN10" s="248"/>
      <c r="AO10" s="246"/>
      <c r="AP10" s="249"/>
      <c r="AQ10" s="124">
        <f t="shared" si="1"/>
        <v>0</v>
      </c>
      <c r="AR10" s="390">
        <f t="shared" si="1"/>
        <v>0</v>
      </c>
      <c r="AS10" s="273"/>
      <c r="AT10" s="260"/>
      <c r="AU10" s="266"/>
      <c r="AV10" s="267"/>
      <c r="AW10" s="267"/>
      <c r="AX10" s="268"/>
      <c r="AY10" s="264"/>
      <c r="AZ10" s="268"/>
      <c r="BA10" s="264"/>
      <c r="BB10" s="267"/>
      <c r="BC10" s="267"/>
      <c r="BD10" s="269"/>
      <c r="BE10" s="270"/>
      <c r="BF10" s="268"/>
      <c r="BG10" s="264"/>
      <c r="BH10" s="269"/>
      <c r="BI10" s="267"/>
      <c r="BJ10" s="268"/>
      <c r="BK10" s="264"/>
      <c r="BL10" s="268"/>
      <c r="BM10" s="271">
        <f t="shared" si="4"/>
        <v>0</v>
      </c>
      <c r="BN10" s="272">
        <f t="shared" si="4"/>
        <v>0</v>
      </c>
      <c r="BO10" s="273"/>
      <c r="BP10" s="260"/>
      <c r="BQ10" s="274">
        <v>10</v>
      </c>
      <c r="BR10" s="275">
        <v>19</v>
      </c>
      <c r="BS10" s="267"/>
      <c r="BT10" s="265"/>
      <c r="BU10" s="276"/>
      <c r="BV10" s="248"/>
      <c r="BW10" s="277">
        <v>17</v>
      </c>
      <c r="BX10" s="275">
        <v>107</v>
      </c>
      <c r="BY10" s="267"/>
      <c r="BZ10" s="265"/>
      <c r="CA10" s="276"/>
      <c r="CB10" s="248"/>
      <c r="CC10" s="277">
        <v>28</v>
      </c>
      <c r="CD10" s="278">
        <v>159</v>
      </c>
      <c r="CE10" s="267"/>
      <c r="CF10" s="265"/>
      <c r="CG10" s="266"/>
      <c r="CH10" s="268"/>
      <c r="CI10" s="28">
        <f t="shared" si="3"/>
        <v>55</v>
      </c>
      <c r="CJ10" s="45">
        <f t="shared" si="3"/>
        <v>285</v>
      </c>
      <c r="CK10" s="273"/>
      <c r="CL10" s="281"/>
      <c r="CM10" s="409"/>
      <c r="CN10" s="281"/>
      <c r="CO10" s="267"/>
      <c r="CP10" s="268"/>
      <c r="CQ10" s="246"/>
      <c r="CR10" s="248"/>
      <c r="CS10" s="277">
        <v>49</v>
      </c>
      <c r="CT10" s="287">
        <v>179</v>
      </c>
    </row>
    <row r="11" spans="1:98" s="283" customFormat="1" ht="15.75" thickBot="1" x14ac:dyDescent="0.3">
      <c r="A11" s="244">
        <v>45998</v>
      </c>
      <c r="B11" s="357" t="s">
        <v>20</v>
      </c>
      <c r="C11" s="246"/>
      <c r="D11" s="247"/>
      <c r="E11" s="247"/>
      <c r="F11" s="248"/>
      <c r="G11" s="246"/>
      <c r="H11" s="249"/>
      <c r="I11" s="246"/>
      <c r="J11" s="247"/>
      <c r="K11" s="247"/>
      <c r="L11" s="248"/>
      <c r="M11" s="264"/>
      <c r="N11" s="284"/>
      <c r="O11" s="246"/>
      <c r="P11" s="276"/>
      <c r="Q11" s="267"/>
      <c r="R11" s="268"/>
      <c r="S11" s="285"/>
      <c r="T11" s="286"/>
      <c r="U11" s="388">
        <f t="shared" si="0"/>
        <v>0</v>
      </c>
      <c r="V11" s="31">
        <f t="shared" si="0"/>
        <v>0</v>
      </c>
      <c r="W11" s="273"/>
      <c r="X11" s="260"/>
      <c r="Y11" s="261"/>
      <c r="Z11" s="247"/>
      <c r="AA11" s="247"/>
      <c r="AB11" s="248"/>
      <c r="AC11" s="246"/>
      <c r="AD11" s="249"/>
      <c r="AE11" s="246"/>
      <c r="AF11" s="247"/>
      <c r="AG11" s="247"/>
      <c r="AH11" s="262"/>
      <c r="AI11" s="263"/>
      <c r="AJ11" s="248"/>
      <c r="AK11" s="246"/>
      <c r="AL11" s="262"/>
      <c r="AM11" s="247"/>
      <c r="AN11" s="248"/>
      <c r="AO11" s="246"/>
      <c r="AP11" s="249"/>
      <c r="AQ11" s="124">
        <f t="shared" si="1"/>
        <v>0</v>
      </c>
      <c r="AR11" s="390">
        <f t="shared" si="1"/>
        <v>0</v>
      </c>
      <c r="AS11" s="273"/>
      <c r="AT11" s="260"/>
      <c r="AU11" s="266"/>
      <c r="AV11" s="267"/>
      <c r="AW11" s="267"/>
      <c r="AX11" s="268"/>
      <c r="AY11" s="264"/>
      <c r="AZ11" s="268"/>
      <c r="BA11" s="264"/>
      <c r="BB11" s="267"/>
      <c r="BC11" s="267"/>
      <c r="BD11" s="269"/>
      <c r="BE11" s="270"/>
      <c r="BF11" s="268"/>
      <c r="BG11" s="264"/>
      <c r="BH11" s="269"/>
      <c r="BI11" s="267"/>
      <c r="BJ11" s="268"/>
      <c r="BK11" s="264"/>
      <c r="BL11" s="268"/>
      <c r="BM11" s="271">
        <f t="shared" si="4"/>
        <v>0</v>
      </c>
      <c r="BN11" s="272">
        <f t="shared" si="4"/>
        <v>0</v>
      </c>
      <c r="BO11" s="273"/>
      <c r="BP11" s="260"/>
      <c r="BQ11" s="274">
        <v>10</v>
      </c>
      <c r="BR11" s="275">
        <v>19</v>
      </c>
      <c r="BS11" s="267"/>
      <c r="BT11" s="265"/>
      <c r="BU11" s="276"/>
      <c r="BV11" s="248"/>
      <c r="BW11" s="277">
        <v>17</v>
      </c>
      <c r="BX11" s="287">
        <v>107</v>
      </c>
      <c r="BY11" s="267"/>
      <c r="BZ11" s="265"/>
      <c r="CA11" s="269"/>
      <c r="CB11" s="268"/>
      <c r="CC11" s="288">
        <v>28</v>
      </c>
      <c r="CD11" s="278">
        <v>159</v>
      </c>
      <c r="CE11" s="267"/>
      <c r="CF11" s="265"/>
      <c r="CG11" s="266"/>
      <c r="CH11" s="268"/>
      <c r="CI11" s="28">
        <f t="shared" si="3"/>
        <v>55</v>
      </c>
      <c r="CJ11" s="45">
        <f t="shared" si="3"/>
        <v>285</v>
      </c>
      <c r="CK11" s="273"/>
      <c r="CL11" s="281"/>
      <c r="CM11" s="409"/>
      <c r="CN11" s="281"/>
      <c r="CO11" s="267">
        <v>192</v>
      </c>
      <c r="CP11" s="268">
        <v>444</v>
      </c>
      <c r="CQ11" s="246"/>
      <c r="CR11" s="248"/>
      <c r="CS11" s="277">
        <v>241</v>
      </c>
      <c r="CT11" s="287">
        <v>623</v>
      </c>
    </row>
    <row r="12" spans="1:98" s="106" customFormat="1" ht="15.75" thickBot="1" x14ac:dyDescent="0.3">
      <c r="A12" s="48">
        <v>45999</v>
      </c>
      <c r="B12" s="49" t="s">
        <v>14</v>
      </c>
      <c r="C12" s="50"/>
      <c r="D12" s="51"/>
      <c r="E12" s="51">
        <v>35</v>
      </c>
      <c r="F12" s="380">
        <v>63</v>
      </c>
      <c r="G12" s="50"/>
      <c r="H12" s="381"/>
      <c r="I12" s="50"/>
      <c r="J12" s="51"/>
      <c r="K12" s="51"/>
      <c r="L12" s="380"/>
      <c r="M12" s="124"/>
      <c r="N12" s="382"/>
      <c r="O12" s="50"/>
      <c r="P12" s="42"/>
      <c r="Q12" s="41"/>
      <c r="R12" s="391"/>
      <c r="S12" s="397"/>
      <c r="T12" s="398"/>
      <c r="U12" s="388">
        <f t="shared" si="0"/>
        <v>35</v>
      </c>
      <c r="V12" s="31">
        <f t="shared" si="0"/>
        <v>63</v>
      </c>
      <c r="W12" s="64"/>
      <c r="X12" s="6"/>
      <c r="Y12" s="54"/>
      <c r="Z12" s="51"/>
      <c r="AA12" s="51">
        <v>160</v>
      </c>
      <c r="AB12" s="380">
        <v>318</v>
      </c>
      <c r="AC12" s="50"/>
      <c r="AD12" s="381"/>
      <c r="AE12" s="50">
        <v>410</v>
      </c>
      <c r="AF12" s="51">
        <v>2557</v>
      </c>
      <c r="AG12" s="51">
        <v>92</v>
      </c>
      <c r="AH12" s="65">
        <v>485</v>
      </c>
      <c r="AI12" s="389"/>
      <c r="AJ12" s="380"/>
      <c r="AK12" s="50">
        <v>417</v>
      </c>
      <c r="AL12" s="65">
        <v>1294</v>
      </c>
      <c r="AM12" s="51">
        <v>83</v>
      </c>
      <c r="AN12" s="380">
        <v>290</v>
      </c>
      <c r="AO12" s="50"/>
      <c r="AP12" s="381"/>
      <c r="AQ12" s="124">
        <f t="shared" si="1"/>
        <v>1162</v>
      </c>
      <c r="AR12" s="390">
        <f t="shared" si="1"/>
        <v>4944</v>
      </c>
      <c r="AS12" s="64"/>
      <c r="AT12" s="6"/>
      <c r="AU12" s="40">
        <v>0</v>
      </c>
      <c r="AV12" s="41">
        <v>0</v>
      </c>
      <c r="AW12" s="41"/>
      <c r="AX12" s="391"/>
      <c r="AY12" s="124">
        <v>1</v>
      </c>
      <c r="AZ12" s="391">
        <v>2</v>
      </c>
      <c r="BA12" s="124"/>
      <c r="BB12" s="41"/>
      <c r="BC12" s="41">
        <v>13</v>
      </c>
      <c r="BD12" s="42">
        <v>110</v>
      </c>
      <c r="BE12" s="392"/>
      <c r="BF12" s="391"/>
      <c r="BG12" s="124"/>
      <c r="BH12" s="42"/>
      <c r="BI12" s="41"/>
      <c r="BJ12" s="391"/>
      <c r="BK12" s="124"/>
      <c r="BL12" s="391"/>
      <c r="BM12" s="393">
        <f t="shared" si="4"/>
        <v>14</v>
      </c>
      <c r="BN12" s="272">
        <f t="shared" si="4"/>
        <v>112</v>
      </c>
      <c r="BO12" s="64"/>
      <c r="BP12" s="6"/>
      <c r="BQ12" s="56">
        <v>10</v>
      </c>
      <c r="BR12" s="57">
        <v>19</v>
      </c>
      <c r="BS12" s="41"/>
      <c r="BT12" s="390"/>
      <c r="BU12" s="55"/>
      <c r="BV12" s="380"/>
      <c r="BW12" s="187">
        <v>17</v>
      </c>
      <c r="BX12" s="67">
        <v>107</v>
      </c>
      <c r="BY12" s="41"/>
      <c r="BZ12" s="390"/>
      <c r="CA12" s="42"/>
      <c r="CB12" s="391"/>
      <c r="CC12" s="190">
        <v>28</v>
      </c>
      <c r="CD12" s="58">
        <v>159</v>
      </c>
      <c r="CE12" s="41"/>
      <c r="CF12" s="390"/>
      <c r="CG12" s="40"/>
      <c r="CH12" s="391"/>
      <c r="CI12" s="28">
        <f t="shared" si="3"/>
        <v>55</v>
      </c>
      <c r="CJ12" s="45">
        <f t="shared" si="3"/>
        <v>285</v>
      </c>
      <c r="CK12" s="64"/>
      <c r="CL12" s="60"/>
      <c r="CM12" s="396"/>
      <c r="CN12" s="60"/>
      <c r="CO12" s="41"/>
      <c r="CP12" s="391"/>
      <c r="CQ12" s="50"/>
      <c r="CR12" s="380"/>
      <c r="CS12" s="187">
        <v>241</v>
      </c>
      <c r="CT12" s="67">
        <v>623</v>
      </c>
    </row>
    <row r="13" spans="1:98" s="106" customFormat="1" ht="15.75" thickBot="1" x14ac:dyDescent="0.3">
      <c r="A13" s="48">
        <v>46000</v>
      </c>
      <c r="B13" s="49" t="s">
        <v>15</v>
      </c>
      <c r="C13" s="50"/>
      <c r="D13" s="51"/>
      <c r="E13" s="51"/>
      <c r="F13" s="380"/>
      <c r="G13" s="50"/>
      <c r="H13" s="381"/>
      <c r="I13" s="50"/>
      <c r="J13" s="51"/>
      <c r="K13" s="51"/>
      <c r="L13" s="380"/>
      <c r="M13" s="124"/>
      <c r="N13" s="382"/>
      <c r="O13" s="50"/>
      <c r="P13" s="42"/>
      <c r="Q13" s="41"/>
      <c r="R13" s="391"/>
      <c r="S13" s="397"/>
      <c r="T13" s="398"/>
      <c r="U13" s="388">
        <f t="shared" si="0"/>
        <v>0</v>
      </c>
      <c r="V13" s="31">
        <f t="shared" si="0"/>
        <v>0</v>
      </c>
      <c r="W13" s="64"/>
      <c r="X13" s="6"/>
      <c r="Y13" s="54"/>
      <c r="Z13" s="51"/>
      <c r="AA13" s="51"/>
      <c r="AB13" s="380"/>
      <c r="AC13" s="50"/>
      <c r="AD13" s="381"/>
      <c r="AE13" s="50"/>
      <c r="AF13" s="51"/>
      <c r="AG13" s="51"/>
      <c r="AH13" s="65"/>
      <c r="AI13" s="389"/>
      <c r="AJ13" s="380"/>
      <c r="AK13" s="50"/>
      <c r="AL13" s="65"/>
      <c r="AM13" s="51"/>
      <c r="AN13" s="380"/>
      <c r="AO13" s="50"/>
      <c r="AP13" s="381"/>
      <c r="AQ13" s="124">
        <f t="shared" si="1"/>
        <v>0</v>
      </c>
      <c r="AR13" s="390">
        <f t="shared" si="1"/>
        <v>0</v>
      </c>
      <c r="AS13" s="64"/>
      <c r="AT13" s="6"/>
      <c r="AU13" s="40">
        <v>0</v>
      </c>
      <c r="AV13" s="41">
        <v>0</v>
      </c>
      <c r="AW13" s="41"/>
      <c r="AX13" s="391"/>
      <c r="AY13" s="124"/>
      <c r="AZ13" s="391"/>
      <c r="BA13" s="124">
        <v>110</v>
      </c>
      <c r="BB13" s="41">
        <v>830</v>
      </c>
      <c r="BC13" s="41"/>
      <c r="BD13" s="42"/>
      <c r="BE13" s="392"/>
      <c r="BF13" s="391"/>
      <c r="BG13" s="124"/>
      <c r="BH13" s="42"/>
      <c r="BI13" s="41">
        <v>59</v>
      </c>
      <c r="BJ13" s="391">
        <v>232</v>
      </c>
      <c r="BK13" s="124">
        <v>2</v>
      </c>
      <c r="BL13" s="391">
        <v>31</v>
      </c>
      <c r="BM13" s="393">
        <f t="shared" si="4"/>
        <v>171</v>
      </c>
      <c r="BN13" s="394">
        <f t="shared" si="4"/>
        <v>1093</v>
      </c>
      <c r="BO13" s="64"/>
      <c r="BP13" s="6"/>
      <c r="BQ13" s="56">
        <v>10</v>
      </c>
      <c r="BR13" s="57">
        <v>19</v>
      </c>
      <c r="BS13" s="41"/>
      <c r="BT13" s="390"/>
      <c r="BU13" s="55"/>
      <c r="BV13" s="380"/>
      <c r="BW13" s="187">
        <v>17</v>
      </c>
      <c r="BX13" s="67">
        <v>107</v>
      </c>
      <c r="BY13" s="41"/>
      <c r="BZ13" s="390"/>
      <c r="CA13" s="42"/>
      <c r="CB13" s="391"/>
      <c r="CC13" s="190">
        <v>28</v>
      </c>
      <c r="CD13" s="58">
        <v>159</v>
      </c>
      <c r="CE13" s="41"/>
      <c r="CF13" s="390"/>
      <c r="CG13" s="40"/>
      <c r="CH13" s="391"/>
      <c r="CI13" s="28">
        <f t="shared" si="3"/>
        <v>55</v>
      </c>
      <c r="CJ13" s="45">
        <f t="shared" si="3"/>
        <v>285</v>
      </c>
      <c r="CK13" s="64"/>
      <c r="CL13" s="60"/>
      <c r="CM13" s="396"/>
      <c r="CN13" s="60"/>
      <c r="CO13" s="41"/>
      <c r="CP13" s="391"/>
      <c r="CQ13" s="50"/>
      <c r="CR13" s="380"/>
      <c r="CS13" s="187">
        <v>225</v>
      </c>
      <c r="CT13" s="67">
        <v>580</v>
      </c>
    </row>
    <row r="14" spans="1:98" s="106" customFormat="1" ht="15.75" thickBot="1" x14ac:dyDescent="0.3">
      <c r="A14" s="48">
        <v>46001</v>
      </c>
      <c r="B14" s="49" t="s">
        <v>16</v>
      </c>
      <c r="C14" s="50"/>
      <c r="D14" s="51"/>
      <c r="E14" s="50"/>
      <c r="F14" s="381"/>
      <c r="G14" s="50"/>
      <c r="H14" s="381"/>
      <c r="I14" s="50"/>
      <c r="J14" s="51"/>
      <c r="K14" s="51"/>
      <c r="L14" s="380"/>
      <c r="M14" s="124"/>
      <c r="N14" s="382"/>
      <c r="O14" s="50"/>
      <c r="P14" s="42"/>
      <c r="Q14" s="41"/>
      <c r="R14" s="391"/>
      <c r="S14" s="397"/>
      <c r="T14" s="398"/>
      <c r="U14" s="388">
        <f t="shared" si="0"/>
        <v>0</v>
      </c>
      <c r="V14" s="31">
        <f t="shared" si="0"/>
        <v>0</v>
      </c>
      <c r="W14" s="64"/>
      <c r="X14" s="6"/>
      <c r="Y14" s="54"/>
      <c r="Z14" s="51"/>
      <c r="AA14" s="51"/>
      <c r="AB14" s="380"/>
      <c r="AC14" s="50"/>
      <c r="AD14" s="381"/>
      <c r="AE14" s="50"/>
      <c r="AF14" s="51"/>
      <c r="AG14" s="51"/>
      <c r="AH14" s="65"/>
      <c r="AI14" s="389"/>
      <c r="AJ14" s="380"/>
      <c r="AK14" s="50"/>
      <c r="AL14" s="65"/>
      <c r="AM14" s="51"/>
      <c r="AN14" s="380"/>
      <c r="AO14" s="50"/>
      <c r="AP14" s="381"/>
      <c r="AQ14" s="124">
        <f t="shared" si="1"/>
        <v>0</v>
      </c>
      <c r="AR14" s="390">
        <f t="shared" si="1"/>
        <v>0</v>
      </c>
      <c r="AS14" s="64"/>
      <c r="AT14" s="6"/>
      <c r="AU14" s="40"/>
      <c r="AV14" s="41"/>
      <c r="AW14" s="41"/>
      <c r="AX14" s="391"/>
      <c r="AY14" s="124"/>
      <c r="AZ14" s="391"/>
      <c r="BA14" s="124"/>
      <c r="BB14" s="41"/>
      <c r="BC14" s="41"/>
      <c r="BD14" s="42"/>
      <c r="BE14" s="392"/>
      <c r="BF14" s="391"/>
      <c r="BG14" s="124"/>
      <c r="BH14" s="42"/>
      <c r="BI14" s="41"/>
      <c r="BJ14" s="391"/>
      <c r="BK14" s="124"/>
      <c r="BL14" s="391"/>
      <c r="BM14" s="393">
        <f t="shared" si="4"/>
        <v>0</v>
      </c>
      <c r="BN14" s="394">
        <f t="shared" si="4"/>
        <v>0</v>
      </c>
      <c r="BO14" s="64"/>
      <c r="BP14" s="6"/>
      <c r="BQ14" s="56">
        <v>10</v>
      </c>
      <c r="BR14" s="57">
        <v>19</v>
      </c>
      <c r="BS14" s="41">
        <v>8</v>
      </c>
      <c r="BT14" s="390">
        <v>10</v>
      </c>
      <c r="BU14" s="55">
        <v>2</v>
      </c>
      <c r="BV14" s="380">
        <v>5</v>
      </c>
      <c r="BW14" s="187">
        <v>17</v>
      </c>
      <c r="BX14" s="67">
        <v>107</v>
      </c>
      <c r="BY14" s="41"/>
      <c r="BZ14" s="390"/>
      <c r="CA14" s="42"/>
      <c r="CB14" s="391"/>
      <c r="CC14" s="190">
        <v>28</v>
      </c>
      <c r="CD14" s="58">
        <v>159</v>
      </c>
      <c r="CE14" s="41"/>
      <c r="CF14" s="390"/>
      <c r="CG14" s="40"/>
      <c r="CH14" s="391"/>
      <c r="CI14" s="28">
        <f t="shared" si="3"/>
        <v>65</v>
      </c>
      <c r="CJ14" s="45">
        <f t="shared" si="3"/>
        <v>300</v>
      </c>
      <c r="CK14" s="64"/>
      <c r="CL14" s="60"/>
      <c r="CM14" s="396"/>
      <c r="CN14" s="60"/>
      <c r="CO14" s="41"/>
      <c r="CP14" s="391"/>
      <c r="CQ14" s="50"/>
      <c r="CR14" s="380"/>
      <c r="CS14" s="187">
        <v>204</v>
      </c>
      <c r="CT14" s="57">
        <v>468</v>
      </c>
    </row>
    <row r="15" spans="1:98" s="306" customFormat="1" ht="15.75" thickBot="1" x14ac:dyDescent="0.3">
      <c r="A15" s="290">
        <v>46002</v>
      </c>
      <c r="B15" s="366" t="s">
        <v>17</v>
      </c>
      <c r="C15" s="99">
        <v>35</v>
      </c>
      <c r="D15" s="74">
        <v>63</v>
      </c>
      <c r="E15" s="74"/>
      <c r="F15" s="292"/>
      <c r="G15" s="99"/>
      <c r="H15" s="293"/>
      <c r="I15" s="99">
        <v>4</v>
      </c>
      <c r="J15" s="74">
        <v>41</v>
      </c>
      <c r="K15" s="74"/>
      <c r="L15" s="292"/>
      <c r="M15" s="125"/>
      <c r="N15" s="294"/>
      <c r="O15" s="99">
        <v>100</v>
      </c>
      <c r="P15" s="100">
        <v>170</v>
      </c>
      <c r="Q15" s="77"/>
      <c r="R15" s="302"/>
      <c r="S15" s="307"/>
      <c r="T15" s="308"/>
      <c r="U15" s="388">
        <f t="shared" si="0"/>
        <v>139</v>
      </c>
      <c r="V15" s="31">
        <f t="shared" si="0"/>
        <v>274</v>
      </c>
      <c r="W15" s="72"/>
      <c r="X15" s="300"/>
      <c r="Y15" s="73">
        <v>224</v>
      </c>
      <c r="Z15" s="74">
        <v>436</v>
      </c>
      <c r="AA15" s="74"/>
      <c r="AB15" s="292"/>
      <c r="AC15" s="99"/>
      <c r="AD15" s="293"/>
      <c r="AE15" s="99">
        <v>408</v>
      </c>
      <c r="AF15" s="74">
        <v>2548</v>
      </c>
      <c r="AG15" s="74"/>
      <c r="AH15" s="75"/>
      <c r="AI15" s="301"/>
      <c r="AJ15" s="292"/>
      <c r="AK15" s="99">
        <v>374</v>
      </c>
      <c r="AL15" s="75">
        <v>1169</v>
      </c>
      <c r="AM15" s="74"/>
      <c r="AN15" s="292"/>
      <c r="AO15" s="99"/>
      <c r="AP15" s="293"/>
      <c r="AQ15" s="125">
        <f t="shared" si="1"/>
        <v>1006</v>
      </c>
      <c r="AR15" s="210">
        <f t="shared" si="1"/>
        <v>4153</v>
      </c>
      <c r="AS15" s="72"/>
      <c r="AT15" s="300"/>
      <c r="AU15" s="76">
        <v>0</v>
      </c>
      <c r="AV15" s="77">
        <v>0</v>
      </c>
      <c r="AW15" s="77"/>
      <c r="AX15" s="302"/>
      <c r="AY15" s="125"/>
      <c r="AZ15" s="302"/>
      <c r="BA15" s="125">
        <v>101</v>
      </c>
      <c r="BB15" s="77">
        <v>762</v>
      </c>
      <c r="BC15" s="77"/>
      <c r="BD15" s="78"/>
      <c r="BE15" s="303"/>
      <c r="BF15" s="302"/>
      <c r="BG15" s="125">
        <v>325</v>
      </c>
      <c r="BH15" s="78">
        <v>1597</v>
      </c>
      <c r="BI15" s="77"/>
      <c r="BJ15" s="302"/>
      <c r="BK15" s="125"/>
      <c r="BL15" s="302"/>
      <c r="BM15" s="69">
        <f t="shared" si="4"/>
        <v>426</v>
      </c>
      <c r="BN15" s="209">
        <f t="shared" si="4"/>
        <v>2359</v>
      </c>
      <c r="BO15" s="79"/>
      <c r="BP15" s="300"/>
      <c r="BQ15" s="80">
        <v>18</v>
      </c>
      <c r="BR15" s="81">
        <v>29</v>
      </c>
      <c r="BS15" s="77"/>
      <c r="BT15" s="210"/>
      <c r="BU15" s="100"/>
      <c r="BV15" s="292"/>
      <c r="BW15" s="188">
        <v>17</v>
      </c>
      <c r="BX15" s="101">
        <v>107</v>
      </c>
      <c r="BY15" s="77"/>
      <c r="BZ15" s="210"/>
      <c r="CA15" s="78"/>
      <c r="CB15" s="302"/>
      <c r="CC15" s="192">
        <v>28</v>
      </c>
      <c r="CD15" s="82">
        <v>159</v>
      </c>
      <c r="CE15" s="77"/>
      <c r="CF15" s="210"/>
      <c r="CG15" s="76"/>
      <c r="CH15" s="302"/>
      <c r="CI15" s="28">
        <f t="shared" si="3"/>
        <v>63</v>
      </c>
      <c r="CJ15" s="45">
        <f t="shared" si="3"/>
        <v>295</v>
      </c>
      <c r="CK15" s="83"/>
      <c r="CL15" s="304"/>
      <c r="CM15" s="379"/>
      <c r="CN15" s="304"/>
      <c r="CO15" s="77"/>
      <c r="CP15" s="302"/>
      <c r="CQ15" s="99"/>
      <c r="CR15" s="292"/>
      <c r="CS15" s="188">
        <v>186</v>
      </c>
      <c r="CT15" s="81">
        <v>430</v>
      </c>
    </row>
    <row r="16" spans="1:98" s="106" customFormat="1" ht="15.75" thickBot="1" x14ac:dyDescent="0.3">
      <c r="A16" s="48">
        <v>46003</v>
      </c>
      <c r="B16" s="49" t="s">
        <v>18</v>
      </c>
      <c r="C16" s="50"/>
      <c r="D16" s="51"/>
      <c r="E16" s="51">
        <v>20</v>
      </c>
      <c r="F16" s="380">
        <v>32</v>
      </c>
      <c r="G16" s="50"/>
      <c r="H16" s="381"/>
      <c r="I16" s="50"/>
      <c r="J16" s="51"/>
      <c r="K16" s="51"/>
      <c r="L16" s="380"/>
      <c r="M16" s="124"/>
      <c r="N16" s="382"/>
      <c r="O16" s="50"/>
      <c r="P16" s="42"/>
      <c r="Q16" s="41"/>
      <c r="R16" s="391"/>
      <c r="S16" s="397"/>
      <c r="T16" s="398"/>
      <c r="U16" s="388">
        <f t="shared" si="0"/>
        <v>20</v>
      </c>
      <c r="V16" s="31">
        <f t="shared" si="0"/>
        <v>32</v>
      </c>
      <c r="W16" s="53"/>
      <c r="X16" s="6"/>
      <c r="Y16" s="54"/>
      <c r="Z16" s="51"/>
      <c r="AA16" s="51"/>
      <c r="AB16" s="380"/>
      <c r="AC16" s="50"/>
      <c r="AD16" s="381"/>
      <c r="AE16" s="50">
        <v>364</v>
      </c>
      <c r="AF16" s="51">
        <v>2328</v>
      </c>
      <c r="AG16" s="51"/>
      <c r="AH16" s="65"/>
      <c r="AI16" s="389"/>
      <c r="AJ16" s="380"/>
      <c r="AK16" s="50">
        <v>374</v>
      </c>
      <c r="AL16" s="65">
        <v>1169</v>
      </c>
      <c r="AM16" s="51"/>
      <c r="AN16" s="380"/>
      <c r="AO16" s="50"/>
      <c r="AP16" s="381"/>
      <c r="AQ16" s="124">
        <f t="shared" si="1"/>
        <v>738</v>
      </c>
      <c r="AR16" s="390">
        <f t="shared" si="1"/>
        <v>3497</v>
      </c>
      <c r="AS16" s="53"/>
      <c r="AT16" s="6"/>
      <c r="AU16" s="40">
        <v>0</v>
      </c>
      <c r="AV16" s="41">
        <v>0</v>
      </c>
      <c r="AW16" s="41"/>
      <c r="AX16" s="391"/>
      <c r="AY16" s="124"/>
      <c r="AZ16" s="391"/>
      <c r="BA16" s="124">
        <v>101</v>
      </c>
      <c r="BB16" s="41">
        <v>762</v>
      </c>
      <c r="BC16" s="41"/>
      <c r="BD16" s="42"/>
      <c r="BE16" s="392"/>
      <c r="BF16" s="391"/>
      <c r="BG16" s="124">
        <v>255</v>
      </c>
      <c r="BH16" s="42">
        <v>1057</v>
      </c>
      <c r="BI16" s="41"/>
      <c r="BJ16" s="391"/>
      <c r="BK16" s="124"/>
      <c r="BL16" s="391"/>
      <c r="BM16" s="393">
        <f t="shared" si="4"/>
        <v>356</v>
      </c>
      <c r="BN16" s="394">
        <f t="shared" si="4"/>
        <v>1819</v>
      </c>
      <c r="BO16" s="64"/>
      <c r="BP16" s="6"/>
      <c r="BQ16" s="56">
        <v>18</v>
      </c>
      <c r="BR16" s="57">
        <v>29</v>
      </c>
      <c r="BS16" s="41"/>
      <c r="BT16" s="390"/>
      <c r="BU16" s="55"/>
      <c r="BV16" s="380"/>
      <c r="BW16" s="187">
        <v>17</v>
      </c>
      <c r="BX16" s="67">
        <v>107</v>
      </c>
      <c r="BY16" s="41"/>
      <c r="BZ16" s="390"/>
      <c r="CA16" s="42"/>
      <c r="CB16" s="391"/>
      <c r="CC16" s="190">
        <v>28</v>
      </c>
      <c r="CD16" s="58">
        <v>159</v>
      </c>
      <c r="CE16" s="41"/>
      <c r="CF16" s="390"/>
      <c r="CG16" s="40"/>
      <c r="CH16" s="391"/>
      <c r="CI16" s="28">
        <f t="shared" si="3"/>
        <v>63</v>
      </c>
      <c r="CJ16" s="45">
        <f t="shared" si="3"/>
        <v>295</v>
      </c>
      <c r="CK16" s="59"/>
      <c r="CL16" s="60"/>
      <c r="CM16" s="396"/>
      <c r="CN16" s="60"/>
      <c r="CO16" s="41"/>
      <c r="CP16" s="391"/>
      <c r="CQ16" s="50"/>
      <c r="CR16" s="380"/>
      <c r="CS16" s="187">
        <v>171</v>
      </c>
      <c r="CT16" s="57">
        <v>395</v>
      </c>
    </row>
    <row r="17" spans="1:98" s="283" customFormat="1" ht="15.75" thickBot="1" x14ac:dyDescent="0.3">
      <c r="A17" s="244">
        <v>46004</v>
      </c>
      <c r="B17" s="357" t="s">
        <v>19</v>
      </c>
      <c r="C17" s="246"/>
      <c r="D17" s="247"/>
      <c r="E17" s="247"/>
      <c r="F17" s="248"/>
      <c r="G17" s="246"/>
      <c r="H17" s="249"/>
      <c r="I17" s="246"/>
      <c r="J17" s="247"/>
      <c r="K17" s="247"/>
      <c r="L17" s="248"/>
      <c r="M17" s="264"/>
      <c r="N17" s="284"/>
      <c r="O17" s="246"/>
      <c r="P17" s="269"/>
      <c r="Q17" s="267"/>
      <c r="R17" s="268"/>
      <c r="S17" s="285"/>
      <c r="T17" s="286"/>
      <c r="U17" s="388">
        <f t="shared" si="0"/>
        <v>0</v>
      </c>
      <c r="V17" s="31">
        <f t="shared" si="0"/>
        <v>0</v>
      </c>
      <c r="W17" s="273"/>
      <c r="X17" s="260"/>
      <c r="Y17" s="261"/>
      <c r="Z17" s="247"/>
      <c r="AA17" s="247"/>
      <c r="AB17" s="248"/>
      <c r="AC17" s="246"/>
      <c r="AD17" s="249"/>
      <c r="AE17" s="246"/>
      <c r="AF17" s="247"/>
      <c r="AG17" s="247"/>
      <c r="AH17" s="262"/>
      <c r="AI17" s="263"/>
      <c r="AJ17" s="248"/>
      <c r="AK17" s="246"/>
      <c r="AL17" s="262"/>
      <c r="AM17" s="247"/>
      <c r="AN17" s="248"/>
      <c r="AO17" s="246"/>
      <c r="AP17" s="249"/>
      <c r="AQ17" s="124">
        <f t="shared" si="1"/>
        <v>0</v>
      </c>
      <c r="AR17" s="390">
        <f t="shared" si="1"/>
        <v>0</v>
      </c>
      <c r="AS17" s="273"/>
      <c r="AT17" s="260"/>
      <c r="AU17" s="266"/>
      <c r="AV17" s="267"/>
      <c r="AW17" s="267"/>
      <c r="AX17" s="268"/>
      <c r="AY17" s="264"/>
      <c r="AZ17" s="268"/>
      <c r="BA17" s="264"/>
      <c r="BB17" s="267"/>
      <c r="BC17" s="267"/>
      <c r="BD17" s="269"/>
      <c r="BE17" s="270"/>
      <c r="BF17" s="268"/>
      <c r="BG17" s="264"/>
      <c r="BH17" s="269"/>
      <c r="BI17" s="267"/>
      <c r="BJ17" s="268"/>
      <c r="BK17" s="264"/>
      <c r="BL17" s="268"/>
      <c r="BM17" s="271">
        <f t="shared" si="4"/>
        <v>0</v>
      </c>
      <c r="BN17" s="272">
        <f t="shared" si="4"/>
        <v>0</v>
      </c>
      <c r="BO17" s="273"/>
      <c r="BP17" s="260"/>
      <c r="BQ17" s="274">
        <v>18</v>
      </c>
      <c r="BR17" s="275">
        <v>29</v>
      </c>
      <c r="BS17" s="267"/>
      <c r="BT17" s="265"/>
      <c r="BU17" s="276"/>
      <c r="BV17" s="248"/>
      <c r="BW17" s="277">
        <v>17</v>
      </c>
      <c r="BX17" s="287">
        <v>107</v>
      </c>
      <c r="BY17" s="267"/>
      <c r="BZ17" s="265"/>
      <c r="CA17" s="269"/>
      <c r="CB17" s="268"/>
      <c r="CC17" s="288">
        <v>28</v>
      </c>
      <c r="CD17" s="278">
        <v>159</v>
      </c>
      <c r="CE17" s="267"/>
      <c r="CF17" s="265"/>
      <c r="CG17" s="266"/>
      <c r="CH17" s="268"/>
      <c r="CI17" s="28">
        <f t="shared" si="3"/>
        <v>63</v>
      </c>
      <c r="CJ17" s="45">
        <f t="shared" si="3"/>
        <v>295</v>
      </c>
      <c r="CK17" s="273"/>
      <c r="CL17" s="281"/>
      <c r="CM17" s="409"/>
      <c r="CN17" s="281"/>
      <c r="CO17" s="267"/>
      <c r="CP17" s="268"/>
      <c r="CQ17" s="246"/>
      <c r="CR17" s="248"/>
      <c r="CS17" s="277">
        <v>164</v>
      </c>
      <c r="CT17" s="287">
        <v>382</v>
      </c>
    </row>
    <row r="18" spans="1:98" s="283" customFormat="1" ht="15.75" thickBot="1" x14ac:dyDescent="0.3">
      <c r="A18" s="244">
        <v>46005</v>
      </c>
      <c r="B18" s="357" t="s">
        <v>20</v>
      </c>
      <c r="C18" s="246"/>
      <c r="D18" s="247"/>
      <c r="E18" s="247"/>
      <c r="F18" s="248"/>
      <c r="G18" s="246"/>
      <c r="H18" s="249"/>
      <c r="I18" s="246"/>
      <c r="J18" s="247"/>
      <c r="K18" s="247"/>
      <c r="L18" s="248"/>
      <c r="M18" s="264"/>
      <c r="N18" s="284"/>
      <c r="O18" s="246"/>
      <c r="P18" s="269"/>
      <c r="Q18" s="267"/>
      <c r="R18" s="268"/>
      <c r="S18" s="285"/>
      <c r="T18" s="286"/>
      <c r="U18" s="388">
        <f t="shared" si="0"/>
        <v>0</v>
      </c>
      <c r="V18" s="31">
        <f t="shared" si="0"/>
        <v>0</v>
      </c>
      <c r="W18" s="273"/>
      <c r="X18" s="260"/>
      <c r="Y18" s="261"/>
      <c r="Z18" s="247"/>
      <c r="AA18" s="247"/>
      <c r="AB18" s="248"/>
      <c r="AC18" s="246"/>
      <c r="AD18" s="249"/>
      <c r="AE18" s="246"/>
      <c r="AF18" s="247"/>
      <c r="AG18" s="247"/>
      <c r="AH18" s="262"/>
      <c r="AI18" s="263"/>
      <c r="AJ18" s="248"/>
      <c r="AK18" s="246"/>
      <c r="AL18" s="262"/>
      <c r="AM18" s="247"/>
      <c r="AN18" s="248"/>
      <c r="AO18" s="246"/>
      <c r="AP18" s="249"/>
      <c r="AQ18" s="124">
        <f t="shared" si="1"/>
        <v>0</v>
      </c>
      <c r="AR18" s="390">
        <f t="shared" si="1"/>
        <v>0</v>
      </c>
      <c r="AS18" s="273"/>
      <c r="AT18" s="260"/>
      <c r="AU18" s="266"/>
      <c r="AV18" s="267"/>
      <c r="AW18" s="267"/>
      <c r="AX18" s="268"/>
      <c r="AY18" s="264"/>
      <c r="AZ18" s="268"/>
      <c r="BA18" s="264"/>
      <c r="BB18" s="267"/>
      <c r="BC18" s="267"/>
      <c r="BD18" s="269"/>
      <c r="BE18" s="270"/>
      <c r="BF18" s="268"/>
      <c r="BG18" s="264"/>
      <c r="BH18" s="269"/>
      <c r="BI18" s="267"/>
      <c r="BJ18" s="268"/>
      <c r="BK18" s="264"/>
      <c r="BL18" s="268"/>
      <c r="BM18" s="271">
        <f t="shared" si="4"/>
        <v>0</v>
      </c>
      <c r="BN18" s="272">
        <f t="shared" si="4"/>
        <v>0</v>
      </c>
      <c r="BO18" s="273"/>
      <c r="BP18" s="260"/>
      <c r="BQ18" s="274">
        <v>18</v>
      </c>
      <c r="BR18" s="275">
        <v>29</v>
      </c>
      <c r="BS18" s="267"/>
      <c r="BT18" s="265"/>
      <c r="BU18" s="276"/>
      <c r="BV18" s="248"/>
      <c r="BW18" s="277">
        <v>17</v>
      </c>
      <c r="BX18" s="287">
        <v>107</v>
      </c>
      <c r="BY18" s="267"/>
      <c r="BZ18" s="265"/>
      <c r="CA18" s="269"/>
      <c r="CB18" s="268"/>
      <c r="CC18" s="288">
        <v>28</v>
      </c>
      <c r="CD18" s="278">
        <v>159</v>
      </c>
      <c r="CE18" s="267"/>
      <c r="CF18" s="265"/>
      <c r="CG18" s="266"/>
      <c r="CH18" s="268"/>
      <c r="CI18" s="28">
        <f t="shared" si="3"/>
        <v>63</v>
      </c>
      <c r="CJ18" s="45">
        <f t="shared" si="3"/>
        <v>295</v>
      </c>
      <c r="CK18" s="273"/>
      <c r="CL18" s="281"/>
      <c r="CM18" s="409"/>
      <c r="CN18" s="281"/>
      <c r="CO18" s="267"/>
      <c r="CP18" s="268"/>
      <c r="CQ18" s="246"/>
      <c r="CR18" s="248"/>
      <c r="CS18" s="277"/>
      <c r="CT18" s="287"/>
    </row>
    <row r="19" spans="1:98" s="106" customFormat="1" ht="15.75" thickBot="1" x14ac:dyDescent="0.3">
      <c r="A19" s="48">
        <v>46006</v>
      </c>
      <c r="B19" s="49" t="s">
        <v>14</v>
      </c>
      <c r="C19" s="50"/>
      <c r="D19" s="51"/>
      <c r="E19" s="51"/>
      <c r="F19" s="380"/>
      <c r="G19" s="50"/>
      <c r="H19" s="381"/>
      <c r="I19" s="50"/>
      <c r="J19" s="51"/>
      <c r="K19" s="51"/>
      <c r="L19" s="380"/>
      <c r="M19" s="124"/>
      <c r="N19" s="382"/>
      <c r="O19" s="50"/>
      <c r="P19" s="42"/>
      <c r="Q19" s="41"/>
      <c r="R19" s="391"/>
      <c r="S19" s="397"/>
      <c r="T19" s="398"/>
      <c r="U19" s="388">
        <f t="shared" si="0"/>
        <v>0</v>
      </c>
      <c r="V19" s="31">
        <f t="shared" si="0"/>
        <v>0</v>
      </c>
      <c r="W19" s="64"/>
      <c r="X19" s="6"/>
      <c r="Y19" s="54"/>
      <c r="Z19" s="51"/>
      <c r="AA19" s="51">
        <v>180</v>
      </c>
      <c r="AB19" s="380">
        <v>351</v>
      </c>
      <c r="AC19" s="50"/>
      <c r="AD19" s="381"/>
      <c r="AE19" s="50">
        <v>419</v>
      </c>
      <c r="AF19" s="51">
        <v>2708</v>
      </c>
      <c r="AG19" s="51">
        <v>105</v>
      </c>
      <c r="AH19" s="65">
        <v>637</v>
      </c>
      <c r="AI19" s="389"/>
      <c r="AJ19" s="380"/>
      <c r="AK19" s="50">
        <v>484</v>
      </c>
      <c r="AL19" s="65">
        <v>1282</v>
      </c>
      <c r="AM19" s="51">
        <v>185</v>
      </c>
      <c r="AN19" s="380">
        <v>403</v>
      </c>
      <c r="AO19" s="50"/>
      <c r="AP19" s="381"/>
      <c r="AQ19" s="124">
        <f t="shared" si="1"/>
        <v>1373</v>
      </c>
      <c r="AR19" s="390">
        <f t="shared" si="1"/>
        <v>5381</v>
      </c>
      <c r="AS19" s="64"/>
      <c r="AT19" s="6"/>
      <c r="AU19" s="40">
        <v>0</v>
      </c>
      <c r="AV19" s="41">
        <v>0</v>
      </c>
      <c r="AW19" s="41"/>
      <c r="AX19" s="391"/>
      <c r="AY19" s="124"/>
      <c r="AZ19" s="391"/>
      <c r="BA19" s="124">
        <v>101</v>
      </c>
      <c r="BB19" s="41">
        <v>762</v>
      </c>
      <c r="BC19" s="41"/>
      <c r="BD19" s="42"/>
      <c r="BE19" s="392"/>
      <c r="BF19" s="391"/>
      <c r="BG19" s="124">
        <v>238</v>
      </c>
      <c r="BH19" s="42">
        <v>969</v>
      </c>
      <c r="BI19" s="41"/>
      <c r="BJ19" s="391"/>
      <c r="BK19" s="124">
        <v>1</v>
      </c>
      <c r="BL19" s="391">
        <v>2</v>
      </c>
      <c r="BM19" s="393">
        <f t="shared" si="4"/>
        <v>340</v>
      </c>
      <c r="BN19" s="394">
        <f t="shared" si="4"/>
        <v>1733</v>
      </c>
      <c r="BO19" s="64"/>
      <c r="BP19" s="6"/>
      <c r="BQ19" s="56">
        <v>18</v>
      </c>
      <c r="BR19" s="57">
        <v>29</v>
      </c>
      <c r="BS19" s="41">
        <v>16</v>
      </c>
      <c r="BT19" s="390">
        <v>28</v>
      </c>
      <c r="BU19" s="55"/>
      <c r="BV19" s="380"/>
      <c r="BW19" s="187">
        <v>17</v>
      </c>
      <c r="BX19" s="67">
        <v>107</v>
      </c>
      <c r="BY19" s="41"/>
      <c r="BZ19" s="390"/>
      <c r="CA19" s="42"/>
      <c r="CB19" s="391"/>
      <c r="CC19" s="190">
        <v>28</v>
      </c>
      <c r="CD19" s="58">
        <v>159</v>
      </c>
      <c r="CE19" s="41"/>
      <c r="CF19" s="390"/>
      <c r="CG19" s="40"/>
      <c r="CH19" s="391"/>
      <c r="CI19" s="28">
        <f t="shared" si="3"/>
        <v>79</v>
      </c>
      <c r="CJ19" s="45">
        <f t="shared" si="3"/>
        <v>323</v>
      </c>
      <c r="CK19" s="64"/>
      <c r="CL19" s="60"/>
      <c r="CM19" s="396"/>
      <c r="CN19" s="60"/>
      <c r="CO19" s="41"/>
      <c r="CP19" s="391"/>
      <c r="CQ19" s="50"/>
      <c r="CR19" s="380"/>
      <c r="CS19" s="187"/>
      <c r="CT19" s="67"/>
    </row>
    <row r="20" spans="1:98" s="106" customFormat="1" ht="15.75" thickBot="1" x14ac:dyDescent="0.3">
      <c r="A20" s="48">
        <v>46007</v>
      </c>
      <c r="B20" s="49" t="s">
        <v>15</v>
      </c>
      <c r="C20" s="50">
        <v>210</v>
      </c>
      <c r="D20" s="51">
        <v>430</v>
      </c>
      <c r="E20" s="51"/>
      <c r="F20" s="380"/>
      <c r="G20" s="50"/>
      <c r="H20" s="381"/>
      <c r="I20" s="50"/>
      <c r="J20" s="51"/>
      <c r="K20" s="51"/>
      <c r="L20" s="380"/>
      <c r="M20" s="124"/>
      <c r="N20" s="382"/>
      <c r="O20" s="50"/>
      <c r="P20" s="42"/>
      <c r="Q20" s="41"/>
      <c r="R20" s="391"/>
      <c r="S20" s="397"/>
      <c r="T20" s="398"/>
      <c r="U20" s="388">
        <f t="shared" si="0"/>
        <v>210</v>
      </c>
      <c r="V20" s="31">
        <f t="shared" si="0"/>
        <v>430</v>
      </c>
      <c r="W20" s="64"/>
      <c r="X20" s="6"/>
      <c r="Y20" s="54"/>
      <c r="Z20" s="51"/>
      <c r="AA20" s="51"/>
      <c r="AB20" s="380"/>
      <c r="AC20" s="50"/>
      <c r="AD20" s="381"/>
      <c r="AE20" s="50">
        <v>375</v>
      </c>
      <c r="AF20" s="51">
        <v>2443</v>
      </c>
      <c r="AG20" s="51"/>
      <c r="AH20" s="65"/>
      <c r="AI20" s="389"/>
      <c r="AJ20" s="380"/>
      <c r="AK20" s="50"/>
      <c r="AL20" s="65"/>
      <c r="AM20" s="51"/>
      <c r="AN20" s="380"/>
      <c r="AO20" s="50"/>
      <c r="AP20" s="381"/>
      <c r="AQ20" s="124">
        <f t="shared" si="1"/>
        <v>375</v>
      </c>
      <c r="AR20" s="390">
        <f t="shared" si="1"/>
        <v>2443</v>
      </c>
      <c r="AS20" s="64"/>
      <c r="AT20" s="6"/>
      <c r="AU20" s="40">
        <v>0</v>
      </c>
      <c r="AV20" s="41">
        <v>0</v>
      </c>
      <c r="AW20" s="41"/>
      <c r="AX20" s="391"/>
      <c r="AY20" s="124"/>
      <c r="AZ20" s="391"/>
      <c r="BA20" s="124"/>
      <c r="BB20" s="41"/>
      <c r="BC20" s="41">
        <v>11</v>
      </c>
      <c r="BD20" s="42">
        <v>61</v>
      </c>
      <c r="BE20" s="392"/>
      <c r="BF20" s="391"/>
      <c r="BG20" s="124">
        <v>222</v>
      </c>
      <c r="BH20" s="42">
        <v>912</v>
      </c>
      <c r="BI20" s="41">
        <v>27</v>
      </c>
      <c r="BJ20" s="391">
        <v>119</v>
      </c>
      <c r="BK20" s="124">
        <v>1</v>
      </c>
      <c r="BL20" s="391">
        <v>12</v>
      </c>
      <c r="BM20" s="393">
        <f t="shared" si="4"/>
        <v>261</v>
      </c>
      <c r="BN20" s="394">
        <f t="shared" si="4"/>
        <v>1104</v>
      </c>
      <c r="BO20" s="64"/>
      <c r="BP20" s="6"/>
      <c r="BQ20" s="56">
        <v>34</v>
      </c>
      <c r="BR20" s="57">
        <v>57</v>
      </c>
      <c r="BS20" s="41"/>
      <c r="BT20" s="390"/>
      <c r="BU20" s="55"/>
      <c r="BV20" s="380"/>
      <c r="BW20" s="187">
        <v>17</v>
      </c>
      <c r="BX20" s="67">
        <v>107</v>
      </c>
      <c r="BY20" s="41"/>
      <c r="BZ20" s="390"/>
      <c r="CA20" s="42"/>
      <c r="CB20" s="391"/>
      <c r="CC20" s="190">
        <v>21</v>
      </c>
      <c r="CD20" s="58">
        <v>132</v>
      </c>
      <c r="CE20" s="41"/>
      <c r="CF20" s="390"/>
      <c r="CG20" s="40"/>
      <c r="CH20" s="391"/>
      <c r="CI20" s="28">
        <f t="shared" si="3"/>
        <v>72</v>
      </c>
      <c r="CJ20" s="45">
        <f t="shared" si="3"/>
        <v>296</v>
      </c>
      <c r="CK20" s="64"/>
      <c r="CL20" s="60"/>
      <c r="CM20" s="396"/>
      <c r="CN20" s="60"/>
      <c r="CO20" s="41"/>
      <c r="CP20" s="391"/>
      <c r="CQ20" s="50"/>
      <c r="CR20" s="380"/>
      <c r="CS20" s="187"/>
      <c r="CT20" s="67"/>
    </row>
    <row r="21" spans="1:98" s="106" customFormat="1" ht="15.75" thickBot="1" x14ac:dyDescent="0.3">
      <c r="A21" s="48">
        <v>46008</v>
      </c>
      <c r="B21" s="49" t="s">
        <v>16</v>
      </c>
      <c r="C21" s="50"/>
      <c r="D21" s="51"/>
      <c r="E21" s="51"/>
      <c r="F21" s="380"/>
      <c r="G21" s="50"/>
      <c r="H21" s="381"/>
      <c r="I21" s="50"/>
      <c r="J21" s="51"/>
      <c r="K21" s="51">
        <v>17</v>
      </c>
      <c r="L21" s="380">
        <v>79</v>
      </c>
      <c r="M21" s="124"/>
      <c r="N21" s="382"/>
      <c r="O21" s="50"/>
      <c r="P21" s="42"/>
      <c r="Q21" s="41"/>
      <c r="R21" s="391"/>
      <c r="S21" s="397"/>
      <c r="T21" s="398"/>
      <c r="U21" s="388">
        <f t="shared" ref="U21:V36" si="5">C21+E21+G21+I21+K21+M21+O21+Q21+S21</f>
        <v>17</v>
      </c>
      <c r="V21" s="31">
        <f t="shared" si="5"/>
        <v>79</v>
      </c>
      <c r="W21" s="64"/>
      <c r="X21" s="6"/>
      <c r="Y21" s="54"/>
      <c r="Z21" s="51"/>
      <c r="AA21" s="51"/>
      <c r="AB21" s="380"/>
      <c r="AC21" s="50"/>
      <c r="AD21" s="381"/>
      <c r="AE21" s="50"/>
      <c r="AF21" s="51"/>
      <c r="AG21" s="51"/>
      <c r="AH21" s="65"/>
      <c r="AI21" s="389"/>
      <c r="AJ21" s="380"/>
      <c r="AK21" s="50"/>
      <c r="AL21" s="65"/>
      <c r="AM21" s="51"/>
      <c r="AN21" s="380"/>
      <c r="AO21" s="50"/>
      <c r="AP21" s="381"/>
      <c r="AQ21" s="124">
        <f t="shared" ref="AQ21:AQ36" si="6">Y21+AA21+AC21+AE21+AG21+AI21+AK21+AM21+AO21</f>
        <v>0</v>
      </c>
      <c r="AR21" s="390">
        <f t="shared" ref="AR21:AR36" si="7">Z21+AB21+AD21+AF21+AH21+AJ21+AL21+AN21+AP21</f>
        <v>0</v>
      </c>
      <c r="AS21" s="64"/>
      <c r="AT21" s="6"/>
      <c r="AU21" s="40">
        <v>0</v>
      </c>
      <c r="AV21" s="41">
        <v>0</v>
      </c>
      <c r="AW21" s="41"/>
      <c r="AX21" s="391"/>
      <c r="AY21" s="124">
        <v>1</v>
      </c>
      <c r="AZ21" s="391">
        <v>2</v>
      </c>
      <c r="BA21" s="124">
        <v>112</v>
      </c>
      <c r="BB21" s="41">
        <v>823</v>
      </c>
      <c r="BC21" s="41"/>
      <c r="BD21" s="42"/>
      <c r="BE21" s="392"/>
      <c r="BF21" s="391"/>
      <c r="BG21" s="124">
        <v>230</v>
      </c>
      <c r="BH21" s="42">
        <v>989</v>
      </c>
      <c r="BI21" s="41"/>
      <c r="BJ21" s="391"/>
      <c r="BK21" s="124">
        <v>1</v>
      </c>
      <c r="BL21" s="391">
        <v>15</v>
      </c>
      <c r="BM21" s="393">
        <f t="shared" si="4"/>
        <v>344</v>
      </c>
      <c r="BN21" s="394">
        <f t="shared" si="4"/>
        <v>1829</v>
      </c>
      <c r="BO21" s="64"/>
      <c r="BP21" s="6"/>
      <c r="BQ21" s="56">
        <v>34</v>
      </c>
      <c r="BR21" s="57">
        <v>57</v>
      </c>
      <c r="BS21" s="41"/>
      <c r="BT21" s="390"/>
      <c r="BU21" s="55"/>
      <c r="BV21" s="380"/>
      <c r="BW21" s="187">
        <v>17</v>
      </c>
      <c r="BX21" s="67">
        <v>107</v>
      </c>
      <c r="BY21" s="41"/>
      <c r="BZ21" s="390"/>
      <c r="CA21" s="42"/>
      <c r="CB21" s="391"/>
      <c r="CC21" s="190">
        <v>21</v>
      </c>
      <c r="CD21" s="58">
        <v>132</v>
      </c>
      <c r="CE21" s="41"/>
      <c r="CF21" s="390"/>
      <c r="CG21" s="40"/>
      <c r="CH21" s="391"/>
      <c r="CI21" s="28">
        <f t="shared" ref="CI21:CJ36" si="8">BQ21+BS21+BU21+BW21+BY21+CA21+CC21+CE21+CG21</f>
        <v>72</v>
      </c>
      <c r="CJ21" s="45">
        <f t="shared" si="8"/>
        <v>296</v>
      </c>
      <c r="CK21" s="64"/>
      <c r="CL21" s="60"/>
      <c r="CM21" s="396"/>
      <c r="CN21" s="60"/>
      <c r="CO21" s="41"/>
      <c r="CP21" s="391"/>
      <c r="CQ21" s="50"/>
      <c r="CR21" s="380"/>
      <c r="CS21" s="187"/>
      <c r="CT21" s="57"/>
    </row>
    <row r="22" spans="1:98" s="306" customFormat="1" ht="15.75" thickBot="1" x14ac:dyDescent="0.3">
      <c r="A22" s="290">
        <v>46009</v>
      </c>
      <c r="B22" s="366" t="s">
        <v>17</v>
      </c>
      <c r="C22" s="99">
        <v>20</v>
      </c>
      <c r="D22" s="74">
        <v>32</v>
      </c>
      <c r="E22" s="74"/>
      <c r="F22" s="292"/>
      <c r="G22" s="99"/>
      <c r="H22" s="293"/>
      <c r="I22" s="99">
        <v>24</v>
      </c>
      <c r="J22" s="74">
        <v>136</v>
      </c>
      <c r="K22" s="74"/>
      <c r="L22" s="292"/>
      <c r="M22" s="125"/>
      <c r="N22" s="294"/>
      <c r="O22" s="99">
        <v>58</v>
      </c>
      <c r="P22" s="78">
        <v>138</v>
      </c>
      <c r="Q22" s="77"/>
      <c r="R22" s="302"/>
      <c r="S22" s="307"/>
      <c r="T22" s="308"/>
      <c r="U22" s="388">
        <f t="shared" si="5"/>
        <v>102</v>
      </c>
      <c r="V22" s="31">
        <f t="shared" si="5"/>
        <v>306</v>
      </c>
      <c r="W22" s="79"/>
      <c r="X22" s="300"/>
      <c r="Y22" s="73">
        <v>187</v>
      </c>
      <c r="Z22" s="74">
        <v>375</v>
      </c>
      <c r="AA22" s="74"/>
      <c r="AB22" s="292"/>
      <c r="AC22" s="99"/>
      <c r="AD22" s="293"/>
      <c r="AE22" s="99">
        <v>370</v>
      </c>
      <c r="AF22" s="74">
        <v>2408</v>
      </c>
      <c r="AG22" s="74"/>
      <c r="AH22" s="75"/>
      <c r="AI22" s="301"/>
      <c r="AJ22" s="292"/>
      <c r="AK22" s="99">
        <v>443</v>
      </c>
      <c r="AL22" s="75">
        <v>1166</v>
      </c>
      <c r="AM22" s="74"/>
      <c r="AN22" s="292"/>
      <c r="AO22" s="99"/>
      <c r="AP22" s="293"/>
      <c r="AQ22" s="125">
        <f t="shared" si="6"/>
        <v>1000</v>
      </c>
      <c r="AR22" s="210">
        <f t="shared" si="7"/>
        <v>3949</v>
      </c>
      <c r="AS22" s="79"/>
      <c r="AT22" s="300"/>
      <c r="AU22" s="76">
        <v>0</v>
      </c>
      <c r="AV22" s="77">
        <v>0</v>
      </c>
      <c r="AW22" s="77"/>
      <c r="AX22" s="302"/>
      <c r="AY22" s="125"/>
      <c r="AZ22" s="302"/>
      <c r="BA22" s="125">
        <v>112</v>
      </c>
      <c r="BB22" s="77">
        <v>823</v>
      </c>
      <c r="BC22" s="77"/>
      <c r="BD22" s="78"/>
      <c r="BE22" s="303"/>
      <c r="BF22" s="302"/>
      <c r="BG22" s="125">
        <v>230</v>
      </c>
      <c r="BH22" s="78">
        <v>989</v>
      </c>
      <c r="BI22" s="77"/>
      <c r="BJ22" s="302"/>
      <c r="BK22" s="125"/>
      <c r="BL22" s="302"/>
      <c r="BM22" s="69">
        <f t="shared" si="4"/>
        <v>342</v>
      </c>
      <c r="BN22" s="209">
        <f t="shared" si="4"/>
        <v>1812</v>
      </c>
      <c r="BO22" s="79"/>
      <c r="BP22" s="300"/>
      <c r="BQ22" s="80">
        <v>34</v>
      </c>
      <c r="BR22" s="81">
        <v>57</v>
      </c>
      <c r="BS22" s="77"/>
      <c r="BT22" s="210"/>
      <c r="BU22" s="100"/>
      <c r="BV22" s="292"/>
      <c r="BW22" s="188">
        <v>17</v>
      </c>
      <c r="BX22" s="101">
        <v>107</v>
      </c>
      <c r="BY22" s="77"/>
      <c r="BZ22" s="210"/>
      <c r="CA22" s="78"/>
      <c r="CB22" s="302"/>
      <c r="CC22" s="192">
        <v>6</v>
      </c>
      <c r="CD22" s="82">
        <v>70</v>
      </c>
      <c r="CE22" s="77"/>
      <c r="CF22" s="210"/>
      <c r="CG22" s="76"/>
      <c r="CH22" s="302"/>
      <c r="CI22" s="28">
        <f t="shared" si="8"/>
        <v>57</v>
      </c>
      <c r="CJ22" s="45">
        <f t="shared" si="8"/>
        <v>234</v>
      </c>
      <c r="CK22" s="79"/>
      <c r="CL22" s="304"/>
      <c r="CM22" s="379"/>
      <c r="CN22" s="304"/>
      <c r="CO22" s="77"/>
      <c r="CP22" s="302"/>
      <c r="CQ22" s="99"/>
      <c r="CR22" s="292"/>
      <c r="CS22" s="188">
        <v>104</v>
      </c>
      <c r="CT22" s="81">
        <v>239</v>
      </c>
    </row>
    <row r="23" spans="1:98" s="106" customFormat="1" ht="15.75" thickBot="1" x14ac:dyDescent="0.3">
      <c r="A23" s="48">
        <v>46010</v>
      </c>
      <c r="B23" s="49" t="s">
        <v>18</v>
      </c>
      <c r="C23" s="50"/>
      <c r="D23" s="51"/>
      <c r="E23" s="51">
        <v>19</v>
      </c>
      <c r="F23" s="380">
        <v>37</v>
      </c>
      <c r="G23" s="50"/>
      <c r="H23" s="381"/>
      <c r="I23" s="50"/>
      <c r="J23" s="51"/>
      <c r="K23" s="51"/>
      <c r="L23" s="380"/>
      <c r="M23" s="124"/>
      <c r="N23" s="382"/>
      <c r="O23" s="50"/>
      <c r="P23" s="42"/>
      <c r="Q23" s="41"/>
      <c r="R23" s="391"/>
      <c r="S23" s="397"/>
      <c r="T23" s="398"/>
      <c r="U23" s="388">
        <f t="shared" si="5"/>
        <v>19</v>
      </c>
      <c r="V23" s="31">
        <f t="shared" si="5"/>
        <v>37</v>
      </c>
      <c r="W23" s="53"/>
      <c r="X23" s="6"/>
      <c r="Y23" s="54"/>
      <c r="Z23" s="51"/>
      <c r="AA23" s="51"/>
      <c r="AB23" s="380"/>
      <c r="AC23" s="50"/>
      <c r="AD23" s="381"/>
      <c r="AE23" s="50">
        <v>312</v>
      </c>
      <c r="AF23" s="51">
        <v>2143</v>
      </c>
      <c r="AG23" s="51"/>
      <c r="AH23" s="65"/>
      <c r="AI23" s="389"/>
      <c r="AJ23" s="380"/>
      <c r="AK23" s="50">
        <v>443</v>
      </c>
      <c r="AL23" s="65">
        <v>1166</v>
      </c>
      <c r="AM23" s="51"/>
      <c r="AN23" s="380"/>
      <c r="AO23" s="50"/>
      <c r="AP23" s="381"/>
      <c r="AQ23" s="124">
        <f t="shared" si="6"/>
        <v>755</v>
      </c>
      <c r="AR23" s="390">
        <f t="shared" si="7"/>
        <v>3309</v>
      </c>
      <c r="AS23" s="53"/>
      <c r="AT23" s="6"/>
      <c r="AU23" s="40">
        <v>0</v>
      </c>
      <c r="AV23" s="41">
        <v>0</v>
      </c>
      <c r="AW23" s="41"/>
      <c r="AX23" s="391"/>
      <c r="AY23" s="124">
        <v>1</v>
      </c>
      <c r="AZ23" s="391">
        <v>1</v>
      </c>
      <c r="BA23" s="124">
        <v>90</v>
      </c>
      <c r="BB23" s="41">
        <v>642</v>
      </c>
      <c r="BC23" s="41"/>
      <c r="BD23" s="42"/>
      <c r="BE23" s="392"/>
      <c r="BF23" s="391"/>
      <c r="BG23" s="124">
        <v>220</v>
      </c>
      <c r="BH23" s="42">
        <v>974</v>
      </c>
      <c r="BI23" s="41"/>
      <c r="BJ23" s="391"/>
      <c r="BK23" s="124">
        <v>1</v>
      </c>
      <c r="BL23" s="391">
        <v>1</v>
      </c>
      <c r="BM23" s="393">
        <f t="shared" si="4"/>
        <v>312</v>
      </c>
      <c r="BN23" s="394">
        <f t="shared" si="4"/>
        <v>1618</v>
      </c>
      <c r="BO23" s="64"/>
      <c r="BP23" s="6"/>
      <c r="BQ23" s="56">
        <v>30</v>
      </c>
      <c r="BR23" s="57">
        <v>51</v>
      </c>
      <c r="BS23" s="41"/>
      <c r="BT23" s="390"/>
      <c r="BU23" s="55"/>
      <c r="BV23" s="380"/>
      <c r="BW23" s="187">
        <v>17</v>
      </c>
      <c r="BX23" s="67">
        <v>107</v>
      </c>
      <c r="BY23" s="41"/>
      <c r="BZ23" s="390"/>
      <c r="CA23" s="42"/>
      <c r="CB23" s="391"/>
      <c r="CC23" s="190">
        <v>0</v>
      </c>
      <c r="CD23" s="58">
        <v>0</v>
      </c>
      <c r="CE23" s="41"/>
      <c r="CF23" s="390"/>
      <c r="CG23" s="40"/>
      <c r="CH23" s="391"/>
      <c r="CI23" s="28">
        <f t="shared" si="8"/>
        <v>47</v>
      </c>
      <c r="CJ23" s="45">
        <f t="shared" si="8"/>
        <v>158</v>
      </c>
      <c r="CK23" s="59"/>
      <c r="CL23" s="60"/>
      <c r="CM23" s="396"/>
      <c r="CN23" s="60"/>
      <c r="CO23" s="41"/>
      <c r="CP23" s="391"/>
      <c r="CQ23" s="50"/>
      <c r="CR23" s="380"/>
      <c r="CS23" s="187"/>
      <c r="CT23" s="57"/>
    </row>
    <row r="24" spans="1:98" s="283" customFormat="1" ht="15.75" thickBot="1" x14ac:dyDescent="0.3">
      <c r="A24" s="244">
        <v>46011</v>
      </c>
      <c r="B24" s="357" t="s">
        <v>19</v>
      </c>
      <c r="C24" s="246"/>
      <c r="D24" s="247"/>
      <c r="E24" s="247"/>
      <c r="F24" s="248"/>
      <c r="G24" s="246"/>
      <c r="H24" s="249"/>
      <c r="I24" s="246"/>
      <c r="J24" s="247"/>
      <c r="K24" s="247"/>
      <c r="L24" s="248"/>
      <c r="M24" s="264"/>
      <c r="N24" s="284"/>
      <c r="O24" s="246"/>
      <c r="P24" s="269"/>
      <c r="Q24" s="267"/>
      <c r="R24" s="268"/>
      <c r="S24" s="285"/>
      <c r="T24" s="286"/>
      <c r="U24" s="388">
        <f t="shared" si="5"/>
        <v>0</v>
      </c>
      <c r="V24" s="31">
        <f t="shared" si="5"/>
        <v>0</v>
      </c>
      <c r="W24" s="273"/>
      <c r="X24" s="260"/>
      <c r="Y24" s="261"/>
      <c r="Z24" s="247"/>
      <c r="AA24" s="247"/>
      <c r="AB24" s="248"/>
      <c r="AC24" s="246"/>
      <c r="AD24" s="249"/>
      <c r="AE24" s="246"/>
      <c r="AF24" s="247"/>
      <c r="AG24" s="247"/>
      <c r="AH24" s="262"/>
      <c r="AI24" s="263"/>
      <c r="AJ24" s="248"/>
      <c r="AK24" s="246"/>
      <c r="AL24" s="262"/>
      <c r="AM24" s="247"/>
      <c r="AN24" s="248"/>
      <c r="AO24" s="246"/>
      <c r="AP24" s="249"/>
      <c r="AQ24" s="124">
        <f t="shared" si="6"/>
        <v>0</v>
      </c>
      <c r="AR24" s="390">
        <f t="shared" si="7"/>
        <v>0</v>
      </c>
      <c r="AS24" s="273"/>
      <c r="AT24" s="260"/>
      <c r="AU24" s="266"/>
      <c r="AV24" s="267"/>
      <c r="AW24" s="267"/>
      <c r="AX24" s="268"/>
      <c r="AY24" s="264"/>
      <c r="AZ24" s="268"/>
      <c r="BA24" s="264"/>
      <c r="BB24" s="267"/>
      <c r="BC24" s="267"/>
      <c r="BD24" s="269"/>
      <c r="BE24" s="270"/>
      <c r="BF24" s="268"/>
      <c r="BG24" s="264"/>
      <c r="BH24" s="269"/>
      <c r="BI24" s="267"/>
      <c r="BJ24" s="268"/>
      <c r="BK24" s="264"/>
      <c r="BL24" s="268"/>
      <c r="BM24" s="271">
        <f t="shared" si="4"/>
        <v>0</v>
      </c>
      <c r="BN24" s="272">
        <f t="shared" si="4"/>
        <v>0</v>
      </c>
      <c r="BO24" s="273"/>
      <c r="BP24" s="260"/>
      <c r="BQ24" s="274">
        <v>30</v>
      </c>
      <c r="BR24" s="275">
        <v>51</v>
      </c>
      <c r="BS24" s="267"/>
      <c r="BT24" s="265"/>
      <c r="BU24" s="276"/>
      <c r="BV24" s="248"/>
      <c r="BW24" s="277">
        <v>17</v>
      </c>
      <c r="BX24" s="287">
        <v>107</v>
      </c>
      <c r="BY24" s="267"/>
      <c r="BZ24" s="265"/>
      <c r="CA24" s="269"/>
      <c r="CB24" s="268"/>
      <c r="CC24" s="288">
        <v>0</v>
      </c>
      <c r="CD24" s="278">
        <v>0</v>
      </c>
      <c r="CE24" s="267"/>
      <c r="CF24" s="265"/>
      <c r="CG24" s="266"/>
      <c r="CH24" s="268"/>
      <c r="CI24" s="28">
        <f t="shared" si="8"/>
        <v>47</v>
      </c>
      <c r="CJ24" s="45">
        <f t="shared" si="8"/>
        <v>158</v>
      </c>
      <c r="CK24" s="273"/>
      <c r="CL24" s="281"/>
      <c r="CM24" s="409"/>
      <c r="CN24" s="281"/>
      <c r="CO24" s="267"/>
      <c r="CP24" s="268"/>
      <c r="CQ24" s="246"/>
      <c r="CR24" s="248"/>
      <c r="CS24" s="277"/>
      <c r="CT24" s="287"/>
    </row>
    <row r="25" spans="1:98" s="283" customFormat="1" ht="15.75" thickBot="1" x14ac:dyDescent="0.3">
      <c r="A25" s="244">
        <v>46012</v>
      </c>
      <c r="B25" s="357" t="s">
        <v>20</v>
      </c>
      <c r="C25" s="246"/>
      <c r="D25" s="410"/>
      <c r="E25" s="247"/>
      <c r="F25" s="248"/>
      <c r="G25" s="246"/>
      <c r="H25" s="249"/>
      <c r="I25" s="246"/>
      <c r="J25" s="410"/>
      <c r="K25" s="247"/>
      <c r="L25" s="248"/>
      <c r="M25" s="264"/>
      <c r="N25" s="284"/>
      <c r="O25" s="264"/>
      <c r="P25" s="269"/>
      <c r="Q25" s="267"/>
      <c r="R25" s="268"/>
      <c r="S25" s="285"/>
      <c r="T25" s="286"/>
      <c r="U25" s="388">
        <f t="shared" si="5"/>
        <v>0</v>
      </c>
      <c r="V25" s="31">
        <f t="shared" si="5"/>
        <v>0</v>
      </c>
      <c r="W25" s="273"/>
      <c r="X25" s="260"/>
      <c r="Y25" s="261"/>
      <c r="Z25" s="247"/>
      <c r="AA25" s="247"/>
      <c r="AB25" s="248"/>
      <c r="AC25" s="246"/>
      <c r="AD25" s="249"/>
      <c r="AE25" s="246"/>
      <c r="AF25" s="247"/>
      <c r="AG25" s="247"/>
      <c r="AH25" s="262"/>
      <c r="AI25" s="263"/>
      <c r="AJ25" s="248"/>
      <c r="AK25" s="246"/>
      <c r="AL25" s="262"/>
      <c r="AM25" s="247"/>
      <c r="AN25" s="248"/>
      <c r="AO25" s="246"/>
      <c r="AP25" s="249"/>
      <c r="AQ25" s="124">
        <f t="shared" si="6"/>
        <v>0</v>
      </c>
      <c r="AR25" s="390">
        <f t="shared" si="7"/>
        <v>0</v>
      </c>
      <c r="AS25" s="273"/>
      <c r="AT25" s="260"/>
      <c r="AU25" s="266"/>
      <c r="AV25" s="267"/>
      <c r="AW25" s="267"/>
      <c r="AX25" s="268"/>
      <c r="AY25" s="264"/>
      <c r="AZ25" s="268"/>
      <c r="BA25" s="264"/>
      <c r="BB25" s="267"/>
      <c r="BC25" s="267"/>
      <c r="BD25" s="269"/>
      <c r="BE25" s="270"/>
      <c r="BF25" s="268"/>
      <c r="BG25" s="264"/>
      <c r="BH25" s="269"/>
      <c r="BI25" s="267"/>
      <c r="BJ25" s="268"/>
      <c r="BK25" s="264"/>
      <c r="BL25" s="268"/>
      <c r="BM25" s="271">
        <f t="shared" si="4"/>
        <v>0</v>
      </c>
      <c r="BN25" s="272">
        <f t="shared" si="4"/>
        <v>0</v>
      </c>
      <c r="BO25" s="273"/>
      <c r="BP25" s="260"/>
      <c r="BQ25" s="274">
        <v>30</v>
      </c>
      <c r="BR25" s="275">
        <v>51</v>
      </c>
      <c r="BS25" s="267"/>
      <c r="BT25" s="265"/>
      <c r="BU25" s="276"/>
      <c r="BV25" s="248"/>
      <c r="BW25" s="277">
        <v>17</v>
      </c>
      <c r="BX25" s="287">
        <v>107</v>
      </c>
      <c r="BY25" s="267">
        <v>19</v>
      </c>
      <c r="BZ25" s="265">
        <v>101</v>
      </c>
      <c r="CA25" s="269"/>
      <c r="CB25" s="268"/>
      <c r="CC25" s="288">
        <v>0</v>
      </c>
      <c r="CD25" s="278">
        <v>0</v>
      </c>
      <c r="CE25" s="267">
        <v>91</v>
      </c>
      <c r="CF25" s="265">
        <v>291</v>
      </c>
      <c r="CG25" s="266"/>
      <c r="CH25" s="268"/>
      <c r="CI25" s="28">
        <f t="shared" si="8"/>
        <v>157</v>
      </c>
      <c r="CJ25" s="45">
        <f t="shared" si="8"/>
        <v>550</v>
      </c>
      <c r="CK25" s="273"/>
      <c r="CL25" s="281"/>
      <c r="CM25" s="409"/>
      <c r="CN25" s="281"/>
      <c r="CO25" s="267"/>
      <c r="CP25" s="268"/>
      <c r="CQ25" s="246"/>
      <c r="CR25" s="248"/>
      <c r="CS25" s="277"/>
      <c r="CT25" s="287"/>
    </row>
    <row r="26" spans="1:98" s="106" customFormat="1" ht="15.75" thickBot="1" x14ac:dyDescent="0.3">
      <c r="A26" s="48">
        <v>46013</v>
      </c>
      <c r="B26" s="49" t="s">
        <v>14</v>
      </c>
      <c r="C26" s="55">
        <v>39</v>
      </c>
      <c r="D26" s="41">
        <v>69</v>
      </c>
      <c r="E26" s="50"/>
      <c r="F26" s="380"/>
      <c r="G26" s="50"/>
      <c r="H26" s="381"/>
      <c r="I26" s="55">
        <v>2</v>
      </c>
      <c r="J26" s="41">
        <v>8</v>
      </c>
      <c r="K26" s="50"/>
      <c r="L26" s="380"/>
      <c r="M26" s="124"/>
      <c r="N26" s="382"/>
      <c r="O26" s="50">
        <v>25</v>
      </c>
      <c r="P26" s="42">
        <v>66</v>
      </c>
      <c r="Q26" s="41"/>
      <c r="R26" s="391"/>
      <c r="S26" s="397"/>
      <c r="T26" s="398"/>
      <c r="U26" s="388">
        <f t="shared" si="5"/>
        <v>66</v>
      </c>
      <c r="V26" s="31">
        <f t="shared" si="5"/>
        <v>143</v>
      </c>
      <c r="W26" s="64"/>
      <c r="X26" s="6"/>
      <c r="Y26" s="54">
        <v>264</v>
      </c>
      <c r="Z26" s="51">
        <v>517</v>
      </c>
      <c r="AA26" s="51">
        <v>128</v>
      </c>
      <c r="AB26" s="380">
        <v>242</v>
      </c>
      <c r="AC26" s="50"/>
      <c r="AD26" s="381"/>
      <c r="AE26" s="50"/>
      <c r="AF26" s="51"/>
      <c r="AG26" s="51">
        <v>85</v>
      </c>
      <c r="AH26" s="65">
        <v>491</v>
      </c>
      <c r="AI26" s="389"/>
      <c r="AJ26" s="380"/>
      <c r="AK26" s="50"/>
      <c r="AL26" s="65"/>
      <c r="AM26" s="51">
        <v>275</v>
      </c>
      <c r="AN26" s="380">
        <v>928</v>
      </c>
      <c r="AO26" s="50"/>
      <c r="AP26" s="381"/>
      <c r="AQ26" s="124">
        <f t="shared" si="6"/>
        <v>752</v>
      </c>
      <c r="AR26" s="390">
        <f t="shared" si="7"/>
        <v>2178</v>
      </c>
      <c r="AS26" s="64"/>
      <c r="AT26" s="6"/>
      <c r="AU26" s="40">
        <v>0</v>
      </c>
      <c r="AV26" s="41">
        <v>0</v>
      </c>
      <c r="AW26" s="41"/>
      <c r="AX26" s="391"/>
      <c r="AY26" s="124"/>
      <c r="AZ26" s="391"/>
      <c r="BA26" s="124">
        <v>83</v>
      </c>
      <c r="BB26" s="41">
        <v>599</v>
      </c>
      <c r="BC26" s="41"/>
      <c r="BD26" s="42"/>
      <c r="BE26" s="392"/>
      <c r="BF26" s="391"/>
      <c r="BG26" s="124">
        <v>220</v>
      </c>
      <c r="BH26" s="42">
        <v>974</v>
      </c>
      <c r="BI26" s="41"/>
      <c r="BJ26" s="391"/>
      <c r="BK26" s="124">
        <v>1</v>
      </c>
      <c r="BL26" s="391">
        <v>1</v>
      </c>
      <c r="BM26" s="393">
        <f t="shared" si="4"/>
        <v>304</v>
      </c>
      <c r="BN26" s="394">
        <f t="shared" si="4"/>
        <v>1574</v>
      </c>
      <c r="BO26" s="64"/>
      <c r="BP26" s="6"/>
      <c r="BQ26" s="56">
        <v>21</v>
      </c>
      <c r="BR26" s="57">
        <v>34</v>
      </c>
      <c r="BS26" s="41"/>
      <c r="BT26" s="390"/>
      <c r="BU26" s="55"/>
      <c r="BV26" s="380"/>
      <c r="BW26" s="187">
        <v>36</v>
      </c>
      <c r="BX26" s="67">
        <v>208</v>
      </c>
      <c r="BY26" s="41"/>
      <c r="BZ26" s="390"/>
      <c r="CA26" s="42"/>
      <c r="CB26" s="391"/>
      <c r="CC26" s="190">
        <v>91</v>
      </c>
      <c r="CD26" s="58">
        <v>291</v>
      </c>
      <c r="CE26" s="41"/>
      <c r="CF26" s="390"/>
      <c r="CG26" s="40"/>
      <c r="CH26" s="391"/>
      <c r="CI26" s="28">
        <f t="shared" si="8"/>
        <v>148</v>
      </c>
      <c r="CJ26" s="45">
        <f t="shared" si="8"/>
        <v>533</v>
      </c>
      <c r="CK26" s="64"/>
      <c r="CL26" s="60"/>
      <c r="CM26" s="396"/>
      <c r="CN26" s="60"/>
      <c r="CO26" s="41">
        <v>423</v>
      </c>
      <c r="CP26" s="391">
        <v>1104</v>
      </c>
      <c r="CQ26" s="50"/>
      <c r="CR26" s="380"/>
      <c r="CS26" s="187">
        <v>478</v>
      </c>
      <c r="CT26" s="67">
        <v>1241</v>
      </c>
    </row>
    <row r="27" spans="1:98" s="106" customFormat="1" ht="15.75" thickBot="1" x14ac:dyDescent="0.3">
      <c r="A27" s="48">
        <v>46014</v>
      </c>
      <c r="B27" s="49" t="s">
        <v>15</v>
      </c>
      <c r="C27" s="50"/>
      <c r="D27" s="51"/>
      <c r="E27" s="51"/>
      <c r="F27" s="380"/>
      <c r="G27" s="50"/>
      <c r="H27" s="381"/>
      <c r="I27" s="50"/>
      <c r="J27" s="51"/>
      <c r="K27" s="51"/>
      <c r="L27" s="380"/>
      <c r="M27" s="124"/>
      <c r="N27" s="382"/>
      <c r="O27" s="50"/>
      <c r="P27" s="42"/>
      <c r="Q27" s="41"/>
      <c r="R27" s="391"/>
      <c r="S27" s="397"/>
      <c r="T27" s="398"/>
      <c r="U27" s="388">
        <f t="shared" si="5"/>
        <v>0</v>
      </c>
      <c r="V27" s="31">
        <f t="shared" si="5"/>
        <v>0</v>
      </c>
      <c r="W27" s="64"/>
      <c r="X27" s="6"/>
      <c r="Y27" s="54"/>
      <c r="Z27" s="51"/>
      <c r="AA27" s="51"/>
      <c r="AB27" s="380"/>
      <c r="AC27" s="50"/>
      <c r="AD27" s="381"/>
      <c r="AE27" s="50">
        <v>312</v>
      </c>
      <c r="AF27" s="51">
        <v>2143</v>
      </c>
      <c r="AG27" s="51"/>
      <c r="AH27" s="65"/>
      <c r="AI27" s="389"/>
      <c r="AJ27" s="380"/>
      <c r="AK27" s="50"/>
      <c r="AL27" s="65"/>
      <c r="AM27" s="51"/>
      <c r="AN27" s="380"/>
      <c r="AO27" s="50"/>
      <c r="AP27" s="381"/>
      <c r="AQ27" s="124">
        <f t="shared" si="6"/>
        <v>312</v>
      </c>
      <c r="AR27" s="390">
        <f t="shared" si="7"/>
        <v>2143</v>
      </c>
      <c r="AS27" s="64"/>
      <c r="AT27" s="6"/>
      <c r="AU27" s="40">
        <v>0</v>
      </c>
      <c r="AV27" s="41">
        <v>0</v>
      </c>
      <c r="AW27" s="41"/>
      <c r="AX27" s="391"/>
      <c r="AY27" s="124"/>
      <c r="AZ27" s="391"/>
      <c r="BA27" s="124"/>
      <c r="BB27" s="41"/>
      <c r="BC27" s="41">
        <v>9</v>
      </c>
      <c r="BD27" s="42">
        <v>128</v>
      </c>
      <c r="BE27" s="392"/>
      <c r="BF27" s="391"/>
      <c r="BG27" s="124"/>
      <c r="BH27" s="42"/>
      <c r="BI27" s="41">
        <v>34</v>
      </c>
      <c r="BJ27" s="391">
        <v>162</v>
      </c>
      <c r="BK27" s="124"/>
      <c r="BL27" s="391"/>
      <c r="BM27" s="393">
        <f t="shared" si="4"/>
        <v>43</v>
      </c>
      <c r="BN27" s="394">
        <f t="shared" si="4"/>
        <v>290</v>
      </c>
      <c r="BO27" s="64"/>
      <c r="BP27" s="6"/>
      <c r="BQ27" s="56">
        <v>21</v>
      </c>
      <c r="BR27" s="57">
        <v>34</v>
      </c>
      <c r="BS27" s="41"/>
      <c r="BT27" s="390"/>
      <c r="BU27" s="55"/>
      <c r="BV27" s="380"/>
      <c r="BW27" s="187">
        <v>36</v>
      </c>
      <c r="BX27" s="67">
        <v>208</v>
      </c>
      <c r="BY27" s="41"/>
      <c r="BZ27" s="390"/>
      <c r="CA27" s="42"/>
      <c r="CB27" s="391"/>
      <c r="CC27" s="190">
        <v>91</v>
      </c>
      <c r="CD27" s="58">
        <v>291</v>
      </c>
      <c r="CE27" s="41"/>
      <c r="CF27" s="390"/>
      <c r="CG27" s="40"/>
      <c r="CH27" s="391"/>
      <c r="CI27" s="28">
        <f t="shared" si="8"/>
        <v>148</v>
      </c>
      <c r="CJ27" s="45">
        <f t="shared" si="8"/>
        <v>533</v>
      </c>
      <c r="CK27" s="64"/>
      <c r="CL27" s="60"/>
      <c r="CM27" s="396"/>
      <c r="CN27" s="60"/>
      <c r="CO27" s="41"/>
      <c r="CP27" s="391"/>
      <c r="CQ27" s="50"/>
      <c r="CR27" s="380"/>
      <c r="CS27" s="187">
        <v>454</v>
      </c>
      <c r="CT27" s="67">
        <v>1164</v>
      </c>
    </row>
    <row r="28" spans="1:98" s="283" customFormat="1" ht="15.75" thickBot="1" x14ac:dyDescent="0.3">
      <c r="A28" s="244">
        <v>46015</v>
      </c>
      <c r="B28" s="357" t="s">
        <v>16</v>
      </c>
      <c r="C28" s="246"/>
      <c r="D28" s="247"/>
      <c r="E28" s="247"/>
      <c r="F28" s="248"/>
      <c r="G28" s="246"/>
      <c r="H28" s="249"/>
      <c r="I28" s="246"/>
      <c r="J28" s="247"/>
      <c r="K28" s="247"/>
      <c r="L28" s="248"/>
      <c r="M28" s="264"/>
      <c r="N28" s="284"/>
      <c r="O28" s="246"/>
      <c r="P28" s="269"/>
      <c r="Q28" s="267"/>
      <c r="R28" s="268"/>
      <c r="S28" s="285"/>
      <c r="T28" s="286"/>
      <c r="U28" s="388">
        <f t="shared" si="5"/>
        <v>0</v>
      </c>
      <c r="V28" s="31">
        <f t="shared" si="5"/>
        <v>0</v>
      </c>
      <c r="W28" s="273"/>
      <c r="X28" s="260"/>
      <c r="Y28" s="261"/>
      <c r="Z28" s="247"/>
      <c r="AA28" s="247"/>
      <c r="AB28" s="248"/>
      <c r="AC28" s="246"/>
      <c r="AD28" s="249"/>
      <c r="AE28" s="50">
        <v>312</v>
      </c>
      <c r="AF28" s="51">
        <v>2143</v>
      </c>
      <c r="AG28" s="247"/>
      <c r="AH28" s="262"/>
      <c r="AI28" s="263"/>
      <c r="AJ28" s="248"/>
      <c r="AK28" s="246"/>
      <c r="AL28" s="262"/>
      <c r="AM28" s="247"/>
      <c r="AN28" s="248"/>
      <c r="AO28" s="246"/>
      <c r="AP28" s="249"/>
      <c r="AQ28" s="124">
        <f t="shared" si="6"/>
        <v>312</v>
      </c>
      <c r="AR28" s="390">
        <f t="shared" si="7"/>
        <v>2143</v>
      </c>
      <c r="AS28" s="273"/>
      <c r="AT28" s="260"/>
      <c r="AU28" s="266"/>
      <c r="AV28" s="267"/>
      <c r="AW28" s="267"/>
      <c r="AX28" s="268"/>
      <c r="AY28" s="264"/>
      <c r="AZ28" s="268"/>
      <c r="BA28" s="264"/>
      <c r="BB28" s="267"/>
      <c r="BC28" s="267"/>
      <c r="BD28" s="269"/>
      <c r="BE28" s="270"/>
      <c r="BF28" s="268"/>
      <c r="BG28" s="264"/>
      <c r="BH28" s="269"/>
      <c r="BI28" s="267"/>
      <c r="BJ28" s="268"/>
      <c r="BK28" s="264"/>
      <c r="BL28" s="268"/>
      <c r="BM28" s="271">
        <f t="shared" si="4"/>
        <v>0</v>
      </c>
      <c r="BN28" s="272">
        <f t="shared" si="4"/>
        <v>0</v>
      </c>
      <c r="BO28" s="273"/>
      <c r="BP28" s="260"/>
      <c r="BQ28" s="274">
        <v>21</v>
      </c>
      <c r="BR28" s="275">
        <v>34</v>
      </c>
      <c r="BS28" s="267"/>
      <c r="BT28" s="265"/>
      <c r="BU28" s="276"/>
      <c r="BV28" s="248"/>
      <c r="BW28" s="277">
        <v>36</v>
      </c>
      <c r="BX28" s="287">
        <v>208</v>
      </c>
      <c r="BY28" s="267"/>
      <c r="BZ28" s="265"/>
      <c r="CA28" s="269"/>
      <c r="CB28" s="268"/>
      <c r="CC28" s="288">
        <v>91</v>
      </c>
      <c r="CD28" s="278">
        <v>291</v>
      </c>
      <c r="CE28" s="267"/>
      <c r="CF28" s="265"/>
      <c r="CG28" s="266"/>
      <c r="CH28" s="268"/>
      <c r="CI28" s="28">
        <f t="shared" si="8"/>
        <v>148</v>
      </c>
      <c r="CJ28" s="45">
        <f t="shared" si="8"/>
        <v>533</v>
      </c>
      <c r="CK28" s="273"/>
      <c r="CL28" s="281"/>
      <c r="CM28" s="409"/>
      <c r="CN28" s="281"/>
      <c r="CO28" s="267"/>
      <c r="CP28" s="268"/>
      <c r="CQ28" s="246"/>
      <c r="CR28" s="248"/>
      <c r="CS28" s="277"/>
      <c r="CT28" s="287"/>
    </row>
    <row r="29" spans="1:98" s="283" customFormat="1" ht="15.75" thickBot="1" x14ac:dyDescent="0.3">
      <c r="A29" s="244">
        <v>46016</v>
      </c>
      <c r="B29" s="357" t="s">
        <v>17</v>
      </c>
      <c r="C29" s="246"/>
      <c r="D29" s="247"/>
      <c r="E29" s="247"/>
      <c r="F29" s="248"/>
      <c r="G29" s="246"/>
      <c r="H29" s="249"/>
      <c r="I29" s="246"/>
      <c r="J29" s="247"/>
      <c r="K29" s="247"/>
      <c r="L29" s="248"/>
      <c r="M29" s="264"/>
      <c r="N29" s="284"/>
      <c r="O29" s="246"/>
      <c r="P29" s="276"/>
      <c r="Q29" s="267"/>
      <c r="R29" s="268"/>
      <c r="S29" s="285"/>
      <c r="T29" s="286"/>
      <c r="U29" s="388">
        <f t="shared" si="5"/>
        <v>0</v>
      </c>
      <c r="V29" s="31">
        <f t="shared" si="5"/>
        <v>0</v>
      </c>
      <c r="W29" s="259"/>
      <c r="X29" s="260"/>
      <c r="Y29" s="246"/>
      <c r="Z29" s="247"/>
      <c r="AA29" s="247"/>
      <c r="AB29" s="248"/>
      <c r="AC29" s="246"/>
      <c r="AD29" s="249"/>
      <c r="AE29" s="50">
        <v>312</v>
      </c>
      <c r="AF29" s="51">
        <v>2143</v>
      </c>
      <c r="AG29" s="247"/>
      <c r="AH29" s="262"/>
      <c r="AI29" s="263"/>
      <c r="AJ29" s="248"/>
      <c r="AK29" s="246"/>
      <c r="AL29" s="262"/>
      <c r="AM29" s="247"/>
      <c r="AN29" s="248"/>
      <c r="AO29" s="246"/>
      <c r="AP29" s="249"/>
      <c r="AQ29" s="124">
        <f t="shared" si="6"/>
        <v>312</v>
      </c>
      <c r="AR29" s="390">
        <f t="shared" si="7"/>
        <v>2143</v>
      </c>
      <c r="AS29" s="259"/>
      <c r="AT29" s="260"/>
      <c r="AU29" s="266"/>
      <c r="AV29" s="267"/>
      <c r="AW29" s="267"/>
      <c r="AX29" s="268"/>
      <c r="AY29" s="264"/>
      <c r="AZ29" s="268"/>
      <c r="BA29" s="264"/>
      <c r="BB29" s="267"/>
      <c r="BC29" s="267"/>
      <c r="BD29" s="269"/>
      <c r="BE29" s="270"/>
      <c r="BF29" s="268"/>
      <c r="BG29" s="264"/>
      <c r="BH29" s="269"/>
      <c r="BI29" s="267"/>
      <c r="BJ29" s="268"/>
      <c r="BK29" s="264"/>
      <c r="BL29" s="268"/>
      <c r="BM29" s="271">
        <f t="shared" si="4"/>
        <v>0</v>
      </c>
      <c r="BN29" s="272">
        <f t="shared" si="4"/>
        <v>0</v>
      </c>
      <c r="BO29" s="273"/>
      <c r="BP29" s="260"/>
      <c r="BQ29" s="274">
        <v>21</v>
      </c>
      <c r="BR29" s="275">
        <v>34</v>
      </c>
      <c r="BS29" s="267"/>
      <c r="BT29" s="265"/>
      <c r="BU29" s="276"/>
      <c r="BV29" s="248"/>
      <c r="BW29" s="277">
        <v>36</v>
      </c>
      <c r="BX29" s="287">
        <v>208</v>
      </c>
      <c r="BY29" s="267"/>
      <c r="BZ29" s="265"/>
      <c r="CA29" s="269"/>
      <c r="CB29" s="268"/>
      <c r="CC29" s="288">
        <v>91</v>
      </c>
      <c r="CD29" s="278">
        <v>291</v>
      </c>
      <c r="CE29" s="267"/>
      <c r="CF29" s="265"/>
      <c r="CG29" s="266"/>
      <c r="CH29" s="268"/>
      <c r="CI29" s="28">
        <f t="shared" si="8"/>
        <v>148</v>
      </c>
      <c r="CJ29" s="45">
        <f t="shared" si="8"/>
        <v>533</v>
      </c>
      <c r="CK29" s="280"/>
      <c r="CL29" s="281"/>
      <c r="CM29" s="409"/>
      <c r="CN29" s="281"/>
      <c r="CO29" s="267"/>
      <c r="CP29" s="268"/>
      <c r="CQ29" s="246"/>
      <c r="CR29" s="248"/>
      <c r="CS29" s="277"/>
      <c r="CT29" s="287"/>
    </row>
    <row r="30" spans="1:98" s="283" customFormat="1" ht="15.75" thickBot="1" x14ac:dyDescent="0.3">
      <c r="A30" s="244">
        <v>46017</v>
      </c>
      <c r="B30" s="357" t="s">
        <v>18</v>
      </c>
      <c r="C30" s="246"/>
      <c r="D30" s="247"/>
      <c r="E30" s="247"/>
      <c r="F30" s="248"/>
      <c r="G30" s="246"/>
      <c r="H30" s="249"/>
      <c r="I30" s="246"/>
      <c r="J30" s="247"/>
      <c r="K30" s="247"/>
      <c r="L30" s="248"/>
      <c r="M30" s="264"/>
      <c r="N30" s="284"/>
      <c r="O30" s="246"/>
      <c r="P30" s="269"/>
      <c r="Q30" s="267"/>
      <c r="R30" s="268"/>
      <c r="S30" s="285"/>
      <c r="T30" s="286"/>
      <c r="U30" s="388">
        <f t="shared" si="5"/>
        <v>0</v>
      </c>
      <c r="V30" s="31">
        <f t="shared" si="5"/>
        <v>0</v>
      </c>
      <c r="W30" s="259"/>
      <c r="X30" s="260"/>
      <c r="Y30" s="261"/>
      <c r="Z30" s="247"/>
      <c r="AA30" s="247"/>
      <c r="AB30" s="248"/>
      <c r="AC30" s="246"/>
      <c r="AD30" s="249"/>
      <c r="AE30" s="50">
        <v>312</v>
      </c>
      <c r="AF30" s="51">
        <v>2143</v>
      </c>
      <c r="AG30" s="247"/>
      <c r="AH30" s="262"/>
      <c r="AI30" s="263"/>
      <c r="AJ30" s="248"/>
      <c r="AK30" s="246"/>
      <c r="AL30" s="262"/>
      <c r="AM30" s="247"/>
      <c r="AN30" s="248"/>
      <c r="AO30" s="246"/>
      <c r="AP30" s="249"/>
      <c r="AQ30" s="124">
        <f t="shared" si="6"/>
        <v>312</v>
      </c>
      <c r="AR30" s="390">
        <f t="shared" si="7"/>
        <v>2143</v>
      </c>
      <c r="AS30" s="259"/>
      <c r="AT30" s="260"/>
      <c r="AU30" s="266"/>
      <c r="AV30" s="267"/>
      <c r="AW30" s="267"/>
      <c r="AX30" s="268"/>
      <c r="AY30" s="264"/>
      <c r="AZ30" s="268"/>
      <c r="BA30" s="264"/>
      <c r="BB30" s="267"/>
      <c r="BC30" s="267"/>
      <c r="BD30" s="269"/>
      <c r="BE30" s="270"/>
      <c r="BF30" s="268"/>
      <c r="BG30" s="264"/>
      <c r="BH30" s="269"/>
      <c r="BI30" s="267"/>
      <c r="BJ30" s="268"/>
      <c r="BK30" s="264"/>
      <c r="BL30" s="268"/>
      <c r="BM30" s="271">
        <f t="shared" si="4"/>
        <v>0</v>
      </c>
      <c r="BN30" s="272">
        <f t="shared" si="4"/>
        <v>0</v>
      </c>
      <c r="BO30" s="273"/>
      <c r="BP30" s="260"/>
      <c r="BQ30" s="274">
        <v>21</v>
      </c>
      <c r="BR30" s="275">
        <v>34</v>
      </c>
      <c r="BS30" s="267"/>
      <c r="BT30" s="265"/>
      <c r="BU30" s="276"/>
      <c r="BV30" s="248"/>
      <c r="BW30" s="277">
        <v>36</v>
      </c>
      <c r="BX30" s="287">
        <v>208</v>
      </c>
      <c r="BY30" s="267"/>
      <c r="BZ30" s="265"/>
      <c r="CA30" s="269"/>
      <c r="CB30" s="268"/>
      <c r="CC30" s="288">
        <v>91</v>
      </c>
      <c r="CD30" s="278">
        <v>291</v>
      </c>
      <c r="CE30" s="267"/>
      <c r="CF30" s="265"/>
      <c r="CG30" s="266"/>
      <c r="CH30" s="268"/>
      <c r="CI30" s="28">
        <f t="shared" si="8"/>
        <v>148</v>
      </c>
      <c r="CJ30" s="45">
        <f t="shared" si="8"/>
        <v>533</v>
      </c>
      <c r="CK30" s="280"/>
      <c r="CL30" s="281"/>
      <c r="CM30" s="409"/>
      <c r="CN30" s="281"/>
      <c r="CO30" s="267"/>
      <c r="CP30" s="268"/>
      <c r="CQ30" s="246"/>
      <c r="CR30" s="248"/>
      <c r="CS30" s="277"/>
      <c r="CT30" s="287"/>
    </row>
    <row r="31" spans="1:98" s="283" customFormat="1" ht="15.75" thickBot="1" x14ac:dyDescent="0.3">
      <c r="A31" s="244">
        <v>46018</v>
      </c>
      <c r="B31" s="357" t="s">
        <v>19</v>
      </c>
      <c r="C31" s="246"/>
      <c r="D31" s="247"/>
      <c r="E31" s="247"/>
      <c r="F31" s="248"/>
      <c r="G31" s="246"/>
      <c r="H31" s="249"/>
      <c r="I31" s="246"/>
      <c r="J31" s="247"/>
      <c r="K31" s="247"/>
      <c r="L31" s="248"/>
      <c r="M31" s="264"/>
      <c r="N31" s="284"/>
      <c r="O31" s="246"/>
      <c r="P31" s="269"/>
      <c r="Q31" s="267"/>
      <c r="R31" s="268"/>
      <c r="S31" s="285"/>
      <c r="T31" s="286"/>
      <c r="U31" s="388">
        <f t="shared" si="5"/>
        <v>0</v>
      </c>
      <c r="V31" s="31">
        <f t="shared" si="5"/>
        <v>0</v>
      </c>
      <c r="W31" s="273"/>
      <c r="X31" s="260"/>
      <c r="Y31" s="261"/>
      <c r="Z31" s="247"/>
      <c r="AA31" s="247"/>
      <c r="AB31" s="248"/>
      <c r="AC31" s="246"/>
      <c r="AD31" s="249"/>
      <c r="AE31" s="50">
        <v>312</v>
      </c>
      <c r="AF31" s="51">
        <v>2143</v>
      </c>
      <c r="AG31" s="247"/>
      <c r="AH31" s="262"/>
      <c r="AI31" s="263"/>
      <c r="AJ31" s="248"/>
      <c r="AK31" s="246"/>
      <c r="AL31" s="262"/>
      <c r="AM31" s="247"/>
      <c r="AN31" s="248"/>
      <c r="AO31" s="246"/>
      <c r="AP31" s="249"/>
      <c r="AQ31" s="124">
        <f t="shared" si="6"/>
        <v>312</v>
      </c>
      <c r="AR31" s="390">
        <f t="shared" si="7"/>
        <v>2143</v>
      </c>
      <c r="AS31" s="273"/>
      <c r="AT31" s="260"/>
      <c r="AU31" s="266"/>
      <c r="AV31" s="267"/>
      <c r="AW31" s="267"/>
      <c r="AX31" s="268"/>
      <c r="AY31" s="264"/>
      <c r="AZ31" s="268"/>
      <c r="BA31" s="264"/>
      <c r="BB31" s="267"/>
      <c r="BC31" s="267"/>
      <c r="BD31" s="269"/>
      <c r="BE31" s="270"/>
      <c r="BF31" s="268"/>
      <c r="BG31" s="264"/>
      <c r="BH31" s="269"/>
      <c r="BI31" s="267"/>
      <c r="BJ31" s="268"/>
      <c r="BK31" s="264"/>
      <c r="BL31" s="268"/>
      <c r="BM31" s="271">
        <f t="shared" si="4"/>
        <v>0</v>
      </c>
      <c r="BN31" s="272">
        <f t="shared" si="4"/>
        <v>0</v>
      </c>
      <c r="BO31" s="273"/>
      <c r="BP31" s="260"/>
      <c r="BQ31" s="274">
        <v>21</v>
      </c>
      <c r="BR31" s="275">
        <v>34</v>
      </c>
      <c r="BS31" s="267"/>
      <c r="BT31" s="265"/>
      <c r="BU31" s="276"/>
      <c r="BV31" s="248"/>
      <c r="BW31" s="277">
        <v>36</v>
      </c>
      <c r="BX31" s="287">
        <v>208</v>
      </c>
      <c r="BY31" s="267"/>
      <c r="BZ31" s="265"/>
      <c r="CA31" s="269"/>
      <c r="CB31" s="268"/>
      <c r="CC31" s="288">
        <v>91</v>
      </c>
      <c r="CD31" s="278">
        <v>291</v>
      </c>
      <c r="CE31" s="267"/>
      <c r="CF31" s="265"/>
      <c r="CG31" s="266"/>
      <c r="CH31" s="268"/>
      <c r="CI31" s="28">
        <f t="shared" si="8"/>
        <v>148</v>
      </c>
      <c r="CJ31" s="45">
        <f t="shared" si="8"/>
        <v>533</v>
      </c>
      <c r="CK31" s="273"/>
      <c r="CL31" s="281"/>
      <c r="CM31" s="409"/>
      <c r="CN31" s="281"/>
      <c r="CO31" s="267"/>
      <c r="CP31" s="268"/>
      <c r="CQ31" s="246"/>
      <c r="CR31" s="248"/>
      <c r="CS31" s="277"/>
      <c r="CT31" s="287"/>
    </row>
    <row r="32" spans="1:98" s="283" customFormat="1" ht="15.75" thickBot="1" x14ac:dyDescent="0.3">
      <c r="A32" s="244">
        <v>46019</v>
      </c>
      <c r="B32" s="357" t="s">
        <v>20</v>
      </c>
      <c r="C32" s="246"/>
      <c r="D32" s="247"/>
      <c r="E32" s="247"/>
      <c r="F32" s="248"/>
      <c r="G32" s="246"/>
      <c r="H32" s="249"/>
      <c r="I32" s="246"/>
      <c r="J32" s="247"/>
      <c r="K32" s="247"/>
      <c r="L32" s="248"/>
      <c r="M32" s="264"/>
      <c r="N32" s="284"/>
      <c r="O32" s="246"/>
      <c r="P32" s="269"/>
      <c r="Q32" s="267"/>
      <c r="R32" s="268"/>
      <c r="S32" s="285"/>
      <c r="T32" s="286"/>
      <c r="U32" s="388">
        <f t="shared" si="5"/>
        <v>0</v>
      </c>
      <c r="V32" s="31">
        <f t="shared" si="5"/>
        <v>0</v>
      </c>
      <c r="W32" s="273"/>
      <c r="X32" s="260"/>
      <c r="Y32" s="261"/>
      <c r="Z32" s="247"/>
      <c r="AA32" s="247"/>
      <c r="AB32" s="248"/>
      <c r="AC32" s="246"/>
      <c r="AD32" s="249"/>
      <c r="AE32" s="50">
        <v>312</v>
      </c>
      <c r="AF32" s="51">
        <v>2143</v>
      </c>
      <c r="AG32" s="247"/>
      <c r="AH32" s="262"/>
      <c r="AI32" s="263"/>
      <c r="AJ32" s="248"/>
      <c r="AK32" s="246"/>
      <c r="AL32" s="262"/>
      <c r="AM32" s="247"/>
      <c r="AN32" s="248"/>
      <c r="AO32" s="246"/>
      <c r="AP32" s="249"/>
      <c r="AQ32" s="124">
        <f t="shared" si="6"/>
        <v>312</v>
      </c>
      <c r="AR32" s="390">
        <f t="shared" si="7"/>
        <v>2143</v>
      </c>
      <c r="AS32" s="273"/>
      <c r="AT32" s="260"/>
      <c r="AU32" s="266"/>
      <c r="AV32" s="267"/>
      <c r="AW32" s="267"/>
      <c r="AX32" s="268"/>
      <c r="AY32" s="264"/>
      <c r="AZ32" s="268"/>
      <c r="BA32" s="264"/>
      <c r="BB32" s="267"/>
      <c r="BC32" s="267"/>
      <c r="BD32" s="269"/>
      <c r="BE32" s="270"/>
      <c r="BF32" s="268"/>
      <c r="BG32" s="264"/>
      <c r="BH32" s="269"/>
      <c r="BI32" s="267"/>
      <c r="BJ32" s="268"/>
      <c r="BK32" s="264"/>
      <c r="BL32" s="268"/>
      <c r="BM32" s="271">
        <f t="shared" si="4"/>
        <v>0</v>
      </c>
      <c r="BN32" s="272">
        <f t="shared" si="4"/>
        <v>0</v>
      </c>
      <c r="BO32" s="273"/>
      <c r="BP32" s="260"/>
      <c r="BQ32" s="274">
        <v>21</v>
      </c>
      <c r="BR32" s="275">
        <v>34</v>
      </c>
      <c r="BS32" s="267">
        <v>10</v>
      </c>
      <c r="BT32" s="265">
        <v>21</v>
      </c>
      <c r="BU32" s="276"/>
      <c r="BV32" s="248"/>
      <c r="BW32" s="277">
        <v>36</v>
      </c>
      <c r="BX32" s="287">
        <v>208</v>
      </c>
      <c r="BY32" s="267"/>
      <c r="BZ32" s="265"/>
      <c r="CA32" s="269"/>
      <c r="CB32" s="268"/>
      <c r="CC32" s="288">
        <v>91</v>
      </c>
      <c r="CD32" s="278">
        <v>291</v>
      </c>
      <c r="CE32" s="267"/>
      <c r="CF32" s="265"/>
      <c r="CG32" s="266"/>
      <c r="CH32" s="268"/>
      <c r="CI32" s="28">
        <f t="shared" si="8"/>
        <v>158</v>
      </c>
      <c r="CJ32" s="45">
        <f t="shared" si="8"/>
        <v>554</v>
      </c>
      <c r="CK32" s="273"/>
      <c r="CL32" s="281"/>
      <c r="CM32" s="409"/>
      <c r="CN32" s="281"/>
      <c r="CO32" s="267"/>
      <c r="CP32" s="268"/>
      <c r="CQ32" s="246"/>
      <c r="CR32" s="248"/>
      <c r="CS32" s="277"/>
      <c r="CT32" s="287"/>
    </row>
    <row r="33" spans="1:98" s="106" customFormat="1" ht="15.75" thickBot="1" x14ac:dyDescent="0.3">
      <c r="A33" s="290">
        <v>46020</v>
      </c>
      <c r="B33" s="366" t="s">
        <v>14</v>
      </c>
      <c r="C33" s="99">
        <v>39</v>
      </c>
      <c r="D33" s="74">
        <v>69</v>
      </c>
      <c r="E33" s="74"/>
      <c r="F33" s="292"/>
      <c r="G33" s="99"/>
      <c r="H33" s="293"/>
      <c r="I33" s="99">
        <v>2</v>
      </c>
      <c r="J33" s="74">
        <v>8</v>
      </c>
      <c r="K33" s="74"/>
      <c r="L33" s="292"/>
      <c r="M33" s="125"/>
      <c r="N33" s="294"/>
      <c r="O33" s="99">
        <v>25</v>
      </c>
      <c r="P33" s="78">
        <v>66</v>
      </c>
      <c r="Q33" s="77"/>
      <c r="R33" s="302"/>
      <c r="S33" s="77"/>
      <c r="T33" s="302"/>
      <c r="U33" s="211">
        <f t="shared" si="5"/>
        <v>66</v>
      </c>
      <c r="V33" s="212">
        <f t="shared" si="5"/>
        <v>143</v>
      </c>
      <c r="W33" s="79"/>
      <c r="X33" s="300"/>
      <c r="Y33" s="73">
        <v>235</v>
      </c>
      <c r="Z33" s="74">
        <v>422</v>
      </c>
      <c r="AA33" s="74"/>
      <c r="AB33" s="292"/>
      <c r="AC33" s="99"/>
      <c r="AD33" s="293"/>
      <c r="AE33" s="99">
        <v>312</v>
      </c>
      <c r="AF33" s="74">
        <v>2143</v>
      </c>
      <c r="AG33" s="74"/>
      <c r="AH33" s="75"/>
      <c r="AI33" s="301"/>
      <c r="AJ33" s="292"/>
      <c r="AK33" s="99">
        <v>718</v>
      </c>
      <c r="AL33" s="75">
        <v>2094</v>
      </c>
      <c r="AM33" s="74"/>
      <c r="AN33" s="292"/>
      <c r="AO33" s="99"/>
      <c r="AP33" s="293"/>
      <c r="AQ33" s="125">
        <f t="shared" si="6"/>
        <v>1265</v>
      </c>
      <c r="AR33" s="210">
        <f t="shared" si="7"/>
        <v>4659</v>
      </c>
      <c r="AS33" s="79"/>
      <c r="AT33" s="300"/>
      <c r="AU33" s="76">
        <v>0</v>
      </c>
      <c r="AV33" s="77">
        <v>0</v>
      </c>
      <c r="AW33" s="77"/>
      <c r="AX33" s="302"/>
      <c r="AY33" s="125"/>
      <c r="AZ33" s="302"/>
      <c r="BA33" s="125">
        <v>92</v>
      </c>
      <c r="BB33" s="77">
        <v>727</v>
      </c>
      <c r="BC33" s="77"/>
      <c r="BD33" s="78"/>
      <c r="BE33" s="303"/>
      <c r="BF33" s="302"/>
      <c r="BG33" s="125">
        <v>254</v>
      </c>
      <c r="BH33" s="78">
        <v>1136</v>
      </c>
      <c r="BI33" s="77"/>
      <c r="BJ33" s="302"/>
      <c r="BK33" s="125"/>
      <c r="BL33" s="302"/>
      <c r="BM33" s="69">
        <f t="shared" si="4"/>
        <v>346</v>
      </c>
      <c r="BN33" s="209">
        <f t="shared" si="4"/>
        <v>1863</v>
      </c>
      <c r="BO33" s="79"/>
      <c r="BP33" s="300"/>
      <c r="BQ33" s="80">
        <v>31</v>
      </c>
      <c r="BR33" s="81">
        <v>55</v>
      </c>
      <c r="BS33" s="77"/>
      <c r="BT33" s="210"/>
      <c r="BU33" s="78"/>
      <c r="BV33" s="302"/>
      <c r="BW33" s="192">
        <v>36</v>
      </c>
      <c r="BX33" s="101">
        <v>208</v>
      </c>
      <c r="BY33" s="77"/>
      <c r="BZ33" s="210"/>
      <c r="CA33" s="78"/>
      <c r="CB33" s="302"/>
      <c r="CC33" s="192">
        <v>91</v>
      </c>
      <c r="CD33" s="101">
        <v>291</v>
      </c>
      <c r="CE33" s="77"/>
      <c r="CF33" s="210"/>
      <c r="CG33" s="76"/>
      <c r="CH33" s="302"/>
      <c r="CI33" s="69">
        <f t="shared" si="8"/>
        <v>158</v>
      </c>
      <c r="CJ33" s="213">
        <f t="shared" si="8"/>
        <v>554</v>
      </c>
      <c r="CK33" s="79"/>
      <c r="CL33" s="304"/>
      <c r="CM33" s="379"/>
      <c r="CN33" s="304"/>
      <c r="CO33" s="77"/>
      <c r="CP33" s="302"/>
      <c r="CQ33" s="99"/>
      <c r="CR33" s="292"/>
      <c r="CS33" s="188">
        <v>436</v>
      </c>
      <c r="CT33" s="101">
        <v>1126</v>
      </c>
    </row>
    <row r="34" spans="1:98" s="106" customFormat="1" ht="15.75" thickBot="1" x14ac:dyDescent="0.3">
      <c r="A34" s="48">
        <v>46021</v>
      </c>
      <c r="B34" s="49" t="s">
        <v>15</v>
      </c>
      <c r="C34" s="50"/>
      <c r="D34" s="51"/>
      <c r="E34" s="51"/>
      <c r="F34" s="380"/>
      <c r="G34" s="50"/>
      <c r="H34" s="381"/>
      <c r="I34" s="50"/>
      <c r="J34" s="51"/>
      <c r="K34" s="51"/>
      <c r="L34" s="380"/>
      <c r="M34" s="124"/>
      <c r="N34" s="382"/>
      <c r="O34" s="50"/>
      <c r="P34" s="42"/>
      <c r="Q34" s="41"/>
      <c r="R34" s="391"/>
      <c r="S34" s="41"/>
      <c r="T34" s="391"/>
      <c r="U34" s="388">
        <f t="shared" si="5"/>
        <v>0</v>
      </c>
      <c r="V34" s="31">
        <f t="shared" si="5"/>
        <v>0</v>
      </c>
      <c r="W34" s="64"/>
      <c r="X34" s="6"/>
      <c r="Y34" s="54"/>
      <c r="Z34" s="51"/>
      <c r="AA34" s="51"/>
      <c r="AB34" s="380"/>
      <c r="AC34" s="50"/>
      <c r="AD34" s="381"/>
      <c r="AE34" s="50"/>
      <c r="AF34" s="51"/>
      <c r="AG34" s="51"/>
      <c r="AH34" s="65"/>
      <c r="AI34" s="389"/>
      <c r="AJ34" s="380"/>
      <c r="AK34" s="50"/>
      <c r="AL34" s="65"/>
      <c r="AM34" s="51"/>
      <c r="AN34" s="380"/>
      <c r="AO34" s="124"/>
      <c r="AP34" s="391"/>
      <c r="AQ34" s="124">
        <f t="shared" si="6"/>
        <v>0</v>
      </c>
      <c r="AR34" s="390">
        <f t="shared" si="7"/>
        <v>0</v>
      </c>
      <c r="AS34" s="64"/>
      <c r="AT34" s="6"/>
      <c r="AU34" s="40"/>
      <c r="AV34" s="41"/>
      <c r="AW34" s="41"/>
      <c r="AX34" s="391"/>
      <c r="AY34" s="124"/>
      <c r="AZ34" s="391"/>
      <c r="BA34" s="124"/>
      <c r="BB34" s="41"/>
      <c r="BC34" s="41"/>
      <c r="BD34" s="42"/>
      <c r="BE34" s="392"/>
      <c r="BF34" s="391"/>
      <c r="BG34" s="124"/>
      <c r="BH34" s="42"/>
      <c r="BI34" s="41"/>
      <c r="BJ34" s="391"/>
      <c r="BK34" s="124"/>
      <c r="BL34" s="391"/>
      <c r="BM34" s="393">
        <f t="shared" si="4"/>
        <v>0</v>
      </c>
      <c r="BN34" s="394">
        <f t="shared" si="4"/>
        <v>0</v>
      </c>
      <c r="BO34" s="64"/>
      <c r="BP34" s="6"/>
      <c r="BQ34" s="56">
        <v>10</v>
      </c>
      <c r="BR34" s="57">
        <v>21</v>
      </c>
      <c r="BS34" s="41"/>
      <c r="BT34" s="390"/>
      <c r="BU34" s="41"/>
      <c r="BV34" s="391"/>
      <c r="BW34" s="190">
        <v>36</v>
      </c>
      <c r="BX34" s="67">
        <v>208</v>
      </c>
      <c r="BY34" s="41"/>
      <c r="BZ34" s="390"/>
      <c r="CA34" s="41"/>
      <c r="CB34" s="391"/>
      <c r="CC34" s="190">
        <v>91</v>
      </c>
      <c r="CD34" s="67">
        <v>291</v>
      </c>
      <c r="CE34" s="41"/>
      <c r="CF34" s="390"/>
      <c r="CG34" s="40"/>
      <c r="CH34" s="391"/>
      <c r="CI34" s="28">
        <f t="shared" si="8"/>
        <v>137</v>
      </c>
      <c r="CJ34" s="45">
        <f t="shared" si="8"/>
        <v>520</v>
      </c>
      <c r="CK34" s="64"/>
      <c r="CL34" s="60"/>
      <c r="CM34" s="396"/>
      <c r="CN34" s="60"/>
      <c r="CO34" s="41"/>
      <c r="CP34" s="391"/>
      <c r="CQ34" s="41"/>
      <c r="CR34" s="391"/>
      <c r="CS34" s="187"/>
      <c r="CT34" s="67"/>
    </row>
    <row r="35" spans="1:98" s="106" customFormat="1" ht="15.75" thickBot="1" x14ac:dyDescent="0.3">
      <c r="A35" s="48">
        <v>46022</v>
      </c>
      <c r="B35" s="49" t="s">
        <v>16</v>
      </c>
      <c r="C35" s="216"/>
      <c r="D35" s="217"/>
      <c r="E35" s="217"/>
      <c r="F35" s="411"/>
      <c r="G35" s="216"/>
      <c r="H35" s="412"/>
      <c r="I35" s="216"/>
      <c r="J35" s="217"/>
      <c r="K35" s="217"/>
      <c r="L35" s="411"/>
      <c r="M35" s="216"/>
      <c r="N35" s="412"/>
      <c r="O35" s="216"/>
      <c r="P35" s="41"/>
      <c r="Q35" s="41"/>
      <c r="R35" s="41"/>
      <c r="S35" s="41"/>
      <c r="T35" s="41"/>
      <c r="U35" s="388">
        <f>C35+E35+G35+I35+K35+M35+O35+Q35+S35</f>
        <v>0</v>
      </c>
      <c r="V35" s="31">
        <f>D35+F35+H35+J35+L35+N35+P35+R35+T35</f>
        <v>0</v>
      </c>
      <c r="W35" s="224"/>
      <c r="X35" s="6"/>
      <c r="Y35" s="225"/>
      <c r="Z35" s="217"/>
      <c r="AA35" s="217"/>
      <c r="AB35" s="411"/>
      <c r="AC35" s="216"/>
      <c r="AD35" s="412"/>
      <c r="AE35" s="216"/>
      <c r="AF35" s="217"/>
      <c r="AG35" s="217"/>
      <c r="AH35" s="227"/>
      <c r="AI35" s="413"/>
      <c r="AJ35" s="411"/>
      <c r="AK35" s="216"/>
      <c r="AL35" s="227"/>
      <c r="AM35" s="217"/>
      <c r="AN35" s="411"/>
      <c r="AO35" s="124"/>
      <c r="AP35" s="391"/>
      <c r="AQ35" s="124">
        <f t="shared" si="6"/>
        <v>0</v>
      </c>
      <c r="AR35" s="390">
        <f t="shared" si="7"/>
        <v>0</v>
      </c>
      <c r="AS35" s="224"/>
      <c r="AT35" s="6"/>
      <c r="AU35" s="225"/>
      <c r="AV35" s="217"/>
      <c r="AW35" s="217"/>
      <c r="AX35" s="411"/>
      <c r="AY35" s="216"/>
      <c r="AZ35" s="412"/>
      <c r="BA35" s="216"/>
      <c r="BB35" s="217"/>
      <c r="BC35" s="217"/>
      <c r="BD35" s="222"/>
      <c r="BE35" s="413"/>
      <c r="BF35" s="411"/>
      <c r="BG35" s="216"/>
      <c r="BH35" s="222"/>
      <c r="BI35" s="217"/>
      <c r="BJ35" s="411"/>
      <c r="BK35" s="216"/>
      <c r="BL35" s="222"/>
      <c r="BM35" s="393"/>
      <c r="BN35" s="394"/>
      <c r="BO35" s="224"/>
      <c r="BP35" s="6"/>
      <c r="BQ35" s="56">
        <v>0</v>
      </c>
      <c r="BR35" s="57">
        <v>0</v>
      </c>
      <c r="BS35" s="41"/>
      <c r="BT35" s="390"/>
      <c r="BU35" s="41"/>
      <c r="BV35" s="391"/>
      <c r="BW35" s="228">
        <v>36</v>
      </c>
      <c r="BX35" s="229">
        <v>208</v>
      </c>
      <c r="BY35" s="41"/>
      <c r="BZ35" s="390"/>
      <c r="CA35" s="41"/>
      <c r="CB35" s="391"/>
      <c r="CC35" s="228">
        <v>91</v>
      </c>
      <c r="CD35" s="230">
        <v>291</v>
      </c>
      <c r="CE35" s="41"/>
      <c r="CF35" s="390"/>
      <c r="CG35" s="40"/>
      <c r="CH35" s="391"/>
      <c r="CI35" s="28">
        <f t="shared" si="8"/>
        <v>127</v>
      </c>
      <c r="CJ35" s="45">
        <f t="shared" si="8"/>
        <v>499</v>
      </c>
      <c r="CK35" s="224"/>
      <c r="CL35" s="60"/>
      <c r="CM35" s="396"/>
      <c r="CN35" s="60"/>
      <c r="CO35" s="41"/>
      <c r="CP35" s="391"/>
      <c r="CQ35" s="41"/>
      <c r="CR35" s="391"/>
      <c r="CS35" s="228"/>
      <c r="CT35" s="232"/>
    </row>
    <row r="36" spans="1:98" s="129" customFormat="1" ht="15.75" thickBot="1" x14ac:dyDescent="0.3">
      <c r="A36" s="368" t="s">
        <v>21</v>
      </c>
      <c r="B36" s="346"/>
      <c r="C36" s="329"/>
      <c r="D36" s="347"/>
      <c r="E36" s="347"/>
      <c r="F36" s="348"/>
      <c r="G36" s="329"/>
      <c r="H36" s="349"/>
      <c r="I36" s="329"/>
      <c r="J36" s="347"/>
      <c r="K36" s="347"/>
      <c r="L36" s="348"/>
      <c r="M36" s="329"/>
      <c r="N36" s="349"/>
      <c r="O36" s="329"/>
      <c r="P36" s="340"/>
      <c r="Q36" s="340"/>
      <c r="R36" s="340"/>
      <c r="S36" s="340"/>
      <c r="T36" s="340"/>
      <c r="U36" s="388">
        <f t="shared" si="5"/>
        <v>0</v>
      </c>
      <c r="V36" s="31">
        <f t="shared" si="5"/>
        <v>0</v>
      </c>
      <c r="W36" s="352"/>
      <c r="X36" s="353"/>
      <c r="Y36" s="354">
        <v>159</v>
      </c>
      <c r="Z36" s="347">
        <v>302</v>
      </c>
      <c r="AA36" s="347"/>
      <c r="AB36" s="348"/>
      <c r="AC36" s="329"/>
      <c r="AD36" s="349"/>
      <c r="AE36" s="329">
        <v>374</v>
      </c>
      <c r="AF36" s="347">
        <v>2394</v>
      </c>
      <c r="AG36" s="347"/>
      <c r="AH36" s="336"/>
      <c r="AI36" s="355"/>
      <c r="AJ36" s="348"/>
      <c r="AK36" s="329">
        <v>643</v>
      </c>
      <c r="AL36" s="336">
        <v>1896</v>
      </c>
      <c r="AM36" s="347"/>
      <c r="AN36" s="348"/>
      <c r="AO36" s="243"/>
      <c r="AP36" s="318"/>
      <c r="AQ36" s="124">
        <f t="shared" si="6"/>
        <v>1176</v>
      </c>
      <c r="AR36" s="390">
        <f t="shared" si="7"/>
        <v>4592</v>
      </c>
      <c r="AS36" s="356"/>
      <c r="AT36" s="353"/>
      <c r="AU36" s="354">
        <v>0</v>
      </c>
      <c r="AV36" s="347">
        <v>0</v>
      </c>
      <c r="AW36" s="347"/>
      <c r="AX36" s="348"/>
      <c r="AY36" s="329"/>
      <c r="AZ36" s="349"/>
      <c r="BA36" s="329">
        <v>92</v>
      </c>
      <c r="BB36" s="347">
        <v>727</v>
      </c>
      <c r="BC36" s="347"/>
      <c r="BD36" s="336"/>
      <c r="BE36" s="355"/>
      <c r="BF36" s="348"/>
      <c r="BG36" s="329">
        <v>254</v>
      </c>
      <c r="BH36" s="336">
        <v>1136</v>
      </c>
      <c r="BI36" s="347"/>
      <c r="BJ36" s="348"/>
      <c r="BK36" s="354"/>
      <c r="BL36" s="347"/>
      <c r="BM36" s="28">
        <f t="shared" si="4"/>
        <v>346</v>
      </c>
      <c r="BN36" s="44">
        <f t="shared" si="4"/>
        <v>1863</v>
      </c>
      <c r="BO36" s="356"/>
      <c r="BP36" s="353"/>
      <c r="BQ36" s="330">
        <v>0</v>
      </c>
      <c r="BR36" s="331">
        <v>0</v>
      </c>
      <c r="BS36" s="317"/>
      <c r="BT36" s="326"/>
      <c r="BU36" s="317"/>
      <c r="BV36" s="318"/>
      <c r="BW36" s="329">
        <v>36</v>
      </c>
      <c r="BX36" s="347">
        <v>208</v>
      </c>
      <c r="BY36" s="317"/>
      <c r="BZ36" s="326"/>
      <c r="CA36" s="317"/>
      <c r="CB36" s="318"/>
      <c r="CC36" s="329">
        <v>91</v>
      </c>
      <c r="CD36" s="336">
        <v>291</v>
      </c>
      <c r="CE36" s="317"/>
      <c r="CF36" s="326"/>
      <c r="CG36" s="327"/>
      <c r="CH36" s="318"/>
      <c r="CI36" s="28">
        <f t="shared" si="8"/>
        <v>127</v>
      </c>
      <c r="CJ36" s="45">
        <f t="shared" si="8"/>
        <v>499</v>
      </c>
      <c r="CK36" s="356"/>
      <c r="CM36" s="32">
        <f t="shared" ref="CM36" si="9">C36+Y36+AU36+BQ36</f>
        <v>159</v>
      </c>
      <c r="CO36" s="317"/>
      <c r="CP36" s="318"/>
      <c r="CQ36" s="317"/>
      <c r="CR36" s="318"/>
      <c r="CS36" s="329"/>
      <c r="CT36" s="356"/>
    </row>
    <row r="38" spans="1:98" x14ac:dyDescent="0.25">
      <c r="F38" s="203" t="s">
        <v>30</v>
      </c>
      <c r="G38" s="203" t="s">
        <v>31</v>
      </c>
      <c r="H38" s="203" t="s">
        <v>32</v>
      </c>
    </row>
    <row r="39" spans="1:98" x14ac:dyDescent="0.25">
      <c r="F39" s="414">
        <v>45995</v>
      </c>
      <c r="G39">
        <f>U8+AQ8+BM8+CI8</f>
        <v>1756</v>
      </c>
      <c r="H39">
        <f>V8+AR8+BN8+CJ8</f>
        <v>7770</v>
      </c>
    </row>
    <row r="40" spans="1:98" x14ac:dyDescent="0.25">
      <c r="F40" s="414">
        <v>46002</v>
      </c>
      <c r="G40">
        <f>U15+AQ15+BM15+CI15</f>
        <v>1634</v>
      </c>
      <c r="H40">
        <f>V15+AR15+BN15+CJ15</f>
        <v>7081</v>
      </c>
    </row>
    <row r="41" spans="1:98" x14ac:dyDescent="0.25">
      <c r="F41" s="414">
        <v>46009</v>
      </c>
      <c r="G41">
        <f>U22+AQ22+BM22+CI22</f>
        <v>1501</v>
      </c>
      <c r="H41">
        <f>V22+AR22+BN22+CJ22</f>
        <v>6301</v>
      </c>
    </row>
    <row r="42" spans="1:98" x14ac:dyDescent="0.25">
      <c r="F42" s="414">
        <v>46020</v>
      </c>
      <c r="G42">
        <f>U33+AQ33+BM33+CI33</f>
        <v>1835</v>
      </c>
      <c r="H42">
        <f>V33+AR33+BN33+CJ33</f>
        <v>7219</v>
      </c>
    </row>
  </sheetData>
  <mergeCells count="17">
    <mergeCell ref="BW2:CB2"/>
    <mergeCell ref="C1:W1"/>
    <mergeCell ref="Y1:AS1"/>
    <mergeCell ref="AU1:BO1"/>
    <mergeCell ref="BQ1:CK1"/>
    <mergeCell ref="CO1:CT2"/>
    <mergeCell ref="C2:H2"/>
    <mergeCell ref="I2:N2"/>
    <mergeCell ref="O2:T2"/>
    <mergeCell ref="Y2:AD2"/>
    <mergeCell ref="AE2:AJ2"/>
    <mergeCell ref="CC2:CH2"/>
    <mergeCell ref="AK2:AP2"/>
    <mergeCell ref="AU2:AZ2"/>
    <mergeCell ref="BA2:BF2"/>
    <mergeCell ref="BG2:BL2"/>
    <mergeCell ref="BQ2:BV2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C002B-C79B-4AA4-A642-7EAC98BF4176}">
  <dimension ref="A1:CT43"/>
  <sheetViews>
    <sheetView zoomScale="93" zoomScaleNormal="93" zoomScaleSheetLayoutView="98" workbookViewId="0">
      <pane xSplit="1" topLeftCell="B1" activePane="topRight" state="frozen"/>
      <selection pane="topRight" activeCell="BG43" sqref="BG43"/>
    </sheetView>
  </sheetViews>
  <sheetFormatPr defaultRowHeight="15" x14ac:dyDescent="0.25"/>
  <cols>
    <col min="1" max="1" width="11.5703125" customWidth="1"/>
    <col min="9" max="10" width="10.85546875" bestFit="1" customWidth="1"/>
  </cols>
  <sheetData>
    <row r="1" spans="1:98" ht="19.5" thickBot="1" x14ac:dyDescent="0.35">
      <c r="A1" s="1" t="s">
        <v>36</v>
      </c>
      <c r="B1" s="2"/>
      <c r="C1" s="590" t="s">
        <v>1</v>
      </c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2"/>
      <c r="X1" s="3"/>
      <c r="Y1" s="593" t="s">
        <v>2</v>
      </c>
      <c r="Z1" s="594"/>
      <c r="AA1" s="594"/>
      <c r="AB1" s="594"/>
      <c r="AC1" s="594"/>
      <c r="AD1" s="594"/>
      <c r="AE1" s="594"/>
      <c r="AF1" s="594"/>
      <c r="AG1" s="594"/>
      <c r="AH1" s="594"/>
      <c r="AI1" s="594"/>
      <c r="AJ1" s="594"/>
      <c r="AK1" s="594"/>
      <c r="AL1" s="594"/>
      <c r="AM1" s="594"/>
      <c r="AN1" s="594"/>
      <c r="AO1" s="594"/>
      <c r="AP1" s="594"/>
      <c r="AQ1" s="594"/>
      <c r="AR1" s="594"/>
      <c r="AS1" s="595"/>
      <c r="AT1" s="3"/>
      <c r="AU1" s="593" t="s">
        <v>3</v>
      </c>
      <c r="AV1" s="596"/>
      <c r="AW1" s="596"/>
      <c r="AX1" s="596"/>
      <c r="AY1" s="596"/>
      <c r="AZ1" s="596"/>
      <c r="BA1" s="596"/>
      <c r="BB1" s="596"/>
      <c r="BC1" s="596"/>
      <c r="BD1" s="596"/>
      <c r="BE1" s="596"/>
      <c r="BF1" s="596"/>
      <c r="BG1" s="596"/>
      <c r="BH1" s="596"/>
      <c r="BI1" s="596"/>
      <c r="BJ1" s="596"/>
      <c r="BK1" s="596"/>
      <c r="BL1" s="596"/>
      <c r="BM1" s="596"/>
      <c r="BN1" s="596"/>
      <c r="BO1" s="597"/>
      <c r="BP1" s="3"/>
      <c r="BQ1" s="593" t="s">
        <v>4</v>
      </c>
      <c r="BR1" s="596"/>
      <c r="BS1" s="596"/>
      <c r="BT1" s="596"/>
      <c r="BU1" s="596"/>
      <c r="BV1" s="596"/>
      <c r="BW1" s="596"/>
      <c r="BX1" s="596"/>
      <c r="BY1" s="596"/>
      <c r="BZ1" s="596"/>
      <c r="CA1" s="596"/>
      <c r="CB1" s="596"/>
      <c r="CC1" s="596"/>
      <c r="CD1" s="596"/>
      <c r="CE1" s="596"/>
      <c r="CF1" s="596"/>
      <c r="CG1" s="596"/>
      <c r="CH1" s="596"/>
      <c r="CI1" s="596"/>
      <c r="CJ1" s="596"/>
      <c r="CK1" s="597"/>
      <c r="CL1" s="3"/>
      <c r="CM1" s="4" t="s">
        <v>5</v>
      </c>
      <c r="CN1" s="3"/>
      <c r="CO1" s="578" t="s">
        <v>29</v>
      </c>
      <c r="CP1" s="579"/>
      <c r="CQ1" s="579"/>
      <c r="CR1" s="579"/>
      <c r="CS1" s="579"/>
      <c r="CT1" s="579"/>
    </row>
    <row r="2" spans="1:98" ht="16.5" thickTop="1" thickBot="1" x14ac:dyDescent="0.3">
      <c r="A2" s="5"/>
      <c r="B2" s="6"/>
      <c r="C2" s="598" t="s">
        <v>22</v>
      </c>
      <c r="D2" s="599"/>
      <c r="E2" s="599"/>
      <c r="F2" s="599"/>
      <c r="G2" s="599"/>
      <c r="H2" s="600"/>
      <c r="I2" s="601" t="s">
        <v>7</v>
      </c>
      <c r="J2" s="599"/>
      <c r="K2" s="599"/>
      <c r="L2" s="599"/>
      <c r="M2" s="599"/>
      <c r="N2" s="600"/>
      <c r="O2" s="601" t="s">
        <v>8</v>
      </c>
      <c r="P2" s="599"/>
      <c r="Q2" s="599"/>
      <c r="R2" s="599"/>
      <c r="S2" s="599"/>
      <c r="T2" s="600"/>
      <c r="U2" s="415"/>
      <c r="V2" s="8"/>
      <c r="W2" s="9"/>
      <c r="X2" s="3"/>
      <c r="Y2" s="598" t="s">
        <v>6</v>
      </c>
      <c r="Z2" s="599"/>
      <c r="AA2" s="599"/>
      <c r="AB2" s="599"/>
      <c r="AC2" s="599"/>
      <c r="AD2" s="600"/>
      <c r="AE2" s="601" t="s">
        <v>7</v>
      </c>
      <c r="AF2" s="599"/>
      <c r="AG2" s="599"/>
      <c r="AH2" s="599"/>
      <c r="AI2" s="599"/>
      <c r="AJ2" s="600"/>
      <c r="AK2" s="601" t="s">
        <v>9</v>
      </c>
      <c r="AL2" s="599"/>
      <c r="AM2" s="599"/>
      <c r="AN2" s="599"/>
      <c r="AO2" s="599"/>
      <c r="AP2" s="600"/>
      <c r="AQ2" s="415"/>
      <c r="AR2" s="8"/>
      <c r="AS2" s="9"/>
      <c r="AT2" s="3"/>
      <c r="AU2" s="598" t="s">
        <v>6</v>
      </c>
      <c r="AV2" s="599"/>
      <c r="AW2" s="599"/>
      <c r="AX2" s="599"/>
      <c r="AY2" s="599"/>
      <c r="AZ2" s="600"/>
      <c r="BA2" s="599" t="s">
        <v>7</v>
      </c>
      <c r="BB2" s="599"/>
      <c r="BC2" s="599"/>
      <c r="BD2" s="599"/>
      <c r="BE2" s="599"/>
      <c r="BF2" s="600"/>
      <c r="BG2" s="587" t="s">
        <v>9</v>
      </c>
      <c r="BH2" s="588"/>
      <c r="BI2" s="588"/>
      <c r="BJ2" s="588"/>
      <c r="BK2" s="588"/>
      <c r="BL2" s="589"/>
      <c r="BM2" s="128"/>
      <c r="BN2" s="10"/>
      <c r="BO2" s="9"/>
      <c r="BP2" s="3"/>
      <c r="BQ2" s="586" t="s">
        <v>6</v>
      </c>
      <c r="BR2" s="584"/>
      <c r="BS2" s="584"/>
      <c r="BT2" s="584"/>
      <c r="BU2" s="584"/>
      <c r="BV2" s="585"/>
      <c r="BW2" s="583" t="s">
        <v>7</v>
      </c>
      <c r="BX2" s="584"/>
      <c r="BY2" s="584"/>
      <c r="BZ2" s="584"/>
      <c r="CA2" s="584"/>
      <c r="CB2" s="585"/>
      <c r="CC2" s="580" t="s">
        <v>9</v>
      </c>
      <c r="CD2" s="581"/>
      <c r="CE2" s="581"/>
      <c r="CF2" s="581"/>
      <c r="CG2" s="581"/>
      <c r="CH2" s="582"/>
      <c r="CI2" s="128"/>
      <c r="CJ2" s="11"/>
      <c r="CK2" s="9"/>
      <c r="CL2" s="3"/>
      <c r="CM2" s="12"/>
      <c r="CN2" s="3"/>
      <c r="CO2" s="579"/>
      <c r="CP2" s="579"/>
      <c r="CQ2" s="579"/>
      <c r="CR2" s="579"/>
      <c r="CS2" s="579"/>
      <c r="CT2" s="579"/>
    </row>
    <row r="3" spans="1:98" ht="39" thickBot="1" x14ac:dyDescent="0.3">
      <c r="A3" s="13"/>
      <c r="B3" s="14"/>
      <c r="C3" s="15" t="s">
        <v>23</v>
      </c>
      <c r="D3" s="16" t="s">
        <v>24</v>
      </c>
      <c r="E3" s="111" t="s">
        <v>25</v>
      </c>
      <c r="F3" s="165" t="s">
        <v>26</v>
      </c>
      <c r="G3" s="123" t="s">
        <v>27</v>
      </c>
      <c r="H3" s="146" t="s">
        <v>28</v>
      </c>
      <c r="I3" s="107" t="s">
        <v>23</v>
      </c>
      <c r="J3" s="16" t="s">
        <v>24</v>
      </c>
      <c r="K3" s="111" t="s">
        <v>25</v>
      </c>
      <c r="L3" s="165" t="s">
        <v>26</v>
      </c>
      <c r="M3" s="160" t="s">
        <v>27</v>
      </c>
      <c r="N3" s="155" t="s">
        <v>28</v>
      </c>
      <c r="O3" s="107" t="s">
        <v>23</v>
      </c>
      <c r="P3" s="16" t="s">
        <v>24</v>
      </c>
      <c r="Q3" s="111" t="s">
        <v>25</v>
      </c>
      <c r="R3" s="165" t="s">
        <v>26</v>
      </c>
      <c r="S3" s="123" t="s">
        <v>27</v>
      </c>
      <c r="T3" s="146" t="s">
        <v>28</v>
      </c>
      <c r="U3" s="17" t="s">
        <v>10</v>
      </c>
      <c r="V3" s="18" t="s">
        <v>11</v>
      </c>
      <c r="W3" s="19" t="s">
        <v>12</v>
      </c>
      <c r="X3" s="3"/>
      <c r="Y3" s="15" t="s">
        <v>23</v>
      </c>
      <c r="Z3" s="16" t="s">
        <v>24</v>
      </c>
      <c r="AA3" s="111" t="s">
        <v>25</v>
      </c>
      <c r="AB3" s="165" t="s">
        <v>26</v>
      </c>
      <c r="AC3" s="123" t="s">
        <v>27</v>
      </c>
      <c r="AD3" s="146" t="s">
        <v>28</v>
      </c>
      <c r="AE3" s="107" t="s">
        <v>23</v>
      </c>
      <c r="AF3" s="16" t="s">
        <v>24</v>
      </c>
      <c r="AG3" s="111" t="s">
        <v>25</v>
      </c>
      <c r="AH3" s="112" t="s">
        <v>26</v>
      </c>
      <c r="AI3" s="142" t="s">
        <v>27</v>
      </c>
      <c r="AJ3" s="165" t="s">
        <v>28</v>
      </c>
      <c r="AK3" s="107" t="s">
        <v>23</v>
      </c>
      <c r="AL3" s="16" t="s">
        <v>24</v>
      </c>
      <c r="AM3" s="111" t="s">
        <v>25</v>
      </c>
      <c r="AN3" s="177" t="s">
        <v>26</v>
      </c>
      <c r="AO3" s="123" t="s">
        <v>27</v>
      </c>
      <c r="AP3" s="177" t="s">
        <v>28</v>
      </c>
      <c r="AQ3" s="20" t="s">
        <v>10</v>
      </c>
      <c r="AR3" s="21" t="s">
        <v>11</v>
      </c>
      <c r="AS3" s="19" t="s">
        <v>12</v>
      </c>
      <c r="AT3" s="3"/>
      <c r="AU3" s="15" t="s">
        <v>23</v>
      </c>
      <c r="AV3" s="16" t="s">
        <v>24</v>
      </c>
      <c r="AW3" s="111" t="s">
        <v>25</v>
      </c>
      <c r="AX3" s="177" t="s">
        <v>26</v>
      </c>
      <c r="AY3" s="160" t="s">
        <v>27</v>
      </c>
      <c r="AZ3" s="183" t="s">
        <v>28</v>
      </c>
      <c r="BA3" s="107" t="s">
        <v>23</v>
      </c>
      <c r="BB3" s="16" t="s">
        <v>24</v>
      </c>
      <c r="BC3" s="111" t="s">
        <v>25</v>
      </c>
      <c r="BD3" s="139" t="s">
        <v>26</v>
      </c>
      <c r="BE3" s="178" t="s">
        <v>27</v>
      </c>
      <c r="BF3" s="165" t="s">
        <v>28</v>
      </c>
      <c r="BG3" s="107" t="s">
        <v>23</v>
      </c>
      <c r="BH3" s="16" t="s">
        <v>24</v>
      </c>
      <c r="BI3" s="111" t="s">
        <v>25</v>
      </c>
      <c r="BJ3" s="177" t="s">
        <v>26</v>
      </c>
      <c r="BK3" s="160" t="s">
        <v>27</v>
      </c>
      <c r="BL3" s="183" t="s">
        <v>28</v>
      </c>
      <c r="BM3" s="23" t="s">
        <v>10</v>
      </c>
      <c r="BN3" s="24" t="s">
        <v>11</v>
      </c>
      <c r="BO3" s="19" t="s">
        <v>12</v>
      </c>
      <c r="BP3" s="3"/>
      <c r="BQ3" s="15" t="s">
        <v>23</v>
      </c>
      <c r="BR3" s="16" t="s">
        <v>24</v>
      </c>
      <c r="BS3" s="369" t="s">
        <v>25</v>
      </c>
      <c r="BT3" s="370" t="s">
        <v>26</v>
      </c>
      <c r="BU3" s="372" t="s">
        <v>27</v>
      </c>
      <c r="BV3" s="373" t="s">
        <v>28</v>
      </c>
      <c r="BW3" s="107" t="s">
        <v>23</v>
      </c>
      <c r="BX3" s="16" t="s">
        <v>24</v>
      </c>
      <c r="BY3" s="369" t="s">
        <v>25</v>
      </c>
      <c r="BZ3" s="370" t="s">
        <v>26</v>
      </c>
      <c r="CA3" s="372" t="s">
        <v>27</v>
      </c>
      <c r="CB3" s="373" t="s">
        <v>28</v>
      </c>
      <c r="CC3" s="107" t="s">
        <v>23</v>
      </c>
      <c r="CD3" s="16" t="s">
        <v>24</v>
      </c>
      <c r="CE3" s="369" t="s">
        <v>25</v>
      </c>
      <c r="CF3" s="370" t="s">
        <v>26</v>
      </c>
      <c r="CG3" s="151" t="s">
        <v>27</v>
      </c>
      <c r="CH3" s="183" t="s">
        <v>28</v>
      </c>
      <c r="CI3" s="193" t="s">
        <v>10</v>
      </c>
      <c r="CJ3" s="22" t="s">
        <v>11</v>
      </c>
      <c r="CK3" s="19" t="s">
        <v>12</v>
      </c>
      <c r="CL3" s="3"/>
      <c r="CM3" s="25"/>
      <c r="CN3" s="3"/>
      <c r="CO3" s="111" t="s">
        <v>25</v>
      </c>
      <c r="CP3" s="177" t="s">
        <v>26</v>
      </c>
      <c r="CQ3" s="123" t="s">
        <v>27</v>
      </c>
      <c r="CR3" s="146" t="s">
        <v>28</v>
      </c>
      <c r="CS3" s="107" t="s">
        <v>23</v>
      </c>
      <c r="CT3" s="16" t="s">
        <v>24</v>
      </c>
    </row>
    <row r="4" spans="1:98" ht="15.75" thickBot="1" x14ac:dyDescent="0.3">
      <c r="A4" s="26" t="s">
        <v>35</v>
      </c>
      <c r="B4" s="27"/>
      <c r="C4" s="28"/>
      <c r="D4" s="29"/>
      <c r="E4" s="113"/>
      <c r="F4" s="166"/>
      <c r="G4" s="143"/>
      <c r="H4" s="147"/>
      <c r="I4" s="28"/>
      <c r="J4" s="29"/>
      <c r="K4" s="113"/>
      <c r="L4" s="166"/>
      <c r="M4" s="143"/>
      <c r="N4" s="147"/>
      <c r="O4" s="28"/>
      <c r="P4" s="30"/>
      <c r="Q4" s="113"/>
      <c r="R4" s="166"/>
      <c r="S4" s="118"/>
      <c r="T4" s="171"/>
      <c r="U4" s="109"/>
      <c r="V4" s="31"/>
      <c r="W4" s="32"/>
      <c r="X4" s="33"/>
      <c r="Y4" s="354">
        <v>159</v>
      </c>
      <c r="Z4" s="347">
        <v>302</v>
      </c>
      <c r="AA4" s="120"/>
      <c r="AB4" s="167"/>
      <c r="AC4" s="138"/>
      <c r="AD4" s="148"/>
      <c r="AE4" s="50"/>
      <c r="AF4" s="51"/>
      <c r="AG4" s="120"/>
      <c r="AH4" s="121"/>
      <c r="AI4" s="132"/>
      <c r="AJ4" s="167"/>
      <c r="AK4" s="89"/>
      <c r="AL4" s="36"/>
      <c r="AM4" s="120"/>
      <c r="AN4" s="167"/>
      <c r="AO4" s="138"/>
      <c r="AP4" s="148"/>
      <c r="AQ4" s="108"/>
      <c r="AR4" s="38"/>
      <c r="AS4" s="39"/>
      <c r="AT4" s="33"/>
      <c r="AU4" s="354">
        <v>0</v>
      </c>
      <c r="AV4" s="347">
        <v>0</v>
      </c>
      <c r="AW4" s="347"/>
      <c r="AX4" s="348"/>
      <c r="AY4" s="329"/>
      <c r="AZ4" s="349"/>
      <c r="BA4" s="329">
        <v>92</v>
      </c>
      <c r="BB4" s="347">
        <v>727</v>
      </c>
      <c r="BC4" s="347"/>
      <c r="BD4" s="336"/>
      <c r="BE4" s="355"/>
      <c r="BF4" s="348"/>
      <c r="BG4" s="329">
        <v>254</v>
      </c>
      <c r="BH4" s="336">
        <v>1136</v>
      </c>
      <c r="BI4" s="347"/>
      <c r="BJ4" s="348"/>
      <c r="BK4" s="354"/>
      <c r="BL4" s="347"/>
      <c r="BM4" s="28">
        <f t="shared" ref="BM4:BN4" si="0">AU4+AW4+AY4+BA4+BC4+BE4+BG4+BI4+BK4</f>
        <v>346</v>
      </c>
      <c r="BN4" s="44">
        <f t="shared" si="0"/>
        <v>1863</v>
      </c>
      <c r="BO4" s="39"/>
      <c r="BP4" s="33"/>
      <c r="BQ4" s="310">
        <v>0</v>
      </c>
      <c r="BR4" s="310">
        <v>0</v>
      </c>
      <c r="BS4" s="371"/>
      <c r="BT4" s="371"/>
      <c r="BU4" s="371"/>
      <c r="BV4" s="371"/>
      <c r="BW4" s="228">
        <v>36</v>
      </c>
      <c r="BX4" s="229">
        <v>208</v>
      </c>
      <c r="BY4" s="371"/>
      <c r="BZ4" s="371"/>
      <c r="CA4" s="371"/>
      <c r="CB4" s="371"/>
      <c r="CC4" s="228">
        <v>91</v>
      </c>
      <c r="CD4" s="230">
        <v>291</v>
      </c>
      <c r="CE4" s="371"/>
      <c r="CF4" s="371"/>
      <c r="CG4" s="195"/>
      <c r="CH4" s="197"/>
      <c r="CI4" s="193"/>
      <c r="CJ4" s="22"/>
      <c r="CK4" s="39"/>
      <c r="CL4" s="46"/>
      <c r="CM4" s="32"/>
      <c r="CN4" s="46"/>
      <c r="CO4" s="117"/>
      <c r="CP4" s="170"/>
      <c r="CQ4" s="152"/>
      <c r="CR4" s="170"/>
      <c r="CS4" s="194"/>
      <c r="CT4" s="47"/>
    </row>
    <row r="5" spans="1:98" ht="15.75" thickBot="1" x14ac:dyDescent="0.3">
      <c r="A5" s="48">
        <v>46023</v>
      </c>
      <c r="B5" s="49" t="s">
        <v>17</v>
      </c>
      <c r="C5" s="329"/>
      <c r="D5" s="347"/>
      <c r="E5" s="347">
        <v>0</v>
      </c>
      <c r="F5" s="348">
        <v>0</v>
      </c>
      <c r="G5" s="329"/>
      <c r="H5" s="349"/>
      <c r="I5" s="28">
        <v>0</v>
      </c>
      <c r="J5" s="29">
        <v>0</v>
      </c>
      <c r="K5" s="347"/>
      <c r="L5" s="348"/>
      <c r="M5" s="329"/>
      <c r="N5" s="349"/>
      <c r="O5" s="28">
        <v>0</v>
      </c>
      <c r="P5" s="399"/>
      <c r="Q5" s="400"/>
      <c r="R5" s="401"/>
      <c r="S5" s="402"/>
      <c r="T5" s="403"/>
      <c r="U5" s="388">
        <f t="shared" ref="U5:V20" si="1">C5+E5+G5+I5+K5+M5+O5+Q5+S5</f>
        <v>0</v>
      </c>
      <c r="V5" s="31">
        <f t="shared" si="1"/>
        <v>0</v>
      </c>
      <c r="W5" s="53"/>
      <c r="X5" s="6"/>
      <c r="Y5" s="51"/>
      <c r="Z5" s="51"/>
      <c r="AA5" s="51"/>
      <c r="AB5" s="380"/>
      <c r="AC5" s="50"/>
      <c r="AD5" s="381"/>
      <c r="AE5" s="50"/>
      <c r="AF5" s="51"/>
      <c r="AG5" s="51">
        <v>0</v>
      </c>
      <c r="AH5" s="65">
        <v>0</v>
      </c>
      <c r="AI5" s="389"/>
      <c r="AJ5" s="380"/>
      <c r="AK5" s="50"/>
      <c r="AL5" s="65"/>
      <c r="AM5" s="51">
        <v>0</v>
      </c>
      <c r="AN5" s="380">
        <v>0</v>
      </c>
      <c r="AO5" s="50"/>
      <c r="AP5" s="381"/>
      <c r="AQ5" s="124">
        <f t="shared" ref="AQ5:AR20" si="2">Y5+AA5+AC5+AE5+AG5+AI5+AK5+AM5+AO5</f>
        <v>0</v>
      </c>
      <c r="AR5" s="390">
        <f t="shared" si="2"/>
        <v>0</v>
      </c>
      <c r="AS5" s="53"/>
      <c r="AT5" s="6"/>
      <c r="AU5" s="54"/>
      <c r="AV5" s="51"/>
      <c r="AW5" s="51"/>
      <c r="AX5" s="380"/>
      <c r="AY5" s="124"/>
      <c r="AZ5" s="391"/>
      <c r="BA5" s="50"/>
      <c r="BB5" s="51"/>
      <c r="BC5" s="51"/>
      <c r="BD5" s="55"/>
      <c r="BE5" s="404"/>
      <c r="BF5" s="380"/>
      <c r="BG5" s="50"/>
      <c r="BH5" s="55"/>
      <c r="BI5" s="51"/>
      <c r="BJ5" s="380"/>
      <c r="BK5" s="124"/>
      <c r="BL5" s="391"/>
      <c r="BM5" s="393">
        <f t="shared" ref="BM5:BN20" si="3">AU5+AW5+AY5+BA5+BC5+BE5+BG5+BI5+BK5</f>
        <v>0</v>
      </c>
      <c r="BN5" s="394">
        <f t="shared" si="3"/>
        <v>0</v>
      </c>
      <c r="BO5" s="53"/>
      <c r="BP5" s="6"/>
      <c r="BQ5" s="405">
        <v>0</v>
      </c>
      <c r="BR5" s="406">
        <v>0</v>
      </c>
      <c r="BS5" s="51"/>
      <c r="BT5" s="65"/>
      <c r="BU5" s="55"/>
      <c r="BV5" s="380"/>
      <c r="BW5" s="393">
        <v>36</v>
      </c>
      <c r="BX5" s="406">
        <v>208</v>
      </c>
      <c r="BY5" s="51"/>
      <c r="BZ5" s="65"/>
      <c r="CA5" s="40"/>
      <c r="CB5" s="391"/>
      <c r="CC5" s="393">
        <v>91</v>
      </c>
      <c r="CD5" s="395">
        <v>291</v>
      </c>
      <c r="CE5" s="51"/>
      <c r="CF5" s="65"/>
      <c r="CG5" s="40"/>
      <c r="CH5" s="391"/>
      <c r="CI5" s="28">
        <f t="shared" ref="CI5:CJ20" si="4">BQ5+BS5+BU5+BW5+BY5+CA5+CC5+CE5+CG5</f>
        <v>127</v>
      </c>
      <c r="CJ5" s="45">
        <f t="shared" si="4"/>
        <v>499</v>
      </c>
      <c r="CK5" s="59"/>
      <c r="CL5" s="60"/>
      <c r="CM5" s="396"/>
      <c r="CN5" s="60"/>
      <c r="CO5" s="40">
        <v>0</v>
      </c>
      <c r="CP5" s="391">
        <v>0</v>
      </c>
      <c r="CQ5" s="40">
        <v>0</v>
      </c>
      <c r="CR5" s="391">
        <v>0</v>
      </c>
      <c r="CS5" s="187">
        <v>0</v>
      </c>
      <c r="CT5" s="57">
        <v>0</v>
      </c>
    </row>
    <row r="6" spans="1:98" ht="15.75" thickBot="1" x14ac:dyDescent="0.3">
      <c r="A6" s="48">
        <v>46024</v>
      </c>
      <c r="B6" s="49" t="s">
        <v>18</v>
      </c>
      <c r="C6" s="50"/>
      <c r="D6" s="51"/>
      <c r="E6" s="51"/>
      <c r="F6" s="380"/>
      <c r="G6" s="50"/>
      <c r="H6" s="381"/>
      <c r="I6" s="50"/>
      <c r="J6" s="51"/>
      <c r="K6" s="51"/>
      <c r="L6" s="380"/>
      <c r="M6" s="124"/>
      <c r="N6" s="382"/>
      <c r="O6" s="50"/>
      <c r="P6" s="383"/>
      <c r="Q6" s="384"/>
      <c r="R6" s="385"/>
      <c r="S6" s="386"/>
      <c r="T6" s="387"/>
      <c r="U6" s="388">
        <f t="shared" si="1"/>
        <v>0</v>
      </c>
      <c r="V6" s="31">
        <f t="shared" si="1"/>
        <v>0</v>
      </c>
      <c r="W6" s="64"/>
      <c r="X6" s="6"/>
      <c r="Y6" s="54"/>
      <c r="Z6" s="51"/>
      <c r="AA6" s="51"/>
      <c r="AB6" s="380"/>
      <c r="AC6" s="50"/>
      <c r="AD6" s="381"/>
      <c r="AE6" s="50"/>
      <c r="AF6" s="51"/>
      <c r="AG6" s="51"/>
      <c r="AH6" s="65"/>
      <c r="AI6" s="389"/>
      <c r="AJ6" s="380"/>
      <c r="AK6" s="50"/>
      <c r="AL6" s="65"/>
      <c r="AM6" s="51"/>
      <c r="AN6" s="380"/>
      <c r="AO6" s="50"/>
      <c r="AP6" s="381"/>
      <c r="AQ6" s="124">
        <f t="shared" si="2"/>
        <v>0</v>
      </c>
      <c r="AR6" s="390">
        <f t="shared" si="2"/>
        <v>0</v>
      </c>
      <c r="AS6" s="64"/>
      <c r="AT6" s="6"/>
      <c r="AU6" s="40"/>
      <c r="AV6" s="41"/>
      <c r="AW6" s="41"/>
      <c r="AX6" s="391"/>
      <c r="AY6" s="124"/>
      <c r="AZ6" s="391"/>
      <c r="BA6" s="124"/>
      <c r="BB6" s="41"/>
      <c r="BC6" s="41"/>
      <c r="BD6" s="42"/>
      <c r="BE6" s="392"/>
      <c r="BF6" s="391"/>
      <c r="BG6" s="50"/>
      <c r="BH6" s="55"/>
      <c r="BI6" s="41"/>
      <c r="BJ6" s="391"/>
      <c r="BK6" s="124"/>
      <c r="BL6" s="391"/>
      <c r="BM6" s="393">
        <f t="shared" si="3"/>
        <v>0</v>
      </c>
      <c r="BN6" s="394">
        <f t="shared" si="3"/>
        <v>0</v>
      </c>
      <c r="BO6" s="64"/>
      <c r="BP6" s="6"/>
      <c r="BQ6" s="405">
        <v>0</v>
      </c>
      <c r="BR6" s="406">
        <v>0</v>
      </c>
      <c r="BS6" s="41">
        <v>10</v>
      </c>
      <c r="BT6" s="390">
        <v>21</v>
      </c>
      <c r="BU6" s="55"/>
      <c r="BV6" s="380"/>
      <c r="BW6" s="393">
        <v>36</v>
      </c>
      <c r="BX6" s="406">
        <v>208</v>
      </c>
      <c r="BY6" s="41"/>
      <c r="BZ6" s="390"/>
      <c r="CA6" s="55"/>
      <c r="CB6" s="380"/>
      <c r="CC6" s="393">
        <v>91</v>
      </c>
      <c r="CD6" s="395">
        <v>291</v>
      </c>
      <c r="CE6" s="41"/>
      <c r="CF6" s="390"/>
      <c r="CG6" s="40"/>
      <c r="CH6" s="391"/>
      <c r="CI6" s="28">
        <f t="shared" si="4"/>
        <v>137</v>
      </c>
      <c r="CJ6" s="45">
        <f t="shared" si="4"/>
        <v>520</v>
      </c>
      <c r="CK6" s="64"/>
      <c r="CL6" s="60"/>
      <c r="CM6" s="396"/>
      <c r="CN6" s="60"/>
      <c r="CO6" s="41"/>
      <c r="CP6" s="391"/>
      <c r="CQ6" s="50"/>
      <c r="CR6" s="380"/>
      <c r="CS6" s="187"/>
      <c r="CT6" s="67"/>
    </row>
    <row r="7" spans="1:98" ht="15.75" thickBot="1" x14ac:dyDescent="0.3">
      <c r="A7" s="419">
        <v>46025</v>
      </c>
      <c r="B7" s="49" t="s">
        <v>19</v>
      </c>
      <c r="C7" s="420"/>
      <c r="D7" s="421"/>
      <c r="E7" s="421"/>
      <c r="F7" s="422"/>
      <c r="G7" s="420"/>
      <c r="H7" s="423"/>
      <c r="I7" s="420"/>
      <c r="J7" s="421"/>
      <c r="K7" s="421"/>
      <c r="L7" s="422"/>
      <c r="M7" s="424"/>
      <c r="N7" s="425"/>
      <c r="O7" s="420"/>
      <c r="P7" s="426"/>
      <c r="Q7" s="427"/>
      <c r="R7" s="428"/>
      <c r="S7" s="429"/>
      <c r="T7" s="430"/>
      <c r="U7" s="388">
        <f t="shared" si="1"/>
        <v>0</v>
      </c>
      <c r="V7" s="31">
        <f t="shared" si="1"/>
        <v>0</v>
      </c>
      <c r="W7" s="431"/>
      <c r="X7" s="432"/>
      <c r="Y7" s="433"/>
      <c r="Z7" s="421"/>
      <c r="AA7" s="421"/>
      <c r="AB7" s="422"/>
      <c r="AC7" s="420"/>
      <c r="AD7" s="423"/>
      <c r="AE7" s="420"/>
      <c r="AF7" s="421"/>
      <c r="AG7" s="421"/>
      <c r="AH7" s="434"/>
      <c r="AI7" s="435"/>
      <c r="AJ7" s="422"/>
      <c r="AK7" s="420"/>
      <c r="AL7" s="434"/>
      <c r="AM7" s="421"/>
      <c r="AN7" s="422"/>
      <c r="AO7" s="420"/>
      <c r="AP7" s="423"/>
      <c r="AQ7" s="124">
        <f t="shared" si="2"/>
        <v>0</v>
      </c>
      <c r="AR7" s="390">
        <f t="shared" si="2"/>
        <v>0</v>
      </c>
      <c r="AS7" s="431"/>
      <c r="AT7" s="432"/>
      <c r="AU7" s="438"/>
      <c r="AV7" s="439"/>
      <c r="AW7" s="439"/>
      <c r="AX7" s="440"/>
      <c r="AY7" s="436"/>
      <c r="AZ7" s="440"/>
      <c r="BA7" s="436"/>
      <c r="BB7" s="439"/>
      <c r="BC7" s="439"/>
      <c r="BD7" s="441"/>
      <c r="BE7" s="442"/>
      <c r="BF7" s="440"/>
      <c r="BG7" s="436"/>
      <c r="BH7" s="441"/>
      <c r="BI7" s="439"/>
      <c r="BJ7" s="440"/>
      <c r="BK7" s="436"/>
      <c r="BL7" s="440"/>
      <c r="BM7" s="393">
        <f t="shared" si="3"/>
        <v>0</v>
      </c>
      <c r="BN7" s="394">
        <f t="shared" si="3"/>
        <v>0</v>
      </c>
      <c r="BO7" s="431"/>
      <c r="BP7" s="432"/>
      <c r="BQ7" s="443">
        <v>10</v>
      </c>
      <c r="BR7" s="444">
        <v>21</v>
      </c>
      <c r="BS7" s="439"/>
      <c r="BT7" s="437"/>
      <c r="BU7" s="426"/>
      <c r="BV7" s="422"/>
      <c r="BW7" s="445">
        <v>36</v>
      </c>
      <c r="BX7" s="444">
        <v>208</v>
      </c>
      <c r="BY7" s="439"/>
      <c r="BZ7" s="437"/>
      <c r="CA7" s="426"/>
      <c r="CB7" s="422"/>
      <c r="CC7" s="228">
        <v>91</v>
      </c>
      <c r="CD7" s="230">
        <v>291</v>
      </c>
      <c r="CE7" s="439"/>
      <c r="CF7" s="437"/>
      <c r="CG7" s="438"/>
      <c r="CH7" s="440"/>
      <c r="CI7" s="28">
        <f t="shared" si="4"/>
        <v>137</v>
      </c>
      <c r="CJ7" s="45">
        <f t="shared" si="4"/>
        <v>520</v>
      </c>
      <c r="CK7" s="431"/>
      <c r="CL7" s="446"/>
      <c r="CM7" s="447"/>
      <c r="CN7" s="446"/>
      <c r="CO7" s="439"/>
      <c r="CP7" s="440"/>
      <c r="CQ7" s="420"/>
      <c r="CR7" s="422"/>
      <c r="CS7" s="445"/>
      <c r="CT7" s="444"/>
    </row>
    <row r="8" spans="1:98" ht="15.75" thickBot="1" x14ac:dyDescent="0.3">
      <c r="A8" s="419">
        <v>46026</v>
      </c>
      <c r="B8" s="49" t="s">
        <v>20</v>
      </c>
      <c r="C8" s="420"/>
      <c r="D8" s="421"/>
      <c r="E8" s="421"/>
      <c r="F8" s="422"/>
      <c r="G8" s="420"/>
      <c r="H8" s="423"/>
      <c r="I8" s="420"/>
      <c r="J8" s="421"/>
      <c r="K8" s="421"/>
      <c r="L8" s="422"/>
      <c r="M8" s="424"/>
      <c r="N8" s="425"/>
      <c r="O8" s="420"/>
      <c r="P8" s="448"/>
      <c r="Q8" s="427"/>
      <c r="R8" s="428"/>
      <c r="S8" s="429"/>
      <c r="T8" s="430"/>
      <c r="U8" s="388">
        <f t="shared" si="1"/>
        <v>0</v>
      </c>
      <c r="V8" s="31">
        <f t="shared" si="1"/>
        <v>0</v>
      </c>
      <c r="W8" s="449"/>
      <c r="X8" s="432"/>
      <c r="Y8" s="433"/>
      <c r="Z8" s="421"/>
      <c r="AA8" s="421"/>
      <c r="AB8" s="422"/>
      <c r="AC8" s="420"/>
      <c r="AD8" s="423"/>
      <c r="AE8" s="420"/>
      <c r="AF8" s="421"/>
      <c r="AG8" s="421"/>
      <c r="AH8" s="434"/>
      <c r="AI8" s="435"/>
      <c r="AJ8" s="422"/>
      <c r="AK8" s="420"/>
      <c r="AL8" s="434"/>
      <c r="AM8" s="421"/>
      <c r="AN8" s="422"/>
      <c r="AO8" s="420"/>
      <c r="AP8" s="423"/>
      <c r="AQ8" s="124">
        <f t="shared" si="2"/>
        <v>0</v>
      </c>
      <c r="AR8" s="390">
        <f t="shared" si="2"/>
        <v>0</v>
      </c>
      <c r="AS8" s="449"/>
      <c r="AT8" s="432"/>
      <c r="AU8" s="438"/>
      <c r="AV8" s="439"/>
      <c r="AW8" s="439"/>
      <c r="AX8" s="440"/>
      <c r="AY8" s="436"/>
      <c r="AZ8" s="440"/>
      <c r="BA8" s="436"/>
      <c r="BB8" s="439"/>
      <c r="BC8" s="439"/>
      <c r="BD8" s="441"/>
      <c r="BE8" s="442"/>
      <c r="BF8" s="440"/>
      <c r="BG8" s="436"/>
      <c r="BH8" s="441"/>
      <c r="BI8" s="439"/>
      <c r="BJ8" s="440"/>
      <c r="BK8" s="436"/>
      <c r="BL8" s="440"/>
      <c r="BM8" s="393">
        <f t="shared" si="3"/>
        <v>0</v>
      </c>
      <c r="BN8" s="394">
        <f t="shared" si="3"/>
        <v>0</v>
      </c>
      <c r="BO8" s="431"/>
      <c r="BP8" s="432"/>
      <c r="BQ8" s="443">
        <v>10</v>
      </c>
      <c r="BR8" s="444">
        <v>21</v>
      </c>
      <c r="BS8" s="439"/>
      <c r="BT8" s="437"/>
      <c r="BU8" s="426"/>
      <c r="BV8" s="422"/>
      <c r="BW8" s="445">
        <v>36</v>
      </c>
      <c r="BX8" s="444">
        <v>208</v>
      </c>
      <c r="BY8" s="439"/>
      <c r="BZ8" s="437"/>
      <c r="CA8" s="426"/>
      <c r="CB8" s="422"/>
      <c r="CC8" s="393">
        <v>91</v>
      </c>
      <c r="CD8" s="395">
        <v>291</v>
      </c>
      <c r="CE8" s="439"/>
      <c r="CF8" s="437"/>
      <c r="CG8" s="438"/>
      <c r="CH8" s="440"/>
      <c r="CI8" s="28">
        <f t="shared" si="4"/>
        <v>137</v>
      </c>
      <c r="CJ8" s="45">
        <f t="shared" si="4"/>
        <v>520</v>
      </c>
      <c r="CK8" s="450"/>
      <c r="CL8" s="446"/>
      <c r="CM8" s="447"/>
      <c r="CN8" s="446"/>
      <c r="CO8" s="439"/>
      <c r="CP8" s="440"/>
      <c r="CQ8" s="420"/>
      <c r="CR8" s="422"/>
      <c r="CS8" s="445"/>
      <c r="CT8" s="444"/>
    </row>
    <row r="9" spans="1:98" ht="15.75" thickBot="1" x14ac:dyDescent="0.3">
      <c r="A9" s="48">
        <v>46027</v>
      </c>
      <c r="B9" s="49" t="s">
        <v>14</v>
      </c>
      <c r="C9" s="236"/>
      <c r="D9" s="237"/>
      <c r="E9" s="237"/>
      <c r="F9" s="314"/>
      <c r="G9" s="236"/>
      <c r="H9" s="315"/>
      <c r="I9" s="236"/>
      <c r="J9" s="237"/>
      <c r="K9" s="237"/>
      <c r="L9" s="314"/>
      <c r="M9" s="243"/>
      <c r="N9" s="316"/>
      <c r="O9" s="236"/>
      <c r="P9" s="241"/>
      <c r="Q9" s="340"/>
      <c r="R9" s="341"/>
      <c r="S9" s="342"/>
      <c r="T9" s="343"/>
      <c r="U9" s="388">
        <f t="shared" si="1"/>
        <v>0</v>
      </c>
      <c r="V9" s="31">
        <f t="shared" si="1"/>
        <v>0</v>
      </c>
      <c r="W9" s="344"/>
      <c r="X9" s="322"/>
      <c r="Y9" s="323"/>
      <c r="Z9" s="237"/>
      <c r="AA9" s="237"/>
      <c r="AB9" s="314"/>
      <c r="AC9" s="236"/>
      <c r="AD9" s="315"/>
      <c r="AE9" s="236"/>
      <c r="AF9" s="237"/>
      <c r="AG9" s="237"/>
      <c r="AH9" s="324"/>
      <c r="AI9" s="325"/>
      <c r="AJ9" s="314"/>
      <c r="AK9" s="236"/>
      <c r="AL9" s="324"/>
      <c r="AM9" s="237"/>
      <c r="AN9" s="314"/>
      <c r="AO9" s="236"/>
      <c r="AP9" s="315"/>
      <c r="AQ9" s="124">
        <f t="shared" si="2"/>
        <v>0</v>
      </c>
      <c r="AR9" s="390">
        <f t="shared" si="2"/>
        <v>0</v>
      </c>
      <c r="AS9" s="344"/>
      <c r="AT9" s="322"/>
      <c r="AU9" s="327"/>
      <c r="AV9" s="317"/>
      <c r="AW9" s="317"/>
      <c r="AX9" s="318"/>
      <c r="AY9" s="243"/>
      <c r="AZ9" s="318"/>
      <c r="BA9" s="243"/>
      <c r="BB9" s="317"/>
      <c r="BC9" s="317"/>
      <c r="BD9" s="242"/>
      <c r="BE9" s="328"/>
      <c r="BF9" s="318"/>
      <c r="BG9" s="243"/>
      <c r="BH9" s="242"/>
      <c r="BI9" s="317"/>
      <c r="BJ9" s="318"/>
      <c r="BK9" s="243"/>
      <c r="BL9" s="318"/>
      <c r="BM9" s="393">
        <f t="shared" si="3"/>
        <v>0</v>
      </c>
      <c r="BN9" s="394">
        <f t="shared" si="3"/>
        <v>0</v>
      </c>
      <c r="BO9" s="321"/>
      <c r="BP9" s="322"/>
      <c r="BQ9" s="330">
        <v>10</v>
      </c>
      <c r="BR9" s="331">
        <v>21</v>
      </c>
      <c r="BS9" s="317"/>
      <c r="BT9" s="326"/>
      <c r="BU9" s="241"/>
      <c r="BV9" s="314"/>
      <c r="BW9" s="332">
        <v>36</v>
      </c>
      <c r="BX9" s="331">
        <v>208</v>
      </c>
      <c r="BY9" s="317"/>
      <c r="BZ9" s="326"/>
      <c r="CA9" s="241"/>
      <c r="CB9" s="314"/>
      <c r="CC9" s="393">
        <v>91</v>
      </c>
      <c r="CD9" s="395">
        <v>291</v>
      </c>
      <c r="CE9" s="317"/>
      <c r="CF9" s="326"/>
      <c r="CG9" s="327"/>
      <c r="CH9" s="318"/>
      <c r="CI9" s="28">
        <f t="shared" si="4"/>
        <v>137</v>
      </c>
      <c r="CJ9" s="45">
        <f t="shared" si="4"/>
        <v>520</v>
      </c>
      <c r="CK9" s="345"/>
      <c r="CL9" s="337"/>
      <c r="CM9" s="32"/>
      <c r="CN9" s="337"/>
      <c r="CO9" s="317"/>
      <c r="CP9" s="318"/>
      <c r="CQ9" s="236"/>
      <c r="CR9" s="314"/>
      <c r="CS9" s="332"/>
      <c r="CT9" s="331"/>
    </row>
    <row r="10" spans="1:98" ht="15.75" thickBot="1" x14ac:dyDescent="0.3">
      <c r="A10" s="48">
        <v>46028</v>
      </c>
      <c r="B10" s="49" t="s">
        <v>15</v>
      </c>
      <c r="C10" s="236"/>
      <c r="D10" s="237"/>
      <c r="E10" s="237"/>
      <c r="F10" s="314"/>
      <c r="G10" s="236"/>
      <c r="H10" s="315"/>
      <c r="I10" s="236"/>
      <c r="J10" s="237"/>
      <c r="K10" s="237"/>
      <c r="L10" s="314"/>
      <c r="M10" s="243"/>
      <c r="N10" s="316"/>
      <c r="O10" s="236"/>
      <c r="P10" s="240"/>
      <c r="Q10" s="340"/>
      <c r="R10" s="341"/>
      <c r="S10" s="342"/>
      <c r="T10" s="343"/>
      <c r="U10" s="388">
        <f t="shared" si="1"/>
        <v>0</v>
      </c>
      <c r="V10" s="31">
        <f t="shared" si="1"/>
        <v>0</v>
      </c>
      <c r="W10" s="321"/>
      <c r="X10" s="322"/>
      <c r="Y10" s="323"/>
      <c r="Z10" s="237"/>
      <c r="AA10" s="237"/>
      <c r="AB10" s="314"/>
      <c r="AC10" s="236"/>
      <c r="AD10" s="315"/>
      <c r="AE10" s="236"/>
      <c r="AF10" s="237"/>
      <c r="AG10" s="237"/>
      <c r="AH10" s="324"/>
      <c r="AI10" s="325"/>
      <c r="AJ10" s="314"/>
      <c r="AK10" s="236"/>
      <c r="AL10" s="324"/>
      <c r="AM10" s="237"/>
      <c r="AN10" s="314"/>
      <c r="AO10" s="236"/>
      <c r="AP10" s="315"/>
      <c r="AQ10" s="124">
        <f t="shared" si="2"/>
        <v>0</v>
      </c>
      <c r="AR10" s="390">
        <f t="shared" si="2"/>
        <v>0</v>
      </c>
      <c r="AS10" s="321"/>
      <c r="AT10" s="322"/>
      <c r="AU10" s="327"/>
      <c r="AV10" s="317"/>
      <c r="AW10" s="317"/>
      <c r="AX10" s="318"/>
      <c r="AY10" s="243"/>
      <c r="AZ10" s="318"/>
      <c r="BA10" s="243"/>
      <c r="BB10" s="317"/>
      <c r="BC10" s="317"/>
      <c r="BD10" s="242"/>
      <c r="BE10" s="328"/>
      <c r="BF10" s="318"/>
      <c r="BG10" s="243"/>
      <c r="BH10" s="242"/>
      <c r="BI10" s="317"/>
      <c r="BJ10" s="318"/>
      <c r="BK10" s="243">
        <v>1</v>
      </c>
      <c r="BL10" s="318">
        <v>2</v>
      </c>
      <c r="BM10" s="393">
        <f t="shared" si="3"/>
        <v>1</v>
      </c>
      <c r="BN10" s="394">
        <f t="shared" si="3"/>
        <v>2</v>
      </c>
      <c r="BO10" s="321"/>
      <c r="BP10" s="322"/>
      <c r="BQ10" s="330">
        <v>10</v>
      </c>
      <c r="BR10" s="331">
        <v>21</v>
      </c>
      <c r="BS10" s="317"/>
      <c r="BT10" s="326"/>
      <c r="BU10" s="241"/>
      <c r="BV10" s="314"/>
      <c r="BW10" s="332">
        <v>36</v>
      </c>
      <c r="BX10" s="331">
        <v>208</v>
      </c>
      <c r="BY10" s="317"/>
      <c r="BZ10" s="326"/>
      <c r="CA10" s="241"/>
      <c r="CB10" s="314"/>
      <c r="CC10" s="332">
        <v>91</v>
      </c>
      <c r="CD10" s="335">
        <v>291</v>
      </c>
      <c r="CE10" s="317"/>
      <c r="CF10" s="326"/>
      <c r="CG10" s="327"/>
      <c r="CH10" s="318"/>
      <c r="CI10" s="28">
        <f t="shared" si="4"/>
        <v>137</v>
      </c>
      <c r="CJ10" s="45">
        <f t="shared" si="4"/>
        <v>520</v>
      </c>
      <c r="CK10" s="321"/>
      <c r="CL10" s="337"/>
      <c r="CM10" s="356"/>
      <c r="CN10" s="337"/>
      <c r="CO10" s="317"/>
      <c r="CP10" s="318"/>
      <c r="CQ10" s="236"/>
      <c r="CR10" s="314"/>
      <c r="CS10" s="332"/>
      <c r="CT10" s="333"/>
    </row>
    <row r="11" spans="1:98" ht="15.75" thickBot="1" x14ac:dyDescent="0.3">
      <c r="A11" s="48">
        <v>46029</v>
      </c>
      <c r="B11" s="49" t="s">
        <v>16</v>
      </c>
      <c r="C11" s="236"/>
      <c r="D11" s="237"/>
      <c r="E11" s="237"/>
      <c r="F11" s="314"/>
      <c r="G11" s="236"/>
      <c r="H11" s="315"/>
      <c r="I11" s="236"/>
      <c r="J11" s="237"/>
      <c r="K11" s="237"/>
      <c r="L11" s="314"/>
      <c r="M11" s="243"/>
      <c r="N11" s="316"/>
      <c r="O11" s="236"/>
      <c r="P11" s="241"/>
      <c r="Q11" s="317"/>
      <c r="R11" s="318"/>
      <c r="S11" s="319"/>
      <c r="T11" s="320"/>
      <c r="U11" s="388">
        <f t="shared" si="1"/>
        <v>0</v>
      </c>
      <c r="V11" s="31">
        <f t="shared" si="1"/>
        <v>0</v>
      </c>
      <c r="W11" s="321"/>
      <c r="X11" s="322"/>
      <c r="Y11" s="323"/>
      <c r="Z11" s="237"/>
      <c r="AA11" s="237"/>
      <c r="AB11" s="314"/>
      <c r="AC11" s="236"/>
      <c r="AD11" s="315"/>
      <c r="AE11" s="236"/>
      <c r="AF11" s="237"/>
      <c r="AG11" s="237"/>
      <c r="AH11" s="324"/>
      <c r="AI11" s="325"/>
      <c r="AJ11" s="314"/>
      <c r="AK11" s="236"/>
      <c r="AL11" s="324"/>
      <c r="AM11" s="237"/>
      <c r="AN11" s="314"/>
      <c r="AO11" s="236"/>
      <c r="AP11" s="315"/>
      <c r="AQ11" s="124">
        <f t="shared" si="2"/>
        <v>0</v>
      </c>
      <c r="AR11" s="390">
        <f t="shared" si="2"/>
        <v>0</v>
      </c>
      <c r="AS11" s="321"/>
      <c r="AT11" s="322"/>
      <c r="AU11" s="327"/>
      <c r="AV11" s="317"/>
      <c r="AW11" s="317"/>
      <c r="AX11" s="318"/>
      <c r="AY11" s="243"/>
      <c r="AZ11" s="318"/>
      <c r="BA11" s="243">
        <v>92</v>
      </c>
      <c r="BB11" s="317">
        <v>727</v>
      </c>
      <c r="BC11" s="317">
        <v>12</v>
      </c>
      <c r="BD11" s="242">
        <v>103</v>
      </c>
      <c r="BE11" s="328"/>
      <c r="BF11" s="318"/>
      <c r="BG11" s="243">
        <v>254</v>
      </c>
      <c r="BH11" s="242">
        <v>1136</v>
      </c>
      <c r="BI11" s="317">
        <v>31</v>
      </c>
      <c r="BJ11" s="318">
        <v>93</v>
      </c>
      <c r="BK11" s="243">
        <v>1</v>
      </c>
      <c r="BL11" s="318">
        <v>2</v>
      </c>
      <c r="BM11" s="393">
        <f t="shared" si="3"/>
        <v>390</v>
      </c>
      <c r="BN11" s="394">
        <f t="shared" si="3"/>
        <v>2061</v>
      </c>
      <c r="BO11" s="321"/>
      <c r="BP11" s="322"/>
      <c r="BQ11" s="330">
        <v>10</v>
      </c>
      <c r="BR11" s="331">
        <v>21</v>
      </c>
      <c r="BS11" s="317"/>
      <c r="BT11" s="326"/>
      <c r="BU11" s="241"/>
      <c r="BV11" s="314"/>
      <c r="BW11" s="332">
        <v>36</v>
      </c>
      <c r="BX11" s="333">
        <v>208</v>
      </c>
      <c r="BY11" s="317"/>
      <c r="BZ11" s="326"/>
      <c r="CA11" s="242"/>
      <c r="CB11" s="318"/>
      <c r="CC11" s="334">
        <v>91</v>
      </c>
      <c r="CD11" s="335">
        <v>291</v>
      </c>
      <c r="CE11" s="317"/>
      <c r="CF11" s="326"/>
      <c r="CG11" s="327"/>
      <c r="CH11" s="318"/>
      <c r="CI11" s="28">
        <f t="shared" si="4"/>
        <v>137</v>
      </c>
      <c r="CJ11" s="45">
        <f t="shared" si="4"/>
        <v>520</v>
      </c>
      <c r="CK11" s="321"/>
      <c r="CL11" s="337"/>
      <c r="CM11" s="356"/>
      <c r="CN11" s="337"/>
      <c r="CO11" s="317"/>
      <c r="CP11" s="318"/>
      <c r="CQ11" s="236"/>
      <c r="CR11" s="314"/>
      <c r="CS11" s="332"/>
      <c r="CT11" s="333"/>
    </row>
    <row r="12" spans="1:98" ht="15.75" thickBot="1" x14ac:dyDescent="0.3">
      <c r="A12" s="290">
        <v>46030</v>
      </c>
      <c r="B12" s="49" t="s">
        <v>17</v>
      </c>
      <c r="C12" s="99">
        <v>54</v>
      </c>
      <c r="D12" s="74">
        <v>107</v>
      </c>
      <c r="E12" s="74"/>
      <c r="F12" s="292"/>
      <c r="G12" s="99"/>
      <c r="H12" s="293"/>
      <c r="I12" s="99">
        <v>19</v>
      </c>
      <c r="J12" s="74">
        <v>104</v>
      </c>
      <c r="K12" s="74"/>
      <c r="L12" s="292"/>
      <c r="M12" s="125"/>
      <c r="N12" s="294"/>
      <c r="O12" s="99">
        <v>34</v>
      </c>
      <c r="P12" s="78">
        <v>92</v>
      </c>
      <c r="Q12" s="77"/>
      <c r="R12" s="302"/>
      <c r="S12" s="307"/>
      <c r="T12" s="308"/>
      <c r="U12" s="388">
        <f t="shared" si="1"/>
        <v>107</v>
      </c>
      <c r="V12" s="31">
        <f t="shared" si="1"/>
        <v>303</v>
      </c>
      <c r="W12" s="79"/>
      <c r="X12" s="300"/>
      <c r="Y12" s="73">
        <v>84</v>
      </c>
      <c r="Z12" s="74">
        <v>146</v>
      </c>
      <c r="AA12" s="74"/>
      <c r="AB12" s="292"/>
      <c r="AC12" s="99"/>
      <c r="AD12" s="293"/>
      <c r="AE12" s="99">
        <v>374</v>
      </c>
      <c r="AF12" s="74">
        <v>2394</v>
      </c>
      <c r="AG12" s="74"/>
      <c r="AH12" s="75"/>
      <c r="AI12" s="301"/>
      <c r="AJ12" s="292"/>
      <c r="AK12" s="99">
        <v>543</v>
      </c>
      <c r="AL12" s="75">
        <v>1621</v>
      </c>
      <c r="AM12" s="74"/>
      <c r="AN12" s="292"/>
      <c r="AO12" s="99"/>
      <c r="AP12" s="293"/>
      <c r="AQ12" s="125">
        <f t="shared" si="2"/>
        <v>1001</v>
      </c>
      <c r="AR12" s="210">
        <f t="shared" si="2"/>
        <v>4161</v>
      </c>
      <c r="AS12" s="79"/>
      <c r="AT12" s="300"/>
      <c r="AU12" s="76">
        <v>0</v>
      </c>
      <c r="AV12" s="77">
        <v>0</v>
      </c>
      <c r="AW12" s="77"/>
      <c r="AX12" s="302"/>
      <c r="AY12" s="125"/>
      <c r="AZ12" s="302"/>
      <c r="BA12" s="125">
        <v>104</v>
      </c>
      <c r="BB12" s="77">
        <v>830</v>
      </c>
      <c r="BC12" s="77"/>
      <c r="BD12" s="78"/>
      <c r="BE12" s="303"/>
      <c r="BF12" s="302"/>
      <c r="BG12" s="125">
        <v>285</v>
      </c>
      <c r="BH12" s="78">
        <v>1229</v>
      </c>
      <c r="BI12" s="77"/>
      <c r="BJ12" s="302"/>
      <c r="BK12" s="125"/>
      <c r="BL12" s="302"/>
      <c r="BM12" s="393">
        <f t="shared" si="3"/>
        <v>389</v>
      </c>
      <c r="BN12" s="394">
        <f t="shared" si="3"/>
        <v>2059</v>
      </c>
      <c r="BO12" s="79"/>
      <c r="BP12" s="300"/>
      <c r="BQ12" s="80">
        <v>10</v>
      </c>
      <c r="BR12" s="81">
        <v>21</v>
      </c>
      <c r="BS12" s="77"/>
      <c r="BT12" s="210"/>
      <c r="BU12" s="100"/>
      <c r="BV12" s="292"/>
      <c r="BW12" s="188">
        <v>36</v>
      </c>
      <c r="BX12" s="101">
        <v>208</v>
      </c>
      <c r="BY12" s="77"/>
      <c r="BZ12" s="210"/>
      <c r="CA12" s="78"/>
      <c r="CB12" s="302"/>
      <c r="CC12" s="192">
        <v>91</v>
      </c>
      <c r="CD12" s="82">
        <v>291</v>
      </c>
      <c r="CE12" s="77"/>
      <c r="CF12" s="210"/>
      <c r="CG12" s="76"/>
      <c r="CH12" s="302"/>
      <c r="CI12" s="28">
        <f t="shared" si="4"/>
        <v>137</v>
      </c>
      <c r="CJ12" s="45">
        <f t="shared" si="4"/>
        <v>520</v>
      </c>
      <c r="CK12" s="79"/>
      <c r="CL12" s="304"/>
      <c r="CM12" s="379"/>
      <c r="CN12" s="304"/>
      <c r="CO12" s="77">
        <v>382</v>
      </c>
      <c r="CP12" s="302">
        <v>1011</v>
      </c>
      <c r="CQ12" s="99"/>
      <c r="CR12" s="292"/>
      <c r="CS12" s="188"/>
      <c r="CT12" s="101"/>
    </row>
    <row r="13" spans="1:98" ht="15.75" thickBot="1" x14ac:dyDescent="0.3">
      <c r="A13" s="48">
        <v>46031</v>
      </c>
      <c r="B13" s="49" t="s">
        <v>18</v>
      </c>
      <c r="C13" s="50"/>
      <c r="D13" s="51"/>
      <c r="E13" s="51">
        <v>13</v>
      </c>
      <c r="F13" s="380">
        <v>29</v>
      </c>
      <c r="G13" s="50"/>
      <c r="H13" s="381"/>
      <c r="I13" s="50"/>
      <c r="J13" s="51"/>
      <c r="K13" s="51"/>
      <c r="L13" s="380"/>
      <c r="M13" s="124"/>
      <c r="N13" s="382"/>
      <c r="O13" s="50"/>
      <c r="P13" s="42"/>
      <c r="Q13" s="41"/>
      <c r="R13" s="391"/>
      <c r="S13" s="397"/>
      <c r="T13" s="398"/>
      <c r="U13" s="388">
        <f t="shared" si="1"/>
        <v>13</v>
      </c>
      <c r="V13" s="31">
        <f t="shared" si="1"/>
        <v>29</v>
      </c>
      <c r="W13" s="64"/>
      <c r="X13" s="6"/>
      <c r="Y13" s="54"/>
      <c r="Z13" s="51"/>
      <c r="AA13" s="51">
        <v>135</v>
      </c>
      <c r="AB13" s="380">
        <v>254</v>
      </c>
      <c r="AC13" s="50"/>
      <c r="AD13" s="381"/>
      <c r="AE13" s="50">
        <v>374</v>
      </c>
      <c r="AF13" s="51">
        <v>2394</v>
      </c>
      <c r="AG13" s="51"/>
      <c r="AH13" s="65"/>
      <c r="AI13" s="389"/>
      <c r="AJ13" s="380"/>
      <c r="AK13" s="50">
        <v>498</v>
      </c>
      <c r="AL13" s="65">
        <v>1461</v>
      </c>
      <c r="AM13" s="51"/>
      <c r="AN13" s="380"/>
      <c r="AO13" s="50">
        <v>1</v>
      </c>
      <c r="AP13" s="381">
        <v>5</v>
      </c>
      <c r="AQ13" s="124">
        <f t="shared" si="2"/>
        <v>1008</v>
      </c>
      <c r="AR13" s="390">
        <f t="shared" si="2"/>
        <v>4114</v>
      </c>
      <c r="AS13" s="64"/>
      <c r="AT13" s="6"/>
      <c r="AU13" s="40">
        <v>0</v>
      </c>
      <c r="AV13" s="41">
        <v>0</v>
      </c>
      <c r="AW13" s="41"/>
      <c r="AX13" s="391"/>
      <c r="AY13" s="124"/>
      <c r="AZ13" s="391"/>
      <c r="BA13" s="124">
        <v>84</v>
      </c>
      <c r="BB13" s="41">
        <v>719</v>
      </c>
      <c r="BC13" s="41"/>
      <c r="BD13" s="42"/>
      <c r="BE13" s="392"/>
      <c r="BF13" s="391"/>
      <c r="BG13" s="124">
        <v>283</v>
      </c>
      <c r="BH13" s="42">
        <v>1217</v>
      </c>
      <c r="BI13" s="41"/>
      <c r="BJ13" s="391"/>
      <c r="BK13" s="124">
        <v>5</v>
      </c>
      <c r="BL13" s="391">
        <v>23</v>
      </c>
      <c r="BM13" s="393">
        <f t="shared" si="3"/>
        <v>372</v>
      </c>
      <c r="BN13" s="394">
        <f t="shared" si="3"/>
        <v>1959</v>
      </c>
      <c r="BO13" s="64"/>
      <c r="BP13" s="6"/>
      <c r="BQ13" s="56">
        <v>10</v>
      </c>
      <c r="BR13" s="57">
        <v>21</v>
      </c>
      <c r="BS13" s="41"/>
      <c r="BT13" s="390"/>
      <c r="BU13" s="55"/>
      <c r="BV13" s="380"/>
      <c r="BW13" s="187">
        <v>19</v>
      </c>
      <c r="BX13" s="67">
        <v>101</v>
      </c>
      <c r="BY13" s="41"/>
      <c r="BZ13" s="390"/>
      <c r="CA13" s="42"/>
      <c r="CB13" s="391"/>
      <c r="CC13" s="190">
        <v>91</v>
      </c>
      <c r="CD13" s="58">
        <v>291</v>
      </c>
      <c r="CE13" s="41"/>
      <c r="CF13" s="390"/>
      <c r="CG13" s="40"/>
      <c r="CH13" s="391"/>
      <c r="CI13" s="28">
        <f t="shared" si="4"/>
        <v>120</v>
      </c>
      <c r="CJ13" s="45">
        <f t="shared" si="4"/>
        <v>413</v>
      </c>
      <c r="CK13" s="64"/>
      <c r="CL13" s="60"/>
      <c r="CM13" s="396"/>
      <c r="CN13" s="60"/>
      <c r="CO13" s="41"/>
      <c r="CP13" s="391"/>
      <c r="CQ13" s="50"/>
      <c r="CR13" s="380"/>
      <c r="CS13" s="187"/>
      <c r="CT13" s="67"/>
    </row>
    <row r="14" spans="1:98" s="464" customFormat="1" ht="15.75" thickBot="1" x14ac:dyDescent="0.3">
      <c r="A14" s="419">
        <v>46032</v>
      </c>
      <c r="B14" s="452" t="s">
        <v>19</v>
      </c>
      <c r="C14" s="420"/>
      <c r="D14" s="421"/>
      <c r="E14" s="420"/>
      <c r="F14" s="423"/>
      <c r="G14" s="420"/>
      <c r="H14" s="423"/>
      <c r="I14" s="420"/>
      <c r="J14" s="421"/>
      <c r="K14" s="421"/>
      <c r="L14" s="422"/>
      <c r="M14" s="436"/>
      <c r="N14" s="453"/>
      <c r="O14" s="420"/>
      <c r="P14" s="441"/>
      <c r="Q14" s="439"/>
      <c r="R14" s="440"/>
      <c r="S14" s="454"/>
      <c r="T14" s="455"/>
      <c r="U14" s="456">
        <f t="shared" si="1"/>
        <v>0</v>
      </c>
      <c r="V14" s="457">
        <f t="shared" si="1"/>
        <v>0</v>
      </c>
      <c r="W14" s="431"/>
      <c r="X14" s="432"/>
      <c r="Y14" s="433"/>
      <c r="Z14" s="421"/>
      <c r="AA14" s="421"/>
      <c r="AB14" s="422"/>
      <c r="AC14" s="420"/>
      <c r="AD14" s="423"/>
      <c r="AE14" s="420">
        <v>374</v>
      </c>
      <c r="AF14" s="421">
        <v>2394</v>
      </c>
      <c r="AG14" s="421"/>
      <c r="AH14" s="434"/>
      <c r="AI14" s="435"/>
      <c r="AJ14" s="422"/>
      <c r="AK14" s="420">
        <v>443</v>
      </c>
      <c r="AL14" s="434">
        <v>1298</v>
      </c>
      <c r="AM14" s="421"/>
      <c r="AN14" s="422"/>
      <c r="AO14" s="420"/>
      <c r="AP14" s="423"/>
      <c r="AQ14" s="436">
        <f t="shared" si="2"/>
        <v>817</v>
      </c>
      <c r="AR14" s="437">
        <f t="shared" si="2"/>
        <v>3692</v>
      </c>
      <c r="AS14" s="431"/>
      <c r="AT14" s="432"/>
      <c r="AU14" s="438">
        <v>0</v>
      </c>
      <c r="AV14" s="439">
        <v>0</v>
      </c>
      <c r="AW14" s="439"/>
      <c r="AX14" s="440"/>
      <c r="AY14" s="436"/>
      <c r="AZ14" s="440"/>
      <c r="BA14" s="436">
        <v>84</v>
      </c>
      <c r="BB14" s="439">
        <v>719</v>
      </c>
      <c r="BC14" s="439"/>
      <c r="BD14" s="441"/>
      <c r="BE14" s="442"/>
      <c r="BF14" s="440"/>
      <c r="BG14" s="436">
        <v>232</v>
      </c>
      <c r="BH14" s="441">
        <v>1076</v>
      </c>
      <c r="BI14" s="439"/>
      <c r="BJ14" s="440"/>
      <c r="BK14" s="436"/>
      <c r="BL14" s="440"/>
      <c r="BM14" s="458">
        <f t="shared" si="3"/>
        <v>316</v>
      </c>
      <c r="BN14" s="459">
        <f t="shared" si="3"/>
        <v>1795</v>
      </c>
      <c r="BO14" s="431"/>
      <c r="BP14" s="432"/>
      <c r="BQ14" s="443">
        <v>10</v>
      </c>
      <c r="BR14" s="444">
        <v>21</v>
      </c>
      <c r="BS14" s="439">
        <v>4</v>
      </c>
      <c r="BT14" s="437">
        <v>10</v>
      </c>
      <c r="BU14" s="426"/>
      <c r="BV14" s="422"/>
      <c r="BW14" s="445">
        <v>19</v>
      </c>
      <c r="BX14" s="460">
        <v>101</v>
      </c>
      <c r="BY14" s="439"/>
      <c r="BZ14" s="437"/>
      <c r="CA14" s="441"/>
      <c r="CB14" s="440"/>
      <c r="CC14" s="461">
        <v>79</v>
      </c>
      <c r="CD14" s="462">
        <v>260</v>
      </c>
      <c r="CE14" s="439"/>
      <c r="CF14" s="437"/>
      <c r="CG14" s="438"/>
      <c r="CH14" s="440"/>
      <c r="CI14" s="458">
        <f t="shared" si="4"/>
        <v>112</v>
      </c>
      <c r="CJ14" s="463">
        <f t="shared" si="4"/>
        <v>392</v>
      </c>
      <c r="CK14" s="431"/>
      <c r="CL14" s="446"/>
      <c r="CM14" s="447"/>
      <c r="CN14" s="446"/>
      <c r="CO14" s="439"/>
      <c r="CP14" s="440"/>
      <c r="CQ14" s="420"/>
      <c r="CR14" s="422"/>
      <c r="CS14" s="445"/>
      <c r="CT14" s="444"/>
    </row>
    <row r="15" spans="1:98" s="464" customFormat="1" ht="15.75" thickBot="1" x14ac:dyDescent="0.3">
      <c r="A15" s="419">
        <v>46033</v>
      </c>
      <c r="B15" s="452" t="s">
        <v>20</v>
      </c>
      <c r="C15" s="420"/>
      <c r="D15" s="421"/>
      <c r="E15" s="421"/>
      <c r="F15" s="422"/>
      <c r="G15" s="420"/>
      <c r="H15" s="423"/>
      <c r="I15" s="420"/>
      <c r="J15" s="421"/>
      <c r="K15" s="421"/>
      <c r="L15" s="422"/>
      <c r="M15" s="436"/>
      <c r="N15" s="453"/>
      <c r="O15" s="420"/>
      <c r="P15" s="426"/>
      <c r="Q15" s="439"/>
      <c r="R15" s="440"/>
      <c r="S15" s="454"/>
      <c r="T15" s="455"/>
      <c r="U15" s="456">
        <f t="shared" si="1"/>
        <v>0</v>
      </c>
      <c r="V15" s="457">
        <f t="shared" si="1"/>
        <v>0</v>
      </c>
      <c r="W15" s="449"/>
      <c r="X15" s="432"/>
      <c r="Y15" s="433"/>
      <c r="Z15" s="421"/>
      <c r="AA15" s="421"/>
      <c r="AB15" s="422"/>
      <c r="AC15" s="420"/>
      <c r="AD15" s="423"/>
      <c r="AE15" s="420"/>
      <c r="AF15" s="421"/>
      <c r="AG15" s="421"/>
      <c r="AH15" s="434"/>
      <c r="AI15" s="435"/>
      <c r="AJ15" s="422"/>
      <c r="AK15" s="420"/>
      <c r="AL15" s="434"/>
      <c r="AM15" s="421"/>
      <c r="AN15" s="422"/>
      <c r="AO15" s="420"/>
      <c r="AP15" s="423"/>
      <c r="AQ15" s="436">
        <f t="shared" si="2"/>
        <v>0</v>
      </c>
      <c r="AR15" s="437">
        <f t="shared" si="2"/>
        <v>0</v>
      </c>
      <c r="AS15" s="449"/>
      <c r="AT15" s="432"/>
      <c r="AU15" s="438"/>
      <c r="AV15" s="439"/>
      <c r="AW15" s="439"/>
      <c r="AX15" s="440"/>
      <c r="AY15" s="436"/>
      <c r="AZ15" s="440"/>
      <c r="BA15" s="436"/>
      <c r="BB15" s="439"/>
      <c r="BC15" s="439"/>
      <c r="BD15" s="441"/>
      <c r="BE15" s="442"/>
      <c r="BF15" s="440"/>
      <c r="BG15" s="436"/>
      <c r="BH15" s="441"/>
      <c r="BI15" s="439"/>
      <c r="BJ15" s="440"/>
      <c r="BK15" s="436"/>
      <c r="BL15" s="440"/>
      <c r="BM15" s="458">
        <f t="shared" si="3"/>
        <v>0</v>
      </c>
      <c r="BN15" s="459">
        <f t="shared" si="3"/>
        <v>0</v>
      </c>
      <c r="BO15" s="431"/>
      <c r="BP15" s="432"/>
      <c r="BQ15" s="443">
        <v>14</v>
      </c>
      <c r="BR15" s="444">
        <v>31</v>
      </c>
      <c r="BS15" s="439"/>
      <c r="BT15" s="437"/>
      <c r="BU15" s="426"/>
      <c r="BV15" s="422"/>
      <c r="BW15" s="445">
        <v>19</v>
      </c>
      <c r="BX15" s="460">
        <v>101</v>
      </c>
      <c r="BY15" s="439"/>
      <c r="BZ15" s="437"/>
      <c r="CA15" s="441"/>
      <c r="CB15" s="440"/>
      <c r="CC15" s="461">
        <v>79</v>
      </c>
      <c r="CD15" s="462">
        <v>260</v>
      </c>
      <c r="CE15" s="439"/>
      <c r="CF15" s="437"/>
      <c r="CG15" s="438"/>
      <c r="CH15" s="440"/>
      <c r="CI15" s="458">
        <f t="shared" si="4"/>
        <v>112</v>
      </c>
      <c r="CJ15" s="463">
        <f t="shared" si="4"/>
        <v>392</v>
      </c>
      <c r="CK15" s="450"/>
      <c r="CL15" s="446"/>
      <c r="CM15" s="447"/>
      <c r="CN15" s="446"/>
      <c r="CO15" s="439"/>
      <c r="CP15" s="440"/>
      <c r="CQ15" s="420"/>
      <c r="CR15" s="422"/>
      <c r="CS15" s="445"/>
      <c r="CT15" s="444"/>
    </row>
    <row r="16" spans="1:98" ht="15.75" thickBot="1" x14ac:dyDescent="0.3">
      <c r="A16" s="48">
        <v>46034</v>
      </c>
      <c r="B16" s="49" t="s">
        <v>14</v>
      </c>
      <c r="C16" s="50"/>
      <c r="D16" s="51"/>
      <c r="E16" s="51"/>
      <c r="F16" s="380"/>
      <c r="G16" s="50"/>
      <c r="H16" s="381"/>
      <c r="I16" s="50"/>
      <c r="J16" s="51"/>
      <c r="K16" s="51"/>
      <c r="L16" s="380"/>
      <c r="M16" s="124"/>
      <c r="N16" s="382"/>
      <c r="O16" s="50"/>
      <c r="P16" s="42"/>
      <c r="Q16" s="41"/>
      <c r="R16" s="391"/>
      <c r="S16" s="397"/>
      <c r="T16" s="398"/>
      <c r="U16" s="388">
        <f t="shared" si="1"/>
        <v>0</v>
      </c>
      <c r="V16" s="31">
        <f t="shared" si="1"/>
        <v>0</v>
      </c>
      <c r="W16" s="53"/>
      <c r="X16" s="6"/>
      <c r="Y16" s="54"/>
      <c r="Z16" s="51"/>
      <c r="AA16" s="51"/>
      <c r="AB16" s="380"/>
      <c r="AC16" s="50"/>
      <c r="AD16" s="381"/>
      <c r="AE16" s="50"/>
      <c r="AF16" s="51"/>
      <c r="AG16" s="51"/>
      <c r="AH16" s="65"/>
      <c r="AI16" s="389"/>
      <c r="AJ16" s="380"/>
      <c r="AK16" s="50">
        <v>394</v>
      </c>
      <c r="AL16" s="65">
        <v>1208</v>
      </c>
      <c r="AM16" s="51"/>
      <c r="AN16" s="380"/>
      <c r="AO16" s="50"/>
      <c r="AP16" s="381"/>
      <c r="AQ16" s="124">
        <f t="shared" si="2"/>
        <v>394</v>
      </c>
      <c r="AR16" s="390">
        <f t="shared" si="2"/>
        <v>1208</v>
      </c>
      <c r="AS16" s="53"/>
      <c r="AT16" s="6"/>
      <c r="AU16" s="40">
        <v>0</v>
      </c>
      <c r="AV16" s="41">
        <v>0</v>
      </c>
      <c r="AW16" s="41"/>
      <c r="AX16" s="391"/>
      <c r="AY16" s="124"/>
      <c r="AZ16" s="391"/>
      <c r="BA16" s="124">
        <v>81</v>
      </c>
      <c r="BB16" s="41">
        <v>695</v>
      </c>
      <c r="BC16" s="41"/>
      <c r="BD16" s="42"/>
      <c r="BE16" s="392"/>
      <c r="BF16" s="391"/>
      <c r="BG16" s="124">
        <v>213</v>
      </c>
      <c r="BH16" s="42">
        <v>955</v>
      </c>
      <c r="BI16" s="41"/>
      <c r="BJ16" s="391"/>
      <c r="BK16" s="124"/>
      <c r="BL16" s="391"/>
      <c r="BM16" s="393">
        <f t="shared" si="3"/>
        <v>294</v>
      </c>
      <c r="BN16" s="394">
        <f t="shared" si="3"/>
        <v>1650</v>
      </c>
      <c r="BO16" s="64"/>
      <c r="BP16" s="6"/>
      <c r="BQ16" s="56">
        <v>14</v>
      </c>
      <c r="BR16" s="57">
        <v>31</v>
      </c>
      <c r="BS16" s="41">
        <v>5</v>
      </c>
      <c r="BT16" s="390">
        <v>9</v>
      </c>
      <c r="BU16" s="55"/>
      <c r="BV16" s="380"/>
      <c r="BW16" s="187">
        <v>19</v>
      </c>
      <c r="BX16" s="67">
        <v>101</v>
      </c>
      <c r="BY16" s="41"/>
      <c r="BZ16" s="390"/>
      <c r="CA16" s="42"/>
      <c r="CB16" s="391"/>
      <c r="CC16" s="190">
        <v>79</v>
      </c>
      <c r="CD16" s="58">
        <v>260</v>
      </c>
      <c r="CE16" s="41"/>
      <c r="CF16" s="390"/>
      <c r="CG16" s="40">
        <v>1</v>
      </c>
      <c r="CH16" s="391">
        <v>1</v>
      </c>
      <c r="CI16" s="28">
        <f t="shared" si="4"/>
        <v>118</v>
      </c>
      <c r="CJ16" s="45">
        <f t="shared" si="4"/>
        <v>402</v>
      </c>
      <c r="CK16" s="59"/>
      <c r="CL16" s="60"/>
      <c r="CM16" s="396"/>
      <c r="CN16" s="60"/>
      <c r="CO16" s="41"/>
      <c r="CP16" s="391"/>
      <c r="CQ16" s="50"/>
      <c r="CR16" s="380"/>
      <c r="CS16" s="187"/>
      <c r="CT16" s="57"/>
    </row>
    <row r="17" spans="1:98" ht="15.75" thickBot="1" x14ac:dyDescent="0.3">
      <c r="A17" s="48">
        <v>46035</v>
      </c>
      <c r="B17" s="49" t="s">
        <v>15</v>
      </c>
      <c r="C17" s="236"/>
      <c r="D17" s="237"/>
      <c r="E17" s="237"/>
      <c r="F17" s="314"/>
      <c r="G17" s="236"/>
      <c r="H17" s="315"/>
      <c r="I17" s="236"/>
      <c r="J17" s="237"/>
      <c r="K17" s="237"/>
      <c r="L17" s="314"/>
      <c r="M17" s="243"/>
      <c r="N17" s="316"/>
      <c r="O17" s="236"/>
      <c r="P17" s="242"/>
      <c r="Q17" s="317">
        <v>4</v>
      </c>
      <c r="R17" s="318">
        <v>7</v>
      </c>
      <c r="S17" s="319"/>
      <c r="T17" s="320"/>
      <c r="U17" s="416">
        <f t="shared" si="1"/>
        <v>4</v>
      </c>
      <c r="V17" s="417">
        <f t="shared" si="1"/>
        <v>7</v>
      </c>
      <c r="W17" s="321"/>
      <c r="X17" s="322"/>
      <c r="Y17" s="323"/>
      <c r="Z17" s="237"/>
      <c r="AA17" s="237"/>
      <c r="AB17" s="314"/>
      <c r="AC17" s="236"/>
      <c r="AD17" s="315"/>
      <c r="AE17" s="236"/>
      <c r="AF17" s="237"/>
      <c r="AG17" s="237"/>
      <c r="AH17" s="324"/>
      <c r="AI17" s="325"/>
      <c r="AJ17" s="314"/>
      <c r="AK17" s="236">
        <v>342</v>
      </c>
      <c r="AL17" s="324">
        <v>1105</v>
      </c>
      <c r="AM17" s="237"/>
      <c r="AN17" s="314"/>
      <c r="AO17" s="236"/>
      <c r="AP17" s="315"/>
      <c r="AQ17" s="243">
        <f t="shared" si="2"/>
        <v>342</v>
      </c>
      <c r="AR17" s="326">
        <f t="shared" si="2"/>
        <v>1105</v>
      </c>
      <c r="AS17" s="321"/>
      <c r="AT17" s="322"/>
      <c r="AU17" s="327">
        <v>0</v>
      </c>
      <c r="AV17" s="317">
        <v>0</v>
      </c>
      <c r="AW17" s="317"/>
      <c r="AX17" s="318"/>
      <c r="AY17" s="243">
        <v>1</v>
      </c>
      <c r="AZ17" s="318">
        <v>3</v>
      </c>
      <c r="BA17" s="243">
        <v>74</v>
      </c>
      <c r="BB17" s="317">
        <v>648</v>
      </c>
      <c r="BC17" s="317">
        <v>10</v>
      </c>
      <c r="BD17" s="242">
        <v>104</v>
      </c>
      <c r="BE17" s="328"/>
      <c r="BF17" s="318"/>
      <c r="BG17" s="243">
        <v>252</v>
      </c>
      <c r="BH17" s="242">
        <v>993</v>
      </c>
      <c r="BI17" s="317">
        <v>28</v>
      </c>
      <c r="BJ17" s="318">
        <v>140</v>
      </c>
      <c r="BK17" s="243">
        <v>6</v>
      </c>
      <c r="BL17" s="318">
        <v>40</v>
      </c>
      <c r="BM17" s="329">
        <f t="shared" si="3"/>
        <v>371</v>
      </c>
      <c r="BN17" s="418">
        <f t="shared" si="3"/>
        <v>1928</v>
      </c>
      <c r="BO17" s="321"/>
      <c r="BP17" s="322"/>
      <c r="BQ17" s="330">
        <v>19</v>
      </c>
      <c r="BR17" s="331">
        <v>40</v>
      </c>
      <c r="BS17" s="317"/>
      <c r="BT17" s="326"/>
      <c r="BU17" s="241">
        <v>1</v>
      </c>
      <c r="BV17" s="314">
        <v>2</v>
      </c>
      <c r="BW17" s="332">
        <v>19</v>
      </c>
      <c r="BX17" s="333">
        <v>101</v>
      </c>
      <c r="BY17" s="317"/>
      <c r="BZ17" s="326"/>
      <c r="CA17" s="242"/>
      <c r="CB17" s="318"/>
      <c r="CC17" s="334">
        <v>42</v>
      </c>
      <c r="CD17" s="335">
        <v>69</v>
      </c>
      <c r="CE17" s="317"/>
      <c r="CF17" s="326"/>
      <c r="CG17" s="327">
        <v>1</v>
      </c>
      <c r="CH17" s="318">
        <v>2</v>
      </c>
      <c r="CI17" s="329">
        <f t="shared" si="4"/>
        <v>82</v>
      </c>
      <c r="CJ17" s="336">
        <f t="shared" si="4"/>
        <v>214</v>
      </c>
      <c r="CK17" s="321"/>
      <c r="CL17" s="337"/>
      <c r="CM17" s="356"/>
      <c r="CN17" s="337"/>
      <c r="CO17" s="317"/>
      <c r="CP17" s="318"/>
      <c r="CQ17" s="236"/>
      <c r="CR17" s="314"/>
      <c r="CS17" s="332"/>
      <c r="CT17" s="333"/>
    </row>
    <row r="18" spans="1:98" ht="15.75" thickBot="1" x14ac:dyDescent="0.3">
      <c r="A18" s="48">
        <v>46036</v>
      </c>
      <c r="B18" s="49" t="s">
        <v>16</v>
      </c>
      <c r="C18" s="236"/>
      <c r="D18" s="237"/>
      <c r="E18" s="237"/>
      <c r="F18" s="314"/>
      <c r="G18" s="236">
        <v>1</v>
      </c>
      <c r="H18" s="315">
        <v>1</v>
      </c>
      <c r="I18" s="236"/>
      <c r="J18" s="237"/>
      <c r="K18" s="237">
        <v>23</v>
      </c>
      <c r="L18" s="314">
        <v>115</v>
      </c>
      <c r="M18" s="243">
        <v>1</v>
      </c>
      <c r="N18" s="316">
        <v>4</v>
      </c>
      <c r="O18" s="236"/>
      <c r="P18" s="242"/>
      <c r="Q18" s="317"/>
      <c r="R18" s="318"/>
      <c r="S18" s="319"/>
      <c r="T18" s="320"/>
      <c r="U18" s="416">
        <f t="shared" si="1"/>
        <v>25</v>
      </c>
      <c r="V18" s="417">
        <f t="shared" si="1"/>
        <v>120</v>
      </c>
      <c r="W18" s="321"/>
      <c r="X18" s="322"/>
      <c r="Y18" s="323"/>
      <c r="Z18" s="237"/>
      <c r="AA18" s="237">
        <v>105</v>
      </c>
      <c r="AB18" s="314">
        <v>179</v>
      </c>
      <c r="AC18" s="236"/>
      <c r="AD18" s="315"/>
      <c r="AE18" s="236"/>
      <c r="AF18" s="237"/>
      <c r="AG18" s="237"/>
      <c r="AH18" s="324"/>
      <c r="AI18" s="325"/>
      <c r="AJ18" s="314"/>
      <c r="AK18" s="236"/>
      <c r="AL18" s="324"/>
      <c r="AM18" s="237"/>
      <c r="AN18" s="314"/>
      <c r="AO18" s="236"/>
      <c r="AP18" s="315"/>
      <c r="AQ18" s="243">
        <f t="shared" si="2"/>
        <v>105</v>
      </c>
      <c r="AR18" s="326">
        <f t="shared" si="2"/>
        <v>179</v>
      </c>
      <c r="AS18" s="321"/>
      <c r="AT18" s="322"/>
      <c r="AU18" s="327">
        <v>0</v>
      </c>
      <c r="AV18" s="317">
        <v>0</v>
      </c>
      <c r="AW18" s="317"/>
      <c r="AX18" s="318"/>
      <c r="AY18" s="243">
        <v>2</v>
      </c>
      <c r="AZ18" s="318">
        <v>4</v>
      </c>
      <c r="BA18" s="243">
        <v>82</v>
      </c>
      <c r="BB18" s="317">
        <v>742</v>
      </c>
      <c r="BC18" s="317"/>
      <c r="BD18" s="242"/>
      <c r="BE18" s="328"/>
      <c r="BF18" s="318"/>
      <c r="BG18" s="243">
        <v>256</v>
      </c>
      <c r="BH18" s="242">
        <v>1157</v>
      </c>
      <c r="BI18" s="317"/>
      <c r="BJ18" s="318"/>
      <c r="BK18" s="243">
        <v>3</v>
      </c>
      <c r="BL18" s="318">
        <v>24</v>
      </c>
      <c r="BM18" s="329">
        <f t="shared" si="3"/>
        <v>343</v>
      </c>
      <c r="BN18" s="418">
        <f t="shared" si="3"/>
        <v>1927</v>
      </c>
      <c r="BO18" s="321"/>
      <c r="BP18" s="322"/>
      <c r="BQ18" s="330">
        <v>19</v>
      </c>
      <c r="BR18" s="331">
        <v>40</v>
      </c>
      <c r="BS18" s="317"/>
      <c r="BT18" s="326"/>
      <c r="BU18" s="241"/>
      <c r="BV18" s="314"/>
      <c r="BW18" s="332">
        <v>19</v>
      </c>
      <c r="BX18" s="333">
        <v>101</v>
      </c>
      <c r="BY18" s="317"/>
      <c r="BZ18" s="326"/>
      <c r="CA18" s="242"/>
      <c r="CB18" s="318"/>
      <c r="CC18" s="334">
        <v>13</v>
      </c>
      <c r="CD18" s="335">
        <v>20</v>
      </c>
      <c r="CE18" s="317"/>
      <c r="CF18" s="326"/>
      <c r="CG18" s="327"/>
      <c r="CH18" s="318"/>
      <c r="CI18" s="329">
        <f t="shared" si="4"/>
        <v>51</v>
      </c>
      <c r="CJ18" s="336">
        <f t="shared" si="4"/>
        <v>161</v>
      </c>
      <c r="CK18" s="321"/>
      <c r="CL18" s="337"/>
      <c r="CM18" s="356"/>
      <c r="CN18" s="337"/>
      <c r="CO18" s="317"/>
      <c r="CP18" s="318"/>
      <c r="CQ18" s="236"/>
      <c r="CR18" s="314"/>
      <c r="CS18" s="332"/>
      <c r="CT18" s="333"/>
    </row>
    <row r="19" spans="1:98" ht="15.75" thickBot="1" x14ac:dyDescent="0.3">
      <c r="A19" s="290">
        <v>46037</v>
      </c>
      <c r="B19" s="366" t="s">
        <v>17</v>
      </c>
      <c r="C19" s="99">
        <v>13</v>
      </c>
      <c r="D19" s="74">
        <v>29</v>
      </c>
      <c r="E19" s="74"/>
      <c r="F19" s="292"/>
      <c r="G19" s="99"/>
      <c r="H19" s="293"/>
      <c r="I19" s="99">
        <v>42</v>
      </c>
      <c r="J19" s="74">
        <v>219</v>
      </c>
      <c r="K19" s="74"/>
      <c r="L19" s="292"/>
      <c r="M19" s="125"/>
      <c r="N19" s="294"/>
      <c r="O19" s="99">
        <v>78</v>
      </c>
      <c r="P19" s="78">
        <v>189</v>
      </c>
      <c r="Q19" s="77"/>
      <c r="R19" s="302"/>
      <c r="S19" s="307"/>
      <c r="T19" s="308"/>
      <c r="U19" s="211">
        <f t="shared" si="1"/>
        <v>133</v>
      </c>
      <c r="V19" s="212">
        <f t="shared" si="1"/>
        <v>437</v>
      </c>
      <c r="W19" s="79"/>
      <c r="X19" s="300"/>
      <c r="Y19" s="73">
        <v>241</v>
      </c>
      <c r="Z19" s="74">
        <v>435</v>
      </c>
      <c r="AA19" s="74"/>
      <c r="AB19" s="292"/>
      <c r="AC19" s="99"/>
      <c r="AD19" s="293"/>
      <c r="AE19" s="99">
        <v>286</v>
      </c>
      <c r="AF19" s="74">
        <v>1868</v>
      </c>
      <c r="AG19" s="74"/>
      <c r="AH19" s="75"/>
      <c r="AI19" s="301"/>
      <c r="AJ19" s="292"/>
      <c r="AK19" s="99">
        <v>294</v>
      </c>
      <c r="AL19" s="75">
        <v>983</v>
      </c>
      <c r="AM19" s="74"/>
      <c r="AN19" s="292"/>
      <c r="AO19" s="99"/>
      <c r="AP19" s="293"/>
      <c r="AQ19" s="125">
        <f t="shared" si="2"/>
        <v>821</v>
      </c>
      <c r="AR19" s="210">
        <f t="shared" si="2"/>
        <v>3286</v>
      </c>
      <c r="AS19" s="79"/>
      <c r="AT19" s="300"/>
      <c r="AU19" s="76">
        <v>0</v>
      </c>
      <c r="AV19" s="77">
        <v>0</v>
      </c>
      <c r="AW19" s="77"/>
      <c r="AX19" s="302"/>
      <c r="AY19" s="125"/>
      <c r="AZ19" s="302"/>
      <c r="BA19" s="125">
        <v>82</v>
      </c>
      <c r="BB19" s="77">
        <v>742</v>
      </c>
      <c r="BC19" s="77"/>
      <c r="BD19" s="78"/>
      <c r="BE19" s="303"/>
      <c r="BF19" s="302"/>
      <c r="BG19" s="125">
        <v>256</v>
      </c>
      <c r="BH19" s="78">
        <v>1157</v>
      </c>
      <c r="BI19" s="77"/>
      <c r="BJ19" s="302"/>
      <c r="BK19" s="125"/>
      <c r="BL19" s="302"/>
      <c r="BM19" s="69">
        <f t="shared" si="3"/>
        <v>338</v>
      </c>
      <c r="BN19" s="209">
        <f t="shared" si="3"/>
        <v>1899</v>
      </c>
      <c r="BO19" s="79"/>
      <c r="BP19" s="300"/>
      <c r="BQ19" s="80">
        <v>19</v>
      </c>
      <c r="BR19" s="81">
        <v>40</v>
      </c>
      <c r="BS19" s="77"/>
      <c r="BT19" s="210"/>
      <c r="BU19" s="100"/>
      <c r="BV19" s="292"/>
      <c r="BW19" s="188">
        <v>19</v>
      </c>
      <c r="BX19" s="101">
        <v>101</v>
      </c>
      <c r="BY19" s="77"/>
      <c r="BZ19" s="210"/>
      <c r="CA19" s="78"/>
      <c r="CB19" s="302"/>
      <c r="CC19" s="192">
        <v>13</v>
      </c>
      <c r="CD19" s="82">
        <v>20</v>
      </c>
      <c r="CE19" s="77"/>
      <c r="CF19" s="210"/>
      <c r="CG19" s="76"/>
      <c r="CH19" s="302"/>
      <c r="CI19" s="69">
        <f t="shared" si="4"/>
        <v>51</v>
      </c>
      <c r="CJ19" s="213">
        <f t="shared" si="4"/>
        <v>161</v>
      </c>
      <c r="CK19" s="79"/>
      <c r="CL19" s="304"/>
      <c r="CM19" s="379"/>
      <c r="CN19" s="304"/>
      <c r="CO19" s="77">
        <v>424</v>
      </c>
      <c r="CP19" s="302">
        <v>1103</v>
      </c>
      <c r="CQ19" s="99"/>
      <c r="CR19" s="292"/>
      <c r="CS19" s="188"/>
      <c r="CT19" s="101"/>
    </row>
    <row r="20" spans="1:98" ht="15.75" thickBot="1" x14ac:dyDescent="0.3">
      <c r="A20" s="48">
        <v>46038</v>
      </c>
      <c r="B20" s="49" t="s">
        <v>18</v>
      </c>
      <c r="C20" s="236"/>
      <c r="D20" s="237"/>
      <c r="E20" s="237">
        <v>16</v>
      </c>
      <c r="F20" s="314">
        <v>31</v>
      </c>
      <c r="G20" s="236"/>
      <c r="H20" s="315"/>
      <c r="I20" s="236"/>
      <c r="J20" s="237"/>
      <c r="K20" s="237"/>
      <c r="L20" s="314"/>
      <c r="M20" s="243"/>
      <c r="N20" s="316"/>
      <c r="O20" s="236"/>
      <c r="P20" s="242"/>
      <c r="Q20" s="317"/>
      <c r="R20" s="318"/>
      <c r="S20" s="319"/>
      <c r="T20" s="320"/>
      <c r="U20" s="416">
        <f t="shared" si="1"/>
        <v>16</v>
      </c>
      <c r="V20" s="417">
        <f t="shared" si="1"/>
        <v>31</v>
      </c>
      <c r="W20" s="321"/>
      <c r="X20" s="322"/>
      <c r="Y20" s="323"/>
      <c r="Z20" s="237"/>
      <c r="AA20" s="237"/>
      <c r="AB20" s="314"/>
      <c r="AC20" s="236"/>
      <c r="AD20" s="315"/>
      <c r="AE20" s="236">
        <v>254</v>
      </c>
      <c r="AF20" s="237">
        <v>1508</v>
      </c>
      <c r="AG20" s="237"/>
      <c r="AH20" s="324"/>
      <c r="AI20" s="325"/>
      <c r="AJ20" s="314"/>
      <c r="AK20" s="236">
        <v>275</v>
      </c>
      <c r="AL20" s="324">
        <v>928</v>
      </c>
      <c r="AM20" s="237"/>
      <c r="AN20" s="314"/>
      <c r="AO20" s="236"/>
      <c r="AP20" s="315"/>
      <c r="AQ20" s="243">
        <f t="shared" si="2"/>
        <v>529</v>
      </c>
      <c r="AR20" s="326">
        <f t="shared" si="2"/>
        <v>2436</v>
      </c>
      <c r="AS20" s="321"/>
      <c r="AT20" s="322"/>
      <c r="AU20" s="327"/>
      <c r="AV20" s="317"/>
      <c r="AW20" s="317"/>
      <c r="AX20" s="318"/>
      <c r="AY20" s="243"/>
      <c r="AZ20" s="318"/>
      <c r="BA20" s="243"/>
      <c r="BB20" s="317"/>
      <c r="BC20" s="317"/>
      <c r="BD20" s="242"/>
      <c r="BE20" s="328"/>
      <c r="BF20" s="318"/>
      <c r="BG20" s="243"/>
      <c r="BH20" s="242"/>
      <c r="BI20" s="317"/>
      <c r="BJ20" s="318"/>
      <c r="BK20" s="243"/>
      <c r="BL20" s="318"/>
      <c r="BM20" s="329">
        <f t="shared" si="3"/>
        <v>0</v>
      </c>
      <c r="BN20" s="418">
        <f t="shared" si="3"/>
        <v>0</v>
      </c>
      <c r="BO20" s="321"/>
      <c r="BP20" s="322"/>
      <c r="BQ20" s="330">
        <v>5</v>
      </c>
      <c r="BR20" s="331">
        <v>9</v>
      </c>
      <c r="BS20" s="317"/>
      <c r="BT20" s="326"/>
      <c r="BU20" s="241"/>
      <c r="BV20" s="314"/>
      <c r="BW20" s="332">
        <v>19</v>
      </c>
      <c r="BX20" s="333">
        <v>101</v>
      </c>
      <c r="BY20" s="317">
        <v>16</v>
      </c>
      <c r="BZ20" s="326">
        <v>58</v>
      </c>
      <c r="CA20" s="242"/>
      <c r="CB20" s="318"/>
      <c r="CC20" s="334">
        <v>0</v>
      </c>
      <c r="CD20" s="335">
        <v>0</v>
      </c>
      <c r="CE20" s="317">
        <v>102</v>
      </c>
      <c r="CF20" s="326">
        <v>219</v>
      </c>
      <c r="CG20" s="327"/>
      <c r="CH20" s="318"/>
      <c r="CI20" s="329">
        <f t="shared" si="4"/>
        <v>142</v>
      </c>
      <c r="CJ20" s="336">
        <f t="shared" si="4"/>
        <v>387</v>
      </c>
      <c r="CK20" s="321"/>
      <c r="CL20" s="337"/>
      <c r="CM20" s="356"/>
      <c r="CN20" s="337"/>
      <c r="CO20" s="317"/>
      <c r="CP20" s="318"/>
      <c r="CQ20" s="236"/>
      <c r="CR20" s="314"/>
      <c r="CS20" s="332"/>
      <c r="CT20" s="333"/>
    </row>
    <row r="21" spans="1:98" s="464" customFormat="1" ht="15.75" thickBot="1" x14ac:dyDescent="0.3">
      <c r="A21" s="419">
        <v>46039</v>
      </c>
      <c r="B21" s="452" t="s">
        <v>19</v>
      </c>
      <c r="C21" s="420"/>
      <c r="D21" s="421"/>
      <c r="E21" s="421"/>
      <c r="F21" s="422"/>
      <c r="G21" s="420"/>
      <c r="H21" s="423"/>
      <c r="I21" s="420"/>
      <c r="J21" s="421"/>
      <c r="K21" s="421"/>
      <c r="L21" s="422"/>
      <c r="M21" s="436"/>
      <c r="N21" s="453"/>
      <c r="O21" s="420"/>
      <c r="P21" s="441"/>
      <c r="Q21" s="439"/>
      <c r="R21" s="440"/>
      <c r="S21" s="454"/>
      <c r="T21" s="455"/>
      <c r="U21" s="456">
        <f t="shared" ref="U21:V35" si="5">C21+E21+G21+I21+K21+M21+O21+Q21+S21</f>
        <v>0</v>
      </c>
      <c r="V21" s="457">
        <f t="shared" si="5"/>
        <v>0</v>
      </c>
      <c r="W21" s="431"/>
      <c r="X21" s="432"/>
      <c r="Y21" s="433"/>
      <c r="Z21" s="421"/>
      <c r="AA21" s="421"/>
      <c r="AB21" s="422"/>
      <c r="AC21" s="420"/>
      <c r="AD21" s="423"/>
      <c r="AE21" s="420"/>
      <c r="AF21" s="421"/>
      <c r="AG21" s="421"/>
      <c r="AH21" s="434"/>
      <c r="AI21" s="435"/>
      <c r="AJ21" s="422"/>
      <c r="AK21" s="420"/>
      <c r="AL21" s="434"/>
      <c r="AM21" s="421"/>
      <c r="AN21" s="422"/>
      <c r="AO21" s="420"/>
      <c r="AP21" s="423"/>
      <c r="AQ21" s="436">
        <f t="shared" ref="AQ21:AR35" si="6">Y21+AA21+AC21+AE21+AG21+AI21+AK21+AM21+AO21</f>
        <v>0</v>
      </c>
      <c r="AR21" s="437">
        <f t="shared" si="6"/>
        <v>0</v>
      </c>
      <c r="AS21" s="431"/>
      <c r="AT21" s="432"/>
      <c r="AU21" s="438"/>
      <c r="AV21" s="439"/>
      <c r="AW21" s="439"/>
      <c r="AX21" s="440"/>
      <c r="AY21" s="436"/>
      <c r="AZ21" s="440"/>
      <c r="BA21" s="436"/>
      <c r="BB21" s="439"/>
      <c r="BC21" s="439"/>
      <c r="BD21" s="441"/>
      <c r="BE21" s="442"/>
      <c r="BF21" s="440"/>
      <c r="BG21" s="436"/>
      <c r="BH21" s="441"/>
      <c r="BI21" s="439"/>
      <c r="BJ21" s="440"/>
      <c r="BK21" s="436"/>
      <c r="BL21" s="440"/>
      <c r="BM21" s="458">
        <f t="shared" ref="BM21:BN35" si="7">AU21+AW21+AY21+BA21+BC21+BE21+BG21+BI21+BK21</f>
        <v>0</v>
      </c>
      <c r="BN21" s="459">
        <f t="shared" si="7"/>
        <v>0</v>
      </c>
      <c r="BO21" s="431"/>
      <c r="BP21" s="432"/>
      <c r="BQ21" s="443">
        <v>5</v>
      </c>
      <c r="BR21" s="444">
        <v>9</v>
      </c>
      <c r="BS21" s="439"/>
      <c r="BT21" s="437"/>
      <c r="BU21" s="426"/>
      <c r="BV21" s="422"/>
      <c r="BW21" s="445">
        <v>35</v>
      </c>
      <c r="BX21" s="460">
        <v>159</v>
      </c>
      <c r="BY21" s="439"/>
      <c r="BZ21" s="437"/>
      <c r="CA21" s="441"/>
      <c r="CB21" s="440"/>
      <c r="CC21" s="461">
        <v>102</v>
      </c>
      <c r="CD21" s="462">
        <v>219</v>
      </c>
      <c r="CE21" s="439"/>
      <c r="CF21" s="437"/>
      <c r="CG21" s="438"/>
      <c r="CH21" s="440"/>
      <c r="CI21" s="458">
        <f t="shared" ref="CI21:CJ36" si="8">BQ21+BS21+BU21+BW21+BY21+CA21+CC21+CE21+CG21</f>
        <v>142</v>
      </c>
      <c r="CJ21" s="463">
        <f t="shared" si="8"/>
        <v>387</v>
      </c>
      <c r="CK21" s="431"/>
      <c r="CL21" s="446"/>
      <c r="CM21" s="447"/>
      <c r="CN21" s="446"/>
      <c r="CO21" s="439"/>
      <c r="CP21" s="440"/>
      <c r="CQ21" s="420"/>
      <c r="CR21" s="422"/>
      <c r="CS21" s="445"/>
      <c r="CT21" s="444"/>
    </row>
    <row r="22" spans="1:98" s="464" customFormat="1" ht="15.75" thickBot="1" x14ac:dyDescent="0.3">
      <c r="A22" s="419">
        <v>46040</v>
      </c>
      <c r="B22" s="452" t="s">
        <v>20</v>
      </c>
      <c r="C22" s="420"/>
      <c r="D22" s="421"/>
      <c r="E22" s="421"/>
      <c r="F22" s="422"/>
      <c r="G22" s="420"/>
      <c r="H22" s="423"/>
      <c r="I22" s="420"/>
      <c r="J22" s="421"/>
      <c r="K22" s="421"/>
      <c r="L22" s="422"/>
      <c r="M22" s="436"/>
      <c r="N22" s="453"/>
      <c r="O22" s="420"/>
      <c r="P22" s="441"/>
      <c r="Q22" s="439"/>
      <c r="R22" s="440"/>
      <c r="S22" s="454"/>
      <c r="T22" s="455"/>
      <c r="U22" s="456">
        <f t="shared" si="5"/>
        <v>0</v>
      </c>
      <c r="V22" s="457">
        <f t="shared" si="5"/>
        <v>0</v>
      </c>
      <c r="W22" s="431"/>
      <c r="X22" s="432"/>
      <c r="Y22" s="433"/>
      <c r="Z22" s="421"/>
      <c r="AA22" s="421"/>
      <c r="AB22" s="422"/>
      <c r="AC22" s="420"/>
      <c r="AD22" s="423"/>
      <c r="AE22" s="420"/>
      <c r="AF22" s="421"/>
      <c r="AG22" s="421"/>
      <c r="AH22" s="434"/>
      <c r="AI22" s="435"/>
      <c r="AJ22" s="422"/>
      <c r="AK22" s="420"/>
      <c r="AL22" s="434"/>
      <c r="AM22" s="421"/>
      <c r="AN22" s="422"/>
      <c r="AO22" s="420"/>
      <c r="AP22" s="423"/>
      <c r="AQ22" s="436">
        <f t="shared" si="6"/>
        <v>0</v>
      </c>
      <c r="AR22" s="437">
        <f t="shared" si="6"/>
        <v>0</v>
      </c>
      <c r="AS22" s="431"/>
      <c r="AT22" s="432"/>
      <c r="AU22" s="438"/>
      <c r="AV22" s="439"/>
      <c r="AW22" s="439"/>
      <c r="AX22" s="440"/>
      <c r="AY22" s="436"/>
      <c r="AZ22" s="440"/>
      <c r="BA22" s="436"/>
      <c r="BB22" s="439"/>
      <c r="BC22" s="439"/>
      <c r="BD22" s="441"/>
      <c r="BE22" s="442"/>
      <c r="BF22" s="440"/>
      <c r="BG22" s="436"/>
      <c r="BH22" s="441"/>
      <c r="BI22" s="439"/>
      <c r="BJ22" s="440"/>
      <c r="BK22" s="436"/>
      <c r="BL22" s="440"/>
      <c r="BM22" s="458">
        <f t="shared" si="7"/>
        <v>0</v>
      </c>
      <c r="BN22" s="459">
        <f t="shared" si="7"/>
        <v>0</v>
      </c>
      <c r="BO22" s="431"/>
      <c r="BP22" s="432"/>
      <c r="BQ22" s="443">
        <v>5</v>
      </c>
      <c r="BR22" s="444">
        <v>9</v>
      </c>
      <c r="BS22" s="439"/>
      <c r="BT22" s="437"/>
      <c r="BU22" s="426"/>
      <c r="BV22" s="422"/>
      <c r="BW22" s="445">
        <v>35</v>
      </c>
      <c r="BX22" s="460">
        <v>159</v>
      </c>
      <c r="BY22" s="439"/>
      <c r="BZ22" s="437"/>
      <c r="CA22" s="441"/>
      <c r="CB22" s="440"/>
      <c r="CC22" s="461">
        <v>102</v>
      </c>
      <c r="CD22" s="462">
        <v>219</v>
      </c>
      <c r="CE22" s="439"/>
      <c r="CF22" s="437"/>
      <c r="CG22" s="438"/>
      <c r="CH22" s="440"/>
      <c r="CI22" s="458">
        <f t="shared" si="8"/>
        <v>142</v>
      </c>
      <c r="CJ22" s="463">
        <f t="shared" si="8"/>
        <v>387</v>
      </c>
      <c r="CK22" s="431"/>
      <c r="CL22" s="446"/>
      <c r="CM22" s="447"/>
      <c r="CN22" s="446"/>
      <c r="CO22" s="439"/>
      <c r="CP22" s="440"/>
      <c r="CQ22" s="420"/>
      <c r="CR22" s="422"/>
      <c r="CS22" s="445"/>
      <c r="CT22" s="444"/>
    </row>
    <row r="23" spans="1:98" ht="15.75" thickBot="1" x14ac:dyDescent="0.3">
      <c r="A23" s="48">
        <v>46041</v>
      </c>
      <c r="B23" s="49" t="s">
        <v>14</v>
      </c>
      <c r="C23" s="236">
        <v>29</v>
      </c>
      <c r="D23" s="237">
        <v>60</v>
      </c>
      <c r="E23" s="237"/>
      <c r="F23" s="314"/>
      <c r="G23" s="236"/>
      <c r="H23" s="315"/>
      <c r="I23" s="236"/>
      <c r="J23" s="237"/>
      <c r="K23" s="237"/>
      <c r="L23" s="314"/>
      <c r="M23" s="243"/>
      <c r="N23" s="316"/>
      <c r="O23" s="236"/>
      <c r="P23" s="242"/>
      <c r="Q23" s="317">
        <v>2</v>
      </c>
      <c r="R23" s="318">
        <v>2</v>
      </c>
      <c r="S23" s="319"/>
      <c r="T23" s="320"/>
      <c r="U23" s="416">
        <f t="shared" si="5"/>
        <v>31</v>
      </c>
      <c r="V23" s="417">
        <f t="shared" si="5"/>
        <v>62</v>
      </c>
      <c r="W23" s="344"/>
      <c r="X23" s="322"/>
      <c r="Y23" s="323"/>
      <c r="Z23" s="237"/>
      <c r="AA23" s="237"/>
      <c r="AB23" s="314"/>
      <c r="AC23" s="236">
        <v>121</v>
      </c>
      <c r="AD23" s="315">
        <v>265</v>
      </c>
      <c r="AE23" s="236">
        <v>206</v>
      </c>
      <c r="AF23" s="237">
        <v>1208</v>
      </c>
      <c r="AG23" s="237">
        <v>181</v>
      </c>
      <c r="AH23" s="324">
        <v>894</v>
      </c>
      <c r="AI23" s="325"/>
      <c r="AJ23" s="314"/>
      <c r="AK23" s="236">
        <v>275</v>
      </c>
      <c r="AL23" s="324">
        <v>928</v>
      </c>
      <c r="AM23" s="237">
        <v>414</v>
      </c>
      <c r="AN23" s="314">
        <v>1100</v>
      </c>
      <c r="AO23" s="236"/>
      <c r="AP23" s="315"/>
      <c r="AQ23" s="243">
        <f t="shared" si="6"/>
        <v>1197</v>
      </c>
      <c r="AR23" s="326">
        <f t="shared" si="6"/>
        <v>4395</v>
      </c>
      <c r="AS23" s="344"/>
      <c r="AT23" s="322"/>
      <c r="AW23" s="317">
        <v>355</v>
      </c>
      <c r="AX23" s="318">
        <v>750</v>
      </c>
      <c r="AY23" s="243"/>
      <c r="AZ23" s="318"/>
      <c r="BA23" s="243">
        <v>82</v>
      </c>
      <c r="BB23" s="317">
        <v>742</v>
      </c>
      <c r="BC23" s="317"/>
      <c r="BD23" s="242"/>
      <c r="BE23" s="328"/>
      <c r="BF23" s="318"/>
      <c r="BG23" s="243"/>
      <c r="BH23" s="242"/>
      <c r="BI23" s="317"/>
      <c r="BJ23" s="318"/>
      <c r="BK23" s="243"/>
      <c r="BL23" s="318"/>
      <c r="BM23" s="329">
        <f>AU24+AW23+AY23+BA23+BC23+BE23+BG23+BI23+BK23</f>
        <v>792</v>
      </c>
      <c r="BN23" s="418">
        <f>AV24+AX23+AZ23+BB23+BD23+BF23+BH23+BJ23+BL23</f>
        <v>2242</v>
      </c>
      <c r="BO23" s="321"/>
      <c r="BP23" s="322"/>
      <c r="BQ23" s="330">
        <v>3</v>
      </c>
      <c r="BR23" s="331">
        <v>6</v>
      </c>
      <c r="BS23" s="317"/>
      <c r="BT23" s="326"/>
      <c r="BU23" s="241"/>
      <c r="BV23" s="314"/>
      <c r="BW23" s="332">
        <v>35</v>
      </c>
      <c r="BX23" s="333">
        <v>159</v>
      </c>
      <c r="BY23" s="317"/>
      <c r="BZ23" s="326"/>
      <c r="CA23" s="242"/>
      <c r="CB23" s="318"/>
      <c r="CC23" s="334">
        <v>102</v>
      </c>
      <c r="CD23" s="335">
        <v>219</v>
      </c>
      <c r="CE23" s="317"/>
      <c r="CF23" s="326"/>
      <c r="CG23" s="327"/>
      <c r="CH23" s="318"/>
      <c r="CI23" s="329">
        <f t="shared" si="8"/>
        <v>140</v>
      </c>
      <c r="CJ23" s="336">
        <f t="shared" si="8"/>
        <v>384</v>
      </c>
      <c r="CK23" s="345"/>
      <c r="CL23" s="337"/>
      <c r="CM23" s="356"/>
      <c r="CN23" s="337"/>
      <c r="CO23" s="317"/>
      <c r="CP23" s="318"/>
      <c r="CQ23" s="236"/>
      <c r="CR23" s="314"/>
      <c r="CS23" s="332"/>
      <c r="CT23" s="331"/>
    </row>
    <row r="24" spans="1:98" ht="15.75" thickBot="1" x14ac:dyDescent="0.3">
      <c r="A24" s="48">
        <v>46042</v>
      </c>
      <c r="B24" s="49" t="s">
        <v>15</v>
      </c>
      <c r="C24" s="236"/>
      <c r="D24" s="237"/>
      <c r="E24" s="237"/>
      <c r="F24" s="314"/>
      <c r="G24" s="236">
        <v>1</v>
      </c>
      <c r="H24" s="315">
        <v>2</v>
      </c>
      <c r="I24" s="236"/>
      <c r="J24" s="237"/>
      <c r="K24" s="237"/>
      <c r="L24" s="314"/>
      <c r="M24" s="243"/>
      <c r="N24" s="316"/>
      <c r="O24" s="236"/>
      <c r="P24" s="242"/>
      <c r="Q24" s="317"/>
      <c r="R24" s="318"/>
      <c r="S24" s="319"/>
      <c r="T24" s="320"/>
      <c r="U24" s="416">
        <f t="shared" si="5"/>
        <v>1</v>
      </c>
      <c r="V24" s="417">
        <f t="shared" si="5"/>
        <v>2</v>
      </c>
      <c r="W24" s="321"/>
      <c r="X24" s="322"/>
      <c r="Y24" s="323"/>
      <c r="Z24" s="237"/>
      <c r="AA24" s="237"/>
      <c r="AB24" s="314"/>
      <c r="AC24" s="236"/>
      <c r="AD24" s="315"/>
      <c r="AE24" s="236">
        <v>371</v>
      </c>
      <c r="AF24" s="237">
        <v>2022</v>
      </c>
      <c r="AG24" s="237"/>
      <c r="AH24" s="324"/>
      <c r="AI24" s="325"/>
      <c r="AJ24" s="314"/>
      <c r="AK24" s="236">
        <v>655</v>
      </c>
      <c r="AL24" s="324">
        <v>1800</v>
      </c>
      <c r="AM24" s="237"/>
      <c r="AN24" s="314"/>
      <c r="AO24" s="236"/>
      <c r="AP24" s="315"/>
      <c r="AQ24" s="243">
        <f t="shared" si="6"/>
        <v>1026</v>
      </c>
      <c r="AR24" s="326">
        <f t="shared" si="6"/>
        <v>3822</v>
      </c>
      <c r="AS24" s="321"/>
      <c r="AT24" s="322"/>
      <c r="AU24" s="327">
        <v>355</v>
      </c>
      <c r="AV24" s="317">
        <v>750</v>
      </c>
      <c r="AW24" s="317"/>
      <c r="AX24" s="318"/>
      <c r="AY24" s="243"/>
      <c r="AZ24" s="318"/>
      <c r="BA24" s="243">
        <v>73</v>
      </c>
      <c r="BB24" s="317">
        <v>674</v>
      </c>
      <c r="BC24" s="317"/>
      <c r="BD24" s="242"/>
      <c r="BE24" s="328"/>
      <c r="BF24" s="318"/>
      <c r="BG24" s="243">
        <v>210</v>
      </c>
      <c r="BH24" s="242">
        <v>1012</v>
      </c>
      <c r="BI24" s="317"/>
      <c r="BJ24" s="318"/>
      <c r="BK24" s="243">
        <v>1</v>
      </c>
      <c r="BL24" s="318">
        <v>21</v>
      </c>
      <c r="BM24" s="329">
        <f>AU24+AW24+AY24+BA24+BC24+BE24+BG24+BI24+BK24</f>
        <v>639</v>
      </c>
      <c r="BN24" s="418">
        <f>AV25+AX24+AZ24+BB24+BD24+BF24+BH24+BJ24+BL24</f>
        <v>1707</v>
      </c>
      <c r="BO24" s="321"/>
      <c r="BP24" s="322"/>
      <c r="BQ24" s="330">
        <v>3</v>
      </c>
      <c r="BR24" s="331">
        <v>6</v>
      </c>
      <c r="BS24" s="317">
        <v>6</v>
      </c>
      <c r="BT24" s="326">
        <v>11</v>
      </c>
      <c r="BU24" s="241">
        <v>1</v>
      </c>
      <c r="BV24" s="314">
        <v>1</v>
      </c>
      <c r="BW24" s="332">
        <v>16</v>
      </c>
      <c r="BX24" s="333">
        <v>58</v>
      </c>
      <c r="BY24" s="317"/>
      <c r="BZ24" s="326"/>
      <c r="CA24" s="242"/>
      <c r="CB24" s="318"/>
      <c r="CC24" s="334">
        <v>102</v>
      </c>
      <c r="CD24" s="335">
        <v>219</v>
      </c>
      <c r="CE24" s="317"/>
      <c r="CF24" s="326"/>
      <c r="CG24" s="327"/>
      <c r="CH24" s="318"/>
      <c r="CI24" s="329">
        <f t="shared" si="8"/>
        <v>128</v>
      </c>
      <c r="CJ24" s="336">
        <f t="shared" si="8"/>
        <v>295</v>
      </c>
      <c r="CK24" s="321"/>
      <c r="CL24" s="337"/>
      <c r="CM24" s="356"/>
      <c r="CN24" s="337"/>
      <c r="CO24" s="317"/>
      <c r="CP24" s="318"/>
      <c r="CQ24" s="236"/>
      <c r="CR24" s="314"/>
      <c r="CS24" s="332"/>
      <c r="CT24" s="333"/>
    </row>
    <row r="25" spans="1:98" ht="15.75" thickBot="1" x14ac:dyDescent="0.3">
      <c r="A25" s="48">
        <v>46043</v>
      </c>
      <c r="B25" s="49" t="s">
        <v>16</v>
      </c>
      <c r="C25" s="236"/>
      <c r="D25" s="239"/>
      <c r="E25" s="237"/>
      <c r="F25" s="314"/>
      <c r="G25" s="236"/>
      <c r="H25" s="315"/>
      <c r="I25" s="236"/>
      <c r="J25" s="239"/>
      <c r="K25" s="237">
        <v>13</v>
      </c>
      <c r="L25" s="314">
        <v>59</v>
      </c>
      <c r="M25" s="243"/>
      <c r="N25" s="316"/>
      <c r="O25" s="243"/>
      <c r="P25" s="242"/>
      <c r="Q25" s="317"/>
      <c r="R25" s="318"/>
      <c r="S25" s="319"/>
      <c r="T25" s="320"/>
      <c r="U25" s="416">
        <f t="shared" si="5"/>
        <v>13</v>
      </c>
      <c r="V25" s="417">
        <f t="shared" si="5"/>
        <v>59</v>
      </c>
      <c r="W25" s="321"/>
      <c r="X25" s="322"/>
      <c r="Y25" s="323"/>
      <c r="Z25" s="237"/>
      <c r="AA25" s="237"/>
      <c r="AB25" s="314"/>
      <c r="AC25" s="236"/>
      <c r="AD25" s="315"/>
      <c r="AE25" s="236">
        <v>371</v>
      </c>
      <c r="AF25" s="237">
        <v>2022</v>
      </c>
      <c r="AG25" s="237"/>
      <c r="AH25" s="324"/>
      <c r="AI25" s="325"/>
      <c r="AJ25" s="314"/>
      <c r="AK25" s="236">
        <v>576</v>
      </c>
      <c r="AL25" s="324">
        <v>1600</v>
      </c>
      <c r="AM25" s="237"/>
      <c r="AN25" s="314"/>
      <c r="AO25" s="236"/>
      <c r="AP25" s="315"/>
      <c r="AQ25" s="243">
        <f t="shared" si="6"/>
        <v>947</v>
      </c>
      <c r="AR25" s="326">
        <f t="shared" si="6"/>
        <v>3622</v>
      </c>
      <c r="AS25" s="321"/>
      <c r="AT25" s="322"/>
      <c r="AU25" s="327"/>
      <c r="AV25" s="317"/>
      <c r="AW25" s="317"/>
      <c r="AX25" s="318"/>
      <c r="AY25" s="243"/>
      <c r="AZ25" s="318"/>
      <c r="BA25" s="243"/>
      <c r="BB25" s="317"/>
      <c r="BC25" s="317"/>
      <c r="BD25" s="242"/>
      <c r="BE25" s="328"/>
      <c r="BF25" s="318"/>
      <c r="BG25" s="243"/>
      <c r="BH25" s="242"/>
      <c r="BI25" s="317"/>
      <c r="BJ25" s="318"/>
      <c r="BK25" s="243"/>
      <c r="BL25" s="318"/>
      <c r="BM25" s="329">
        <f t="shared" si="7"/>
        <v>0</v>
      </c>
      <c r="BN25" s="418">
        <f t="shared" si="7"/>
        <v>0</v>
      </c>
      <c r="BO25" s="321"/>
      <c r="BP25" s="322"/>
      <c r="BQ25" s="330">
        <v>9</v>
      </c>
      <c r="BR25" s="331">
        <v>17</v>
      </c>
      <c r="BS25" s="317"/>
      <c r="BT25" s="326"/>
      <c r="BU25" s="241"/>
      <c r="BV25" s="314"/>
      <c r="BW25" s="332">
        <v>16</v>
      </c>
      <c r="BX25" s="333">
        <v>58</v>
      </c>
      <c r="BY25" s="317"/>
      <c r="BZ25" s="326"/>
      <c r="CA25" s="242"/>
      <c r="CB25" s="318"/>
      <c r="CC25" s="334">
        <v>102</v>
      </c>
      <c r="CD25" s="335">
        <v>219</v>
      </c>
      <c r="CE25" s="317"/>
      <c r="CF25" s="326"/>
      <c r="CG25" s="327">
        <v>1</v>
      </c>
      <c r="CH25" s="318">
        <v>2</v>
      </c>
      <c r="CI25" s="329">
        <f t="shared" si="8"/>
        <v>128</v>
      </c>
      <c r="CJ25" s="336">
        <f t="shared" si="8"/>
        <v>296</v>
      </c>
      <c r="CK25" s="321"/>
      <c r="CL25" s="337"/>
      <c r="CM25" s="356"/>
      <c r="CN25" s="337"/>
      <c r="CO25" s="317">
        <v>158</v>
      </c>
      <c r="CP25" s="318">
        <v>450</v>
      </c>
      <c r="CQ25" s="236"/>
      <c r="CR25" s="314"/>
      <c r="CS25" s="332">
        <v>273</v>
      </c>
      <c r="CT25" s="333">
        <v>782</v>
      </c>
    </row>
    <row r="26" spans="1:98" s="306" customFormat="1" ht="15.75" thickBot="1" x14ac:dyDescent="0.3">
      <c r="A26" s="290">
        <v>46044</v>
      </c>
      <c r="B26" s="366" t="s">
        <v>17</v>
      </c>
      <c r="C26" s="100">
        <v>29</v>
      </c>
      <c r="D26" s="77">
        <v>60</v>
      </c>
      <c r="E26" s="99"/>
      <c r="F26" s="292"/>
      <c r="G26" s="99"/>
      <c r="H26" s="293"/>
      <c r="I26" s="100">
        <v>36</v>
      </c>
      <c r="J26" s="77">
        <v>174</v>
      </c>
      <c r="K26" s="99"/>
      <c r="L26" s="292"/>
      <c r="M26" s="125"/>
      <c r="N26" s="294"/>
      <c r="O26" s="99">
        <v>44</v>
      </c>
      <c r="P26" s="78">
        <v>138</v>
      </c>
      <c r="Q26" s="77"/>
      <c r="R26" s="302"/>
      <c r="S26" s="307"/>
      <c r="T26" s="308"/>
      <c r="U26" s="211">
        <f t="shared" si="5"/>
        <v>109</v>
      </c>
      <c r="V26" s="212">
        <f t="shared" si="5"/>
        <v>372</v>
      </c>
      <c r="W26" s="79"/>
      <c r="X26" s="300"/>
      <c r="Y26" s="73">
        <v>310</v>
      </c>
      <c r="Z26" s="74">
        <v>600</v>
      </c>
      <c r="AA26" s="74"/>
      <c r="AB26" s="292"/>
      <c r="AC26" s="99"/>
      <c r="AD26" s="293"/>
      <c r="AE26" s="99">
        <v>371</v>
      </c>
      <c r="AF26" s="74">
        <v>2022</v>
      </c>
      <c r="AG26" s="74"/>
      <c r="AH26" s="75"/>
      <c r="AI26" s="301"/>
      <c r="AJ26" s="292"/>
      <c r="AK26" s="99">
        <v>491</v>
      </c>
      <c r="AL26" s="75">
        <v>1434</v>
      </c>
      <c r="AM26" s="74"/>
      <c r="AN26" s="292"/>
      <c r="AO26" s="99"/>
      <c r="AP26" s="293"/>
      <c r="AQ26" s="125">
        <f t="shared" si="6"/>
        <v>1172</v>
      </c>
      <c r="AR26" s="210">
        <f t="shared" si="6"/>
        <v>4056</v>
      </c>
      <c r="AS26" s="79"/>
      <c r="AT26" s="300"/>
      <c r="AU26" s="76">
        <v>355</v>
      </c>
      <c r="AV26" s="77">
        <v>750</v>
      </c>
      <c r="AW26" s="77"/>
      <c r="AX26" s="302"/>
      <c r="AY26" s="125"/>
      <c r="AZ26" s="302"/>
      <c r="BA26" s="125">
        <v>73</v>
      </c>
      <c r="BB26" s="77">
        <v>674</v>
      </c>
      <c r="BC26" s="77"/>
      <c r="BD26" s="78"/>
      <c r="BE26" s="303"/>
      <c r="BF26" s="302"/>
      <c r="BG26" s="125">
        <v>199</v>
      </c>
      <c r="BH26" s="78">
        <v>999</v>
      </c>
      <c r="BI26" s="77"/>
      <c r="BJ26" s="302"/>
      <c r="BK26" s="125"/>
      <c r="BL26" s="302"/>
      <c r="BM26" s="69">
        <f t="shared" si="7"/>
        <v>627</v>
      </c>
      <c r="BN26" s="209">
        <f t="shared" si="7"/>
        <v>2423</v>
      </c>
      <c r="BO26" s="79"/>
      <c r="BP26" s="300"/>
      <c r="BQ26" s="80">
        <v>6</v>
      </c>
      <c r="BR26" s="81">
        <v>11</v>
      </c>
      <c r="BS26" s="77"/>
      <c r="BT26" s="210"/>
      <c r="BU26" s="100"/>
      <c r="BV26" s="292"/>
      <c r="BW26" s="188">
        <v>16</v>
      </c>
      <c r="BX26" s="101">
        <v>58</v>
      </c>
      <c r="BY26" s="77"/>
      <c r="BZ26" s="210"/>
      <c r="CA26" s="78"/>
      <c r="CB26" s="302"/>
      <c r="CC26" s="192">
        <v>87</v>
      </c>
      <c r="CD26" s="82">
        <v>178</v>
      </c>
      <c r="CE26" s="77"/>
      <c r="CF26" s="210"/>
      <c r="CG26" s="76"/>
      <c r="CH26" s="302"/>
      <c r="CI26" s="69">
        <f t="shared" si="8"/>
        <v>109</v>
      </c>
      <c r="CJ26" s="213">
        <f t="shared" si="8"/>
        <v>247</v>
      </c>
      <c r="CK26" s="79"/>
      <c r="CL26" s="304"/>
      <c r="CM26" s="379"/>
      <c r="CN26" s="304"/>
      <c r="CO26" s="77"/>
      <c r="CP26" s="302"/>
      <c r="CQ26" s="99"/>
      <c r="CR26" s="292"/>
      <c r="CS26" s="188">
        <v>211</v>
      </c>
      <c r="CT26" s="101">
        <v>589</v>
      </c>
    </row>
    <row r="27" spans="1:98" ht="15.75" thickBot="1" x14ac:dyDescent="0.3">
      <c r="A27" s="48">
        <v>46045</v>
      </c>
      <c r="B27" s="49" t="s">
        <v>18</v>
      </c>
      <c r="C27" s="236"/>
      <c r="D27" s="237"/>
      <c r="E27" s="237"/>
      <c r="F27" s="314"/>
      <c r="G27" s="236"/>
      <c r="H27" s="315"/>
      <c r="I27" s="236"/>
      <c r="J27" s="237"/>
      <c r="K27" s="237"/>
      <c r="L27" s="314"/>
      <c r="M27" s="243"/>
      <c r="N27" s="316"/>
      <c r="O27" s="236"/>
      <c r="P27" s="242"/>
      <c r="Q27" s="317"/>
      <c r="R27" s="318"/>
      <c r="S27" s="319"/>
      <c r="T27" s="320"/>
      <c r="U27" s="416">
        <f t="shared" si="5"/>
        <v>0</v>
      </c>
      <c r="V27" s="417">
        <f t="shared" si="5"/>
        <v>0</v>
      </c>
      <c r="W27" s="321"/>
      <c r="X27" s="322"/>
      <c r="Y27" s="323"/>
      <c r="Z27" s="237"/>
      <c r="AA27" s="237"/>
      <c r="AB27" s="314"/>
      <c r="AC27" s="236"/>
      <c r="AD27" s="315"/>
      <c r="AE27" s="236">
        <v>349</v>
      </c>
      <c r="AF27" s="237">
        <v>1919</v>
      </c>
      <c r="AG27" s="237"/>
      <c r="AH27" s="324"/>
      <c r="AI27" s="325"/>
      <c r="AJ27" s="314"/>
      <c r="AK27" s="236">
        <v>414</v>
      </c>
      <c r="AL27" s="324">
        <v>1100</v>
      </c>
      <c r="AM27" s="237"/>
      <c r="AN27" s="314"/>
      <c r="AO27" s="236"/>
      <c r="AP27" s="315"/>
      <c r="AQ27" s="243">
        <f t="shared" si="6"/>
        <v>763</v>
      </c>
      <c r="AR27" s="326">
        <f t="shared" si="6"/>
        <v>3019</v>
      </c>
      <c r="AS27" s="321"/>
      <c r="AT27" s="322"/>
      <c r="AU27" s="327">
        <v>355</v>
      </c>
      <c r="AV27" s="317">
        <v>750</v>
      </c>
      <c r="AW27" s="317"/>
      <c r="AX27" s="318"/>
      <c r="AY27" s="243"/>
      <c r="AZ27" s="318"/>
      <c r="BA27" s="243">
        <v>50</v>
      </c>
      <c r="BB27" s="317">
        <v>556</v>
      </c>
      <c r="BC27" s="317"/>
      <c r="BD27" s="242"/>
      <c r="BE27" s="328"/>
      <c r="BF27" s="318"/>
      <c r="BG27" s="243">
        <v>199</v>
      </c>
      <c r="BH27" s="242">
        <v>999</v>
      </c>
      <c r="BI27" s="317"/>
      <c r="BJ27" s="318"/>
      <c r="BK27" s="243"/>
      <c r="BL27" s="318"/>
      <c r="BM27" s="329">
        <f t="shared" si="7"/>
        <v>604</v>
      </c>
      <c r="BN27" s="418">
        <f t="shared" si="7"/>
        <v>2305</v>
      </c>
      <c r="BO27" s="321"/>
      <c r="BP27" s="322"/>
      <c r="BQ27" s="330">
        <v>6</v>
      </c>
      <c r="BR27" s="331">
        <v>11</v>
      </c>
      <c r="BS27" s="317"/>
      <c r="BT27" s="326"/>
      <c r="BU27" s="241"/>
      <c r="BV27" s="314"/>
      <c r="BW27" s="332">
        <v>16</v>
      </c>
      <c r="BX27" s="333">
        <v>58</v>
      </c>
      <c r="BY27" s="317"/>
      <c r="BZ27" s="326"/>
      <c r="CA27" s="242"/>
      <c r="CB27" s="318"/>
      <c r="CC27" s="334">
        <v>35</v>
      </c>
      <c r="CD27" s="335">
        <v>61</v>
      </c>
      <c r="CE27" s="317"/>
      <c r="CF27" s="326"/>
      <c r="CG27" s="327"/>
      <c r="CH27" s="318"/>
      <c r="CI27" s="329">
        <f t="shared" si="8"/>
        <v>57</v>
      </c>
      <c r="CJ27" s="336">
        <f t="shared" si="8"/>
        <v>130</v>
      </c>
      <c r="CK27" s="321"/>
      <c r="CL27" s="337"/>
      <c r="CM27" s="356"/>
      <c r="CN27" s="337"/>
      <c r="CO27" s="317"/>
      <c r="CP27" s="318"/>
      <c r="CQ27" s="236"/>
      <c r="CR27" s="314"/>
      <c r="CS27" s="332"/>
      <c r="CT27" s="333"/>
    </row>
    <row r="28" spans="1:98" s="464" customFormat="1" ht="15.75" thickBot="1" x14ac:dyDescent="0.3">
      <c r="A28" s="419">
        <v>46046</v>
      </c>
      <c r="B28" s="452" t="s">
        <v>19</v>
      </c>
      <c r="C28" s="420"/>
      <c r="D28" s="421"/>
      <c r="E28" s="421"/>
      <c r="F28" s="422"/>
      <c r="G28" s="420"/>
      <c r="H28" s="423"/>
      <c r="I28" s="420"/>
      <c r="J28" s="421"/>
      <c r="K28" s="421"/>
      <c r="L28" s="422"/>
      <c r="M28" s="436"/>
      <c r="N28" s="453"/>
      <c r="O28" s="420"/>
      <c r="P28" s="441"/>
      <c r="Q28" s="439"/>
      <c r="R28" s="440"/>
      <c r="S28" s="454"/>
      <c r="T28" s="455"/>
      <c r="U28" s="456">
        <f t="shared" si="5"/>
        <v>0</v>
      </c>
      <c r="V28" s="457">
        <f t="shared" si="5"/>
        <v>0</v>
      </c>
      <c r="W28" s="431"/>
      <c r="X28" s="432"/>
      <c r="Y28" s="433"/>
      <c r="Z28" s="421"/>
      <c r="AA28" s="421"/>
      <c r="AB28" s="422"/>
      <c r="AC28" s="420"/>
      <c r="AD28" s="423"/>
      <c r="AE28" s="420"/>
      <c r="AF28" s="421"/>
      <c r="AG28" s="421"/>
      <c r="AH28" s="434"/>
      <c r="AI28" s="435"/>
      <c r="AJ28" s="422"/>
      <c r="AK28" s="420"/>
      <c r="AL28" s="434"/>
      <c r="AM28" s="421"/>
      <c r="AN28" s="422"/>
      <c r="AO28" s="420"/>
      <c r="AP28" s="423"/>
      <c r="AQ28" s="436">
        <f t="shared" si="6"/>
        <v>0</v>
      </c>
      <c r="AR28" s="437">
        <f t="shared" si="6"/>
        <v>0</v>
      </c>
      <c r="AS28" s="431"/>
      <c r="AT28" s="432"/>
      <c r="AU28" s="438"/>
      <c r="AV28" s="439"/>
      <c r="AW28" s="439"/>
      <c r="AX28" s="440"/>
      <c r="AY28" s="436"/>
      <c r="AZ28" s="440"/>
      <c r="BA28" s="436"/>
      <c r="BB28" s="439"/>
      <c r="BC28" s="439"/>
      <c r="BD28" s="441"/>
      <c r="BE28" s="442"/>
      <c r="BF28" s="440"/>
      <c r="BG28" s="436"/>
      <c r="BH28" s="441"/>
      <c r="BI28" s="439"/>
      <c r="BJ28" s="440"/>
      <c r="BK28" s="436"/>
      <c r="BL28" s="440"/>
      <c r="BM28" s="458">
        <f t="shared" si="7"/>
        <v>0</v>
      </c>
      <c r="BN28" s="459">
        <f t="shared" si="7"/>
        <v>0</v>
      </c>
      <c r="BO28" s="431"/>
      <c r="BP28" s="432"/>
      <c r="BQ28" s="443">
        <v>6</v>
      </c>
      <c r="BR28" s="444">
        <v>11</v>
      </c>
      <c r="BS28" s="439"/>
      <c r="BT28" s="437"/>
      <c r="BU28" s="426"/>
      <c r="BV28" s="422"/>
      <c r="BW28" s="445">
        <v>16</v>
      </c>
      <c r="BX28" s="460">
        <v>58</v>
      </c>
      <c r="BY28" s="439"/>
      <c r="BZ28" s="437"/>
      <c r="CA28" s="441"/>
      <c r="CB28" s="440"/>
      <c r="CC28" s="461">
        <v>35</v>
      </c>
      <c r="CD28" s="462">
        <v>61</v>
      </c>
      <c r="CE28" s="439"/>
      <c r="CF28" s="437"/>
      <c r="CG28" s="438"/>
      <c r="CH28" s="440"/>
      <c r="CI28" s="458">
        <f t="shared" si="8"/>
        <v>57</v>
      </c>
      <c r="CJ28" s="463">
        <f t="shared" si="8"/>
        <v>130</v>
      </c>
      <c r="CK28" s="431"/>
      <c r="CL28" s="446"/>
      <c r="CM28" s="447"/>
      <c r="CN28" s="446"/>
      <c r="CO28" s="439"/>
      <c r="CP28" s="440"/>
      <c r="CQ28" s="420"/>
      <c r="CR28" s="422"/>
      <c r="CS28" s="445"/>
      <c r="CT28" s="460"/>
    </row>
    <row r="29" spans="1:98" s="464" customFormat="1" ht="15.75" thickBot="1" x14ac:dyDescent="0.3">
      <c r="A29" s="419">
        <v>46047</v>
      </c>
      <c r="B29" s="452" t="s">
        <v>20</v>
      </c>
      <c r="C29" s="420"/>
      <c r="D29" s="421"/>
      <c r="E29" s="421"/>
      <c r="F29" s="422"/>
      <c r="G29" s="420"/>
      <c r="H29" s="423"/>
      <c r="I29" s="420"/>
      <c r="J29" s="421"/>
      <c r="K29" s="421"/>
      <c r="L29" s="422"/>
      <c r="M29" s="436"/>
      <c r="N29" s="453"/>
      <c r="O29" s="420"/>
      <c r="P29" s="426"/>
      <c r="Q29" s="439"/>
      <c r="R29" s="440"/>
      <c r="S29" s="454"/>
      <c r="T29" s="455"/>
      <c r="U29" s="456">
        <f t="shared" si="5"/>
        <v>0</v>
      </c>
      <c r="V29" s="457">
        <f t="shared" si="5"/>
        <v>0</v>
      </c>
      <c r="W29" s="449"/>
      <c r="X29" s="432"/>
      <c r="Y29" s="420"/>
      <c r="Z29" s="421"/>
      <c r="AA29" s="421"/>
      <c r="AB29" s="422"/>
      <c r="AC29" s="420"/>
      <c r="AD29" s="423"/>
      <c r="AE29" s="420"/>
      <c r="AF29" s="421"/>
      <c r="AG29" s="421"/>
      <c r="AH29" s="434"/>
      <c r="AI29" s="435"/>
      <c r="AJ29" s="422"/>
      <c r="AK29" s="420"/>
      <c r="AL29" s="434"/>
      <c r="AM29" s="421"/>
      <c r="AN29" s="422"/>
      <c r="AO29" s="420"/>
      <c r="AP29" s="423"/>
      <c r="AQ29" s="436">
        <f t="shared" si="6"/>
        <v>0</v>
      </c>
      <c r="AR29" s="437">
        <f t="shared" si="6"/>
        <v>0</v>
      </c>
      <c r="AS29" s="449"/>
      <c r="AT29" s="432"/>
      <c r="AU29" s="438"/>
      <c r="AV29" s="439"/>
      <c r="AW29" s="439"/>
      <c r="AX29" s="440"/>
      <c r="AY29" s="436"/>
      <c r="AZ29" s="440"/>
      <c r="BA29" s="436"/>
      <c r="BB29" s="439"/>
      <c r="BC29" s="439"/>
      <c r="BD29" s="441"/>
      <c r="BE29" s="442"/>
      <c r="BF29" s="440"/>
      <c r="BG29" s="436"/>
      <c r="BH29" s="441"/>
      <c r="BI29" s="439"/>
      <c r="BJ29" s="440"/>
      <c r="BK29" s="436"/>
      <c r="BL29" s="440"/>
      <c r="BM29" s="458">
        <f t="shared" si="7"/>
        <v>0</v>
      </c>
      <c r="BN29" s="459">
        <f t="shared" si="7"/>
        <v>0</v>
      </c>
      <c r="BO29" s="431"/>
      <c r="BP29" s="432"/>
      <c r="BQ29" s="443">
        <v>6</v>
      </c>
      <c r="BR29" s="444">
        <v>11</v>
      </c>
      <c r="BS29" s="439"/>
      <c r="BT29" s="437"/>
      <c r="BU29" s="426"/>
      <c r="BV29" s="422"/>
      <c r="BW29" s="445">
        <v>16</v>
      </c>
      <c r="BX29" s="460">
        <v>58</v>
      </c>
      <c r="BY29" s="439"/>
      <c r="BZ29" s="437"/>
      <c r="CA29" s="441"/>
      <c r="CB29" s="440"/>
      <c r="CC29" s="461">
        <v>35</v>
      </c>
      <c r="CD29" s="462">
        <v>61</v>
      </c>
      <c r="CE29" s="439"/>
      <c r="CF29" s="437"/>
      <c r="CG29" s="438"/>
      <c r="CH29" s="440"/>
      <c r="CI29" s="458">
        <f t="shared" si="8"/>
        <v>57</v>
      </c>
      <c r="CJ29" s="463">
        <f t="shared" si="8"/>
        <v>130</v>
      </c>
      <c r="CK29" s="450"/>
      <c r="CL29" s="446"/>
      <c r="CM29" s="447"/>
      <c r="CN29" s="446"/>
      <c r="CO29" s="439"/>
      <c r="CP29" s="440"/>
      <c r="CQ29" s="420"/>
      <c r="CR29" s="422"/>
      <c r="CS29" s="445"/>
      <c r="CT29" s="460"/>
    </row>
    <row r="30" spans="1:98" ht="15.75" thickBot="1" x14ac:dyDescent="0.3">
      <c r="A30" s="48">
        <v>46048</v>
      </c>
      <c r="B30" s="49" t="s">
        <v>14</v>
      </c>
      <c r="C30" s="236"/>
      <c r="D30" s="237"/>
      <c r="E30" s="237"/>
      <c r="F30" s="314"/>
      <c r="G30" s="236"/>
      <c r="H30" s="315"/>
      <c r="I30" s="236"/>
      <c r="J30" s="237"/>
      <c r="K30" s="237"/>
      <c r="L30" s="314"/>
      <c r="M30" s="243"/>
      <c r="N30" s="316"/>
      <c r="O30" s="236"/>
      <c r="P30" s="242"/>
      <c r="Q30" s="317"/>
      <c r="R30" s="318"/>
      <c r="S30" s="319"/>
      <c r="T30" s="320"/>
      <c r="U30" s="416">
        <f t="shared" si="5"/>
        <v>0</v>
      </c>
      <c r="V30" s="417">
        <f t="shared" si="5"/>
        <v>0</v>
      </c>
      <c r="W30" s="344"/>
      <c r="X30" s="322"/>
      <c r="Y30" s="323"/>
      <c r="Z30" s="237"/>
      <c r="AA30" s="237">
        <v>112</v>
      </c>
      <c r="AB30" s="314">
        <v>227</v>
      </c>
      <c r="AC30" s="236"/>
      <c r="AD30" s="315"/>
      <c r="AE30" s="236">
        <v>374</v>
      </c>
      <c r="AF30" s="237">
        <v>2075</v>
      </c>
      <c r="AG30" s="237">
        <v>73</v>
      </c>
      <c r="AH30" s="324">
        <v>490</v>
      </c>
      <c r="AI30" s="325"/>
      <c r="AJ30" s="314"/>
      <c r="AK30" s="236">
        <v>625</v>
      </c>
      <c r="AL30" s="324">
        <v>1555</v>
      </c>
      <c r="AM30" s="237">
        <v>211</v>
      </c>
      <c r="AN30" s="314">
        <v>455</v>
      </c>
      <c r="AO30" s="236"/>
      <c r="AP30" s="315"/>
      <c r="AQ30" s="243">
        <f t="shared" si="6"/>
        <v>1395</v>
      </c>
      <c r="AR30" s="326">
        <f t="shared" si="6"/>
        <v>4802</v>
      </c>
      <c r="AS30" s="344"/>
      <c r="AT30" s="322"/>
      <c r="AU30" s="327"/>
      <c r="AV30" s="317"/>
      <c r="AW30" s="317"/>
      <c r="AX30" s="318"/>
      <c r="AY30" s="243"/>
      <c r="AZ30" s="318"/>
      <c r="BA30" s="243"/>
      <c r="BB30" s="317"/>
      <c r="BC30" s="317"/>
      <c r="BD30" s="242"/>
      <c r="BE30" s="328"/>
      <c r="BF30" s="318"/>
      <c r="BG30" s="243">
        <v>184</v>
      </c>
      <c r="BH30" s="242">
        <v>947</v>
      </c>
      <c r="BI30" s="317"/>
      <c r="BJ30" s="318"/>
      <c r="BK30" s="243"/>
      <c r="BL30" s="318"/>
      <c r="BM30" s="329">
        <f t="shared" si="7"/>
        <v>184</v>
      </c>
      <c r="BN30" s="418">
        <f t="shared" si="7"/>
        <v>947</v>
      </c>
      <c r="BO30" s="321"/>
      <c r="BP30" s="322"/>
      <c r="BQ30" s="330">
        <v>6</v>
      </c>
      <c r="BR30" s="331">
        <v>11</v>
      </c>
      <c r="BS30" s="317">
        <v>6</v>
      </c>
      <c r="BT30" s="326">
        <v>8</v>
      </c>
      <c r="BU30" s="241"/>
      <c r="BV30" s="314"/>
      <c r="BW30" s="332">
        <v>16</v>
      </c>
      <c r="BX30" s="333">
        <v>58</v>
      </c>
      <c r="BY30" s="317"/>
      <c r="BZ30" s="326"/>
      <c r="CA30" s="242"/>
      <c r="CB30" s="318"/>
      <c r="CC30" s="334">
        <v>5</v>
      </c>
      <c r="CD30" s="335">
        <v>7</v>
      </c>
      <c r="CE30" s="317"/>
      <c r="CF30" s="326"/>
      <c r="CG30" s="327"/>
      <c r="CH30" s="318"/>
      <c r="CI30" s="329">
        <f t="shared" si="8"/>
        <v>33</v>
      </c>
      <c r="CJ30" s="336">
        <f t="shared" si="8"/>
        <v>84</v>
      </c>
      <c r="CK30" s="345"/>
      <c r="CL30" s="337"/>
      <c r="CM30" s="356"/>
      <c r="CN30" s="337"/>
      <c r="CO30" s="317"/>
      <c r="CP30" s="318"/>
      <c r="CQ30" s="236"/>
      <c r="CR30" s="314"/>
      <c r="CS30" s="332">
        <v>91</v>
      </c>
      <c r="CT30" s="333">
        <v>298</v>
      </c>
    </row>
    <row r="31" spans="1:98" ht="15.75" thickBot="1" x14ac:dyDescent="0.3">
      <c r="A31" s="48">
        <v>46049</v>
      </c>
      <c r="B31" s="49" t="s">
        <v>15</v>
      </c>
      <c r="C31" s="236"/>
      <c r="D31" s="237"/>
      <c r="E31" s="237"/>
      <c r="F31" s="314"/>
      <c r="G31" s="236"/>
      <c r="H31" s="315"/>
      <c r="I31" s="236"/>
      <c r="J31" s="237"/>
      <c r="K31" s="237"/>
      <c r="L31" s="314"/>
      <c r="M31" s="243"/>
      <c r="N31" s="316"/>
      <c r="O31" s="236"/>
      <c r="P31" s="242"/>
      <c r="Q31" s="317"/>
      <c r="R31" s="318"/>
      <c r="S31" s="319"/>
      <c r="T31" s="320"/>
      <c r="U31" s="416">
        <f t="shared" si="5"/>
        <v>0</v>
      </c>
      <c r="V31" s="417">
        <f t="shared" si="5"/>
        <v>0</v>
      </c>
      <c r="W31" s="321"/>
      <c r="X31" s="322"/>
      <c r="Y31" s="323"/>
      <c r="Z31" s="237"/>
      <c r="AA31" s="237"/>
      <c r="AB31" s="314"/>
      <c r="AC31" s="236"/>
      <c r="AD31" s="315"/>
      <c r="AE31" s="236"/>
      <c r="AF31" s="237"/>
      <c r="AG31" s="237"/>
      <c r="AH31" s="324"/>
      <c r="AI31" s="325"/>
      <c r="AJ31" s="314"/>
      <c r="AK31" s="236"/>
      <c r="AL31" s="324"/>
      <c r="AM31" s="237"/>
      <c r="AN31" s="314"/>
      <c r="AO31" s="236"/>
      <c r="AP31" s="315"/>
      <c r="AQ31" s="243">
        <f t="shared" si="6"/>
        <v>0</v>
      </c>
      <c r="AR31" s="326">
        <f t="shared" si="6"/>
        <v>0</v>
      </c>
      <c r="AS31" s="321"/>
      <c r="AT31" s="322"/>
      <c r="AU31" s="327">
        <v>355</v>
      </c>
      <c r="AV31" s="317">
        <v>750</v>
      </c>
      <c r="AW31" s="317">
        <v>432</v>
      </c>
      <c r="AX31" s="318">
        <v>850</v>
      </c>
      <c r="AY31" s="243"/>
      <c r="AZ31" s="318"/>
      <c r="BA31" s="243">
        <v>42</v>
      </c>
      <c r="BB31" s="317">
        <v>396</v>
      </c>
      <c r="BC31" s="317">
        <v>54</v>
      </c>
      <c r="BD31" s="242">
        <v>568</v>
      </c>
      <c r="BE31" s="328"/>
      <c r="BF31" s="318"/>
      <c r="BG31" s="243">
        <v>121</v>
      </c>
      <c r="BH31" s="242">
        <v>446</v>
      </c>
      <c r="BI31" s="317">
        <v>94</v>
      </c>
      <c r="BJ31" s="318">
        <v>421</v>
      </c>
      <c r="BK31" s="243">
        <v>1</v>
      </c>
      <c r="BL31" s="318">
        <v>2</v>
      </c>
      <c r="BM31" s="329">
        <f t="shared" si="7"/>
        <v>1099</v>
      </c>
      <c r="BN31" s="418">
        <f t="shared" si="7"/>
        <v>3433</v>
      </c>
      <c r="BO31" s="321"/>
      <c r="BP31" s="322"/>
      <c r="BQ31" s="330">
        <v>12</v>
      </c>
      <c r="BR31" s="331">
        <v>19</v>
      </c>
      <c r="BS31" s="317"/>
      <c r="BT31" s="326"/>
      <c r="BU31" s="241"/>
      <c r="BV31" s="314"/>
      <c r="BW31" s="332">
        <v>16</v>
      </c>
      <c r="BX31" s="333">
        <v>58</v>
      </c>
      <c r="BY31" s="317"/>
      <c r="BZ31" s="326"/>
      <c r="CA31" s="242"/>
      <c r="CB31" s="318"/>
      <c r="CC31" s="334">
        <v>5</v>
      </c>
      <c r="CD31" s="335">
        <v>7</v>
      </c>
      <c r="CE31" s="317"/>
      <c r="CF31" s="326"/>
      <c r="CG31" s="327"/>
      <c r="CH31" s="318"/>
      <c r="CI31" s="329">
        <f t="shared" si="8"/>
        <v>33</v>
      </c>
      <c r="CJ31" s="336">
        <f t="shared" si="8"/>
        <v>84</v>
      </c>
      <c r="CK31" s="321"/>
      <c r="CL31" s="337"/>
      <c r="CM31" s="356"/>
      <c r="CN31" s="337"/>
      <c r="CO31" s="317"/>
      <c r="CP31" s="318"/>
      <c r="CQ31" s="236"/>
      <c r="CR31" s="314"/>
      <c r="CS31" s="332"/>
      <c r="CT31" s="333"/>
    </row>
    <row r="32" spans="1:98" ht="15.75" thickBot="1" x14ac:dyDescent="0.3">
      <c r="A32" s="48">
        <v>46050</v>
      </c>
      <c r="B32" s="49" t="s">
        <v>16</v>
      </c>
      <c r="C32" s="236"/>
      <c r="D32" s="237"/>
      <c r="E32" s="237"/>
      <c r="F32" s="314"/>
      <c r="G32" s="236"/>
      <c r="H32" s="315"/>
      <c r="I32" s="236"/>
      <c r="J32" s="237"/>
      <c r="K32" s="237"/>
      <c r="L32" s="314"/>
      <c r="M32" s="243"/>
      <c r="N32" s="316"/>
      <c r="O32" s="236"/>
      <c r="P32" s="242"/>
      <c r="Q32" s="317"/>
      <c r="R32" s="318"/>
      <c r="S32" s="319"/>
      <c r="T32" s="320"/>
      <c r="U32" s="416">
        <f t="shared" si="5"/>
        <v>0</v>
      </c>
      <c r="V32" s="417">
        <f t="shared" si="5"/>
        <v>0</v>
      </c>
      <c r="W32" s="321"/>
      <c r="X32" s="322"/>
      <c r="Y32" s="323"/>
      <c r="Z32" s="237"/>
      <c r="AA32" s="237"/>
      <c r="AB32" s="314"/>
      <c r="AC32" s="236"/>
      <c r="AD32" s="315"/>
      <c r="AE32" s="236"/>
      <c r="AF32" s="237"/>
      <c r="AG32" s="237"/>
      <c r="AH32" s="324"/>
      <c r="AI32" s="325"/>
      <c r="AJ32" s="314"/>
      <c r="AK32" s="236"/>
      <c r="AL32" s="324"/>
      <c r="AM32" s="237"/>
      <c r="AN32" s="314"/>
      <c r="AO32" s="236"/>
      <c r="AP32" s="315"/>
      <c r="AQ32" s="243">
        <f t="shared" si="6"/>
        <v>0</v>
      </c>
      <c r="AR32" s="326">
        <f t="shared" si="6"/>
        <v>0</v>
      </c>
      <c r="AS32" s="321"/>
      <c r="AT32" s="322"/>
      <c r="AU32" s="327"/>
      <c r="AV32" s="317"/>
      <c r="AW32" s="317"/>
      <c r="AX32" s="318"/>
      <c r="AY32" s="243"/>
      <c r="AZ32" s="318"/>
      <c r="BA32" s="243"/>
      <c r="BB32" s="317"/>
      <c r="BC32" s="317"/>
      <c r="BD32" s="242"/>
      <c r="BE32" s="328"/>
      <c r="BF32" s="318"/>
      <c r="BG32" s="243"/>
      <c r="BH32" s="242"/>
      <c r="BI32" s="317"/>
      <c r="BJ32" s="318"/>
      <c r="BK32" s="243"/>
      <c r="BL32" s="318"/>
      <c r="BM32" s="329">
        <f t="shared" si="7"/>
        <v>0</v>
      </c>
      <c r="BN32" s="418">
        <f t="shared" si="7"/>
        <v>0</v>
      </c>
      <c r="BO32" s="321"/>
      <c r="BP32" s="322"/>
      <c r="BQ32" s="330">
        <v>12</v>
      </c>
      <c r="BR32" s="331">
        <v>19</v>
      </c>
      <c r="BS32" s="317"/>
      <c r="BT32" s="326"/>
      <c r="BU32" s="241"/>
      <c r="BV32" s="314"/>
      <c r="BW32" s="332">
        <v>16</v>
      </c>
      <c r="BX32" s="333">
        <v>58</v>
      </c>
      <c r="BY32" s="317"/>
      <c r="BZ32" s="326"/>
      <c r="CA32" s="242"/>
      <c r="CB32" s="318"/>
      <c r="CC32" s="334">
        <v>5</v>
      </c>
      <c r="CD32" s="335">
        <v>7</v>
      </c>
      <c r="CE32" s="317"/>
      <c r="CF32" s="326"/>
      <c r="CG32" s="327"/>
      <c r="CH32" s="318"/>
      <c r="CI32" s="329">
        <f t="shared" si="8"/>
        <v>33</v>
      </c>
      <c r="CJ32" s="336">
        <f t="shared" si="8"/>
        <v>84</v>
      </c>
      <c r="CK32" s="321"/>
      <c r="CL32" s="337"/>
      <c r="CM32" s="356"/>
      <c r="CN32" s="337"/>
      <c r="CO32" s="317">
        <v>67</v>
      </c>
      <c r="CP32" s="318">
        <v>138</v>
      </c>
      <c r="CQ32" s="236">
        <v>1</v>
      </c>
      <c r="CR32" s="314">
        <v>3</v>
      </c>
      <c r="CS32" s="332"/>
      <c r="CT32" s="333"/>
    </row>
    <row r="33" spans="1:98" s="306" customFormat="1" ht="15.75" thickBot="1" x14ac:dyDescent="0.3">
      <c r="A33" s="290">
        <v>46051</v>
      </c>
      <c r="B33" s="366" t="s">
        <v>17</v>
      </c>
      <c r="C33" s="99">
        <v>25</v>
      </c>
      <c r="D33" s="74">
        <v>58</v>
      </c>
      <c r="E33" s="74"/>
      <c r="F33" s="292"/>
      <c r="G33" s="99"/>
      <c r="H33" s="293"/>
      <c r="I33" s="99">
        <v>45</v>
      </c>
      <c r="J33" s="74">
        <v>207</v>
      </c>
      <c r="K33" s="74"/>
      <c r="L33" s="292"/>
      <c r="M33" s="125"/>
      <c r="N33" s="294"/>
      <c r="O33" s="99">
        <v>69</v>
      </c>
      <c r="P33" s="78">
        <v>113</v>
      </c>
      <c r="Q33" s="77"/>
      <c r="R33" s="302"/>
      <c r="S33" s="77"/>
      <c r="T33" s="302"/>
      <c r="U33" s="211">
        <f t="shared" si="5"/>
        <v>139</v>
      </c>
      <c r="V33" s="212">
        <f t="shared" si="5"/>
        <v>378</v>
      </c>
      <c r="W33" s="79"/>
      <c r="X33" s="300"/>
      <c r="Y33" s="73">
        <v>292</v>
      </c>
      <c r="Z33" s="74">
        <v>592</v>
      </c>
      <c r="AA33" s="74"/>
      <c r="AB33" s="292"/>
      <c r="AC33" s="99"/>
      <c r="AD33" s="293"/>
      <c r="AE33" s="99">
        <v>285</v>
      </c>
      <c r="AF33" s="74">
        <v>1664</v>
      </c>
      <c r="AG33" s="74"/>
      <c r="AH33" s="75"/>
      <c r="AI33" s="301"/>
      <c r="AJ33" s="292"/>
      <c r="AK33" s="99">
        <v>625</v>
      </c>
      <c r="AL33" s="75">
        <v>1555</v>
      </c>
      <c r="AM33" s="74"/>
      <c r="AN33" s="292"/>
      <c r="AO33" s="99"/>
      <c r="AP33" s="293"/>
      <c r="AQ33" s="125">
        <f t="shared" si="6"/>
        <v>1202</v>
      </c>
      <c r="AR33" s="210">
        <f t="shared" si="6"/>
        <v>3811</v>
      </c>
      <c r="AS33" s="79"/>
      <c r="AT33" s="300"/>
      <c r="AU33" s="76">
        <v>787</v>
      </c>
      <c r="AV33" s="77">
        <v>1600</v>
      </c>
      <c r="AW33" s="77"/>
      <c r="AX33" s="302"/>
      <c r="AY33" s="125"/>
      <c r="AZ33" s="302"/>
      <c r="BA33" s="125"/>
      <c r="BB33" s="77"/>
      <c r="BC33" s="77"/>
      <c r="BD33" s="78"/>
      <c r="BE33" s="303"/>
      <c r="BF33" s="302"/>
      <c r="BG33" s="125">
        <v>179</v>
      </c>
      <c r="BH33" s="78">
        <v>771</v>
      </c>
      <c r="BI33" s="77"/>
      <c r="BJ33" s="302"/>
      <c r="BK33" s="125"/>
      <c r="BL33" s="302"/>
      <c r="BM33" s="69">
        <f t="shared" si="7"/>
        <v>966</v>
      </c>
      <c r="BN33" s="209">
        <f t="shared" si="7"/>
        <v>2371</v>
      </c>
      <c r="BO33" s="79"/>
      <c r="BP33" s="300"/>
      <c r="BQ33" s="80">
        <v>12</v>
      </c>
      <c r="BR33" s="81">
        <v>19</v>
      </c>
      <c r="BS33" s="77"/>
      <c r="BT33" s="210"/>
      <c r="BU33" s="78"/>
      <c r="BV33" s="302"/>
      <c r="BW33" s="192">
        <v>16</v>
      </c>
      <c r="BX33" s="101">
        <v>58</v>
      </c>
      <c r="BY33" s="77"/>
      <c r="BZ33" s="210"/>
      <c r="CA33" s="78"/>
      <c r="CB33" s="302"/>
      <c r="CC33" s="192">
        <v>5</v>
      </c>
      <c r="CD33" s="101">
        <v>7</v>
      </c>
      <c r="CE33" s="77"/>
      <c r="CF33" s="210"/>
      <c r="CG33" s="76"/>
      <c r="CH33" s="302"/>
      <c r="CI33" s="69">
        <f t="shared" si="8"/>
        <v>33</v>
      </c>
      <c r="CJ33" s="213">
        <f t="shared" si="8"/>
        <v>84</v>
      </c>
      <c r="CK33" s="79"/>
      <c r="CL33" s="304"/>
      <c r="CM33" s="379"/>
      <c r="CN33" s="304"/>
      <c r="CO33" s="77"/>
      <c r="CP33" s="302"/>
      <c r="CQ33" s="99"/>
      <c r="CR33" s="292"/>
      <c r="CS33" s="188">
        <v>92</v>
      </c>
      <c r="CT33" s="101">
        <v>241</v>
      </c>
    </row>
    <row r="34" spans="1:98" ht="15.75" thickBot="1" x14ac:dyDescent="0.3">
      <c r="A34" s="48">
        <v>46052</v>
      </c>
      <c r="B34" s="49" t="s">
        <v>18</v>
      </c>
      <c r="C34" s="50"/>
      <c r="D34" s="51"/>
      <c r="E34" s="51"/>
      <c r="F34" s="380"/>
      <c r="G34" s="50"/>
      <c r="H34" s="381"/>
      <c r="I34" s="50"/>
      <c r="J34" s="51"/>
      <c r="K34" s="51"/>
      <c r="L34" s="380"/>
      <c r="M34" s="124"/>
      <c r="N34" s="382"/>
      <c r="O34" s="50"/>
      <c r="P34" s="42"/>
      <c r="Q34" s="41"/>
      <c r="R34" s="391"/>
      <c r="S34" s="41"/>
      <c r="T34" s="391"/>
      <c r="U34" s="388">
        <f t="shared" si="5"/>
        <v>0</v>
      </c>
      <c r="V34" s="31">
        <f t="shared" si="5"/>
        <v>0</v>
      </c>
      <c r="W34" s="64"/>
      <c r="X34" s="6"/>
      <c r="Y34" s="54"/>
      <c r="Z34" s="51"/>
      <c r="AA34" s="51"/>
      <c r="AB34" s="380"/>
      <c r="AC34" s="50"/>
      <c r="AD34" s="381"/>
      <c r="AE34" s="50"/>
      <c r="AF34" s="51"/>
      <c r="AG34" s="51"/>
      <c r="AH34" s="65"/>
      <c r="AI34" s="389"/>
      <c r="AJ34" s="380"/>
      <c r="AK34" s="50"/>
      <c r="AL34" s="65"/>
      <c r="AM34" s="51"/>
      <c r="AN34" s="380"/>
      <c r="AO34" s="124"/>
      <c r="AP34" s="391"/>
      <c r="AQ34" s="124">
        <f t="shared" si="6"/>
        <v>0</v>
      </c>
      <c r="AR34" s="390">
        <f t="shared" si="6"/>
        <v>0</v>
      </c>
      <c r="AS34" s="64"/>
      <c r="AT34" s="6"/>
      <c r="AU34" s="40"/>
      <c r="AV34" s="41"/>
      <c r="AW34" s="41"/>
      <c r="AX34" s="391"/>
      <c r="AY34" s="124"/>
      <c r="AZ34" s="391"/>
      <c r="BA34" s="124"/>
      <c r="BB34" s="41"/>
      <c r="BC34" s="41"/>
      <c r="BD34" s="42"/>
      <c r="BE34" s="392"/>
      <c r="BF34" s="391"/>
      <c r="BG34" s="124"/>
      <c r="BH34" s="42"/>
      <c r="BI34" s="41"/>
      <c r="BJ34" s="391"/>
      <c r="BK34" s="124"/>
      <c r="BL34" s="391"/>
      <c r="BM34" s="393">
        <f t="shared" si="7"/>
        <v>0</v>
      </c>
      <c r="BN34" s="394">
        <f t="shared" si="7"/>
        <v>0</v>
      </c>
      <c r="BO34" s="64"/>
      <c r="BP34" s="6"/>
      <c r="BQ34" s="56">
        <v>6</v>
      </c>
      <c r="BR34" s="57">
        <v>8</v>
      </c>
      <c r="BS34" s="41"/>
      <c r="BT34" s="390"/>
      <c r="BU34" s="41"/>
      <c r="BV34" s="391"/>
      <c r="BW34" s="190">
        <v>16</v>
      </c>
      <c r="BX34" s="67">
        <v>58</v>
      </c>
      <c r="BY34" s="41"/>
      <c r="BZ34" s="390"/>
      <c r="CA34" s="41"/>
      <c r="CB34" s="391"/>
      <c r="CC34" s="190">
        <v>0</v>
      </c>
      <c r="CD34" s="67">
        <v>0</v>
      </c>
      <c r="CE34" s="41"/>
      <c r="CF34" s="390"/>
      <c r="CG34" s="40"/>
      <c r="CH34" s="391"/>
      <c r="CI34" s="28">
        <f t="shared" si="8"/>
        <v>22</v>
      </c>
      <c r="CJ34" s="45">
        <f t="shared" si="8"/>
        <v>66</v>
      </c>
      <c r="CK34" s="64"/>
      <c r="CL34" s="60"/>
      <c r="CM34" s="396"/>
      <c r="CN34" s="60"/>
      <c r="CO34" s="41"/>
      <c r="CP34" s="391"/>
      <c r="CQ34" s="41"/>
      <c r="CR34" s="391"/>
      <c r="CS34" s="187"/>
      <c r="CT34" s="67"/>
    </row>
    <row r="35" spans="1:98" ht="15.75" thickBot="1" x14ac:dyDescent="0.3">
      <c r="A35" s="48">
        <v>46053</v>
      </c>
      <c r="B35" s="49" t="s">
        <v>19</v>
      </c>
      <c r="C35" s="216"/>
      <c r="D35" s="217"/>
      <c r="E35" s="217"/>
      <c r="F35" s="411"/>
      <c r="G35" s="216"/>
      <c r="H35" s="412"/>
      <c r="I35" s="216"/>
      <c r="J35" s="217"/>
      <c r="K35" s="217"/>
      <c r="L35" s="411"/>
      <c r="M35" s="216"/>
      <c r="N35" s="412"/>
      <c r="O35" s="216"/>
      <c r="P35" s="41"/>
      <c r="Q35" s="41"/>
      <c r="R35" s="41"/>
      <c r="S35" s="41"/>
      <c r="T35" s="41"/>
      <c r="U35" s="388">
        <f t="shared" si="5"/>
        <v>0</v>
      </c>
      <c r="V35" s="31">
        <f t="shared" si="5"/>
        <v>0</v>
      </c>
      <c r="W35" s="224"/>
      <c r="X35" s="6"/>
      <c r="Y35" s="225"/>
      <c r="Z35" s="217"/>
      <c r="AA35" s="217"/>
      <c r="AB35" s="411"/>
      <c r="AC35" s="216"/>
      <c r="AD35" s="412"/>
      <c r="AE35" s="216"/>
      <c r="AF35" s="217"/>
      <c r="AG35" s="217"/>
      <c r="AH35" s="227"/>
      <c r="AI35" s="413"/>
      <c r="AJ35" s="411"/>
      <c r="AK35" s="216"/>
      <c r="AL35" s="227"/>
      <c r="AM35" s="217"/>
      <c r="AN35" s="411"/>
      <c r="AO35" s="124"/>
      <c r="AP35" s="391"/>
      <c r="AQ35" s="124">
        <f t="shared" si="6"/>
        <v>0</v>
      </c>
      <c r="AR35" s="390">
        <f t="shared" si="6"/>
        <v>0</v>
      </c>
      <c r="AS35" s="224"/>
      <c r="AT35" s="6"/>
      <c r="AU35" s="225"/>
      <c r="AV35" s="217"/>
      <c r="AW35" s="217"/>
      <c r="AX35" s="411"/>
      <c r="AY35" s="216"/>
      <c r="AZ35" s="412"/>
      <c r="BA35" s="216"/>
      <c r="BB35" s="217"/>
      <c r="BC35" s="217"/>
      <c r="BD35" s="222"/>
      <c r="BE35" s="413"/>
      <c r="BF35" s="411"/>
      <c r="BG35" s="216"/>
      <c r="BH35" s="222"/>
      <c r="BI35" s="217"/>
      <c r="BJ35" s="411"/>
      <c r="BK35" s="216"/>
      <c r="BL35" s="222"/>
      <c r="BM35" s="393">
        <f t="shared" si="7"/>
        <v>0</v>
      </c>
      <c r="BN35" s="394">
        <f t="shared" si="7"/>
        <v>0</v>
      </c>
      <c r="BO35" s="224"/>
      <c r="BP35" s="6"/>
      <c r="BQ35" s="56">
        <v>6</v>
      </c>
      <c r="BR35" s="57">
        <v>8</v>
      </c>
      <c r="BS35" s="41"/>
      <c r="BT35" s="390"/>
      <c r="BU35" s="41"/>
      <c r="BV35" s="391"/>
      <c r="BW35" s="228">
        <v>16</v>
      </c>
      <c r="BX35" s="229">
        <v>58</v>
      </c>
      <c r="BY35" s="41"/>
      <c r="BZ35" s="390"/>
      <c r="CA35" s="41"/>
      <c r="CB35" s="391"/>
      <c r="CC35" s="228">
        <v>0</v>
      </c>
      <c r="CD35" s="230">
        <v>0</v>
      </c>
      <c r="CE35" s="41"/>
      <c r="CF35" s="390"/>
      <c r="CG35" s="40"/>
      <c r="CH35" s="391"/>
      <c r="CI35" s="28">
        <f t="shared" si="8"/>
        <v>22</v>
      </c>
      <c r="CJ35" s="45">
        <f t="shared" si="8"/>
        <v>66</v>
      </c>
      <c r="CK35" s="224"/>
      <c r="CL35" s="60"/>
      <c r="CM35" s="396"/>
      <c r="CN35" s="60"/>
      <c r="CO35" s="41"/>
      <c r="CP35" s="391"/>
      <c r="CQ35" s="41"/>
      <c r="CR35" s="391"/>
      <c r="CS35" s="228"/>
      <c r="CT35" s="232"/>
    </row>
    <row r="36" spans="1:98" ht="15.75" thickBot="1" x14ac:dyDescent="0.3">
      <c r="A36" s="368" t="s">
        <v>21</v>
      </c>
      <c r="B36" s="346"/>
      <c r="C36" s="329"/>
      <c r="D36" s="347"/>
      <c r="E36" s="347"/>
      <c r="F36" s="348"/>
      <c r="G36" s="329"/>
      <c r="H36" s="349"/>
      <c r="I36" s="329"/>
      <c r="J36" s="347"/>
      <c r="K36" s="347"/>
      <c r="L36" s="348"/>
      <c r="M36" s="329"/>
      <c r="N36" s="349"/>
      <c r="O36" s="329"/>
      <c r="P36" s="340"/>
      <c r="Q36" s="340"/>
      <c r="R36" s="340"/>
      <c r="S36" s="340"/>
      <c r="T36" s="340"/>
      <c r="U36" s="388"/>
      <c r="V36" s="31"/>
      <c r="W36" s="352"/>
      <c r="X36" s="353"/>
      <c r="Y36" s="354"/>
      <c r="Z36" s="347"/>
      <c r="AA36" s="347"/>
      <c r="AB36" s="348"/>
      <c r="AC36" s="329"/>
      <c r="AD36" s="349"/>
      <c r="AE36" s="329"/>
      <c r="AF36" s="347"/>
      <c r="AG36" s="347"/>
      <c r="AH36" s="336"/>
      <c r="AI36" s="355"/>
      <c r="AJ36" s="348"/>
      <c r="AK36" s="329"/>
      <c r="AL36" s="336"/>
      <c r="AM36" s="347"/>
      <c r="AN36" s="348"/>
      <c r="AO36" s="243"/>
      <c r="AP36" s="318"/>
      <c r="AQ36" s="124"/>
      <c r="AR36" s="390"/>
      <c r="AS36" s="356"/>
      <c r="AT36" s="353"/>
      <c r="AU36" s="354"/>
      <c r="AV36" s="347"/>
      <c r="AW36" s="347"/>
      <c r="AX36" s="348"/>
      <c r="AY36" s="329"/>
      <c r="AZ36" s="349"/>
      <c r="BA36" s="329"/>
      <c r="BB36" s="347"/>
      <c r="BC36" s="347"/>
      <c r="BD36" s="336"/>
      <c r="BE36" s="355"/>
      <c r="BF36" s="348"/>
      <c r="BG36" s="329"/>
      <c r="BH36" s="336"/>
      <c r="BI36" s="347"/>
      <c r="BJ36" s="348"/>
      <c r="BK36" s="354"/>
      <c r="BL36" s="347"/>
      <c r="BM36" s="28"/>
      <c r="BN36" s="44"/>
      <c r="BO36" s="356"/>
      <c r="BP36" s="353"/>
      <c r="BQ36" s="330">
        <v>6</v>
      </c>
      <c r="BR36" s="331">
        <v>8</v>
      </c>
      <c r="BS36" s="317"/>
      <c r="BT36" s="326"/>
      <c r="BU36" s="317"/>
      <c r="BV36" s="318"/>
      <c r="BW36" s="329">
        <v>16</v>
      </c>
      <c r="BX36" s="347">
        <v>58</v>
      </c>
      <c r="BY36" s="317"/>
      <c r="BZ36" s="326"/>
      <c r="CA36" s="317"/>
      <c r="CB36" s="318"/>
      <c r="CC36" s="329">
        <v>0</v>
      </c>
      <c r="CD36" s="336">
        <v>0</v>
      </c>
      <c r="CE36" s="317"/>
      <c r="CF36" s="326"/>
      <c r="CG36" s="327"/>
      <c r="CH36" s="318"/>
      <c r="CI36" s="28">
        <f t="shared" si="8"/>
        <v>22</v>
      </c>
      <c r="CJ36" s="45">
        <f t="shared" si="8"/>
        <v>66</v>
      </c>
      <c r="CK36" s="356"/>
      <c r="CL36" s="129"/>
      <c r="CM36" s="32"/>
      <c r="CN36" s="129"/>
      <c r="CO36" s="317"/>
      <c r="CP36" s="318"/>
      <c r="CQ36" s="317"/>
      <c r="CR36" s="318"/>
      <c r="CS36" s="329"/>
      <c r="CT36" s="356"/>
    </row>
    <row r="39" spans="1:98" x14ac:dyDescent="0.25">
      <c r="J39" s="203" t="s">
        <v>30</v>
      </c>
      <c r="K39" s="203" t="s">
        <v>31</v>
      </c>
      <c r="L39" s="203" t="s">
        <v>32</v>
      </c>
    </row>
    <row r="40" spans="1:98" x14ac:dyDescent="0.25">
      <c r="I40" s="451"/>
      <c r="J40" s="451">
        <v>46030</v>
      </c>
      <c r="K40">
        <f>U12+AQ12+BM12+CI12</f>
        <v>1634</v>
      </c>
      <c r="L40">
        <f>V12+AR12+BN12+CJ12</f>
        <v>7043</v>
      </c>
    </row>
    <row r="41" spans="1:98" x14ac:dyDescent="0.25">
      <c r="J41" s="451">
        <v>46037</v>
      </c>
      <c r="K41">
        <f>U19+AQ19+BM19+CI19</f>
        <v>1343</v>
      </c>
      <c r="L41">
        <f>V19+AR19+BN19+CJ19</f>
        <v>5783</v>
      </c>
    </row>
    <row r="42" spans="1:98" x14ac:dyDescent="0.25">
      <c r="J42" s="451">
        <v>46044</v>
      </c>
      <c r="K42">
        <f>U26+AQ26+BM26+CI26</f>
        <v>2017</v>
      </c>
      <c r="L42">
        <f>V26+AR26+BN26+CJ26</f>
        <v>7098</v>
      </c>
    </row>
    <row r="43" spans="1:98" x14ac:dyDescent="0.25">
      <c r="J43" s="451">
        <v>46051</v>
      </c>
      <c r="K43">
        <f>U33+AQ33+BM33+CI33</f>
        <v>2340</v>
      </c>
      <c r="L43">
        <f>V33+AR33+BN33+CJ33</f>
        <v>6644</v>
      </c>
    </row>
  </sheetData>
  <mergeCells count="17">
    <mergeCell ref="BQ1:CK1"/>
    <mergeCell ref="CO1:CT2"/>
    <mergeCell ref="C2:H2"/>
    <mergeCell ref="I2:N2"/>
    <mergeCell ref="O2:T2"/>
    <mergeCell ref="Y2:AD2"/>
    <mergeCell ref="AE2:AJ2"/>
    <mergeCell ref="CC2:CH2"/>
    <mergeCell ref="AK2:AP2"/>
    <mergeCell ref="AU2:AZ2"/>
    <mergeCell ref="BA2:BF2"/>
    <mergeCell ref="BG2:BL2"/>
    <mergeCell ref="BQ2:BV2"/>
    <mergeCell ref="BW2:CB2"/>
    <mergeCell ref="C1:W1"/>
    <mergeCell ref="Y1:AS1"/>
    <mergeCell ref="AU1:BO1"/>
  </mergeCells>
  <phoneticPr fontId="1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D5D2-5B1A-407D-BBDB-8369F917A429}">
  <dimension ref="A1:CT40"/>
  <sheetViews>
    <sheetView workbookViewId="0">
      <pane xSplit="2" ySplit="3" topLeftCell="T6" activePane="bottomRight" state="frozen"/>
      <selection pane="topRight" activeCell="C1" sqref="C1"/>
      <selection pane="bottomLeft" activeCell="A4" sqref="A4"/>
      <selection pane="bottomRight" activeCell="K37" sqref="K37"/>
    </sheetView>
  </sheetViews>
  <sheetFormatPr defaultRowHeight="15" x14ac:dyDescent="0.25"/>
  <cols>
    <col min="1" max="1" width="11.5703125" customWidth="1"/>
    <col min="9" max="10" width="10.85546875" bestFit="1" customWidth="1"/>
    <col min="24" max="24" width="8.85546875" style="500"/>
  </cols>
  <sheetData>
    <row r="1" spans="1:98" ht="19.5" thickBot="1" x14ac:dyDescent="0.35">
      <c r="A1" s="1" t="s">
        <v>36</v>
      </c>
      <c r="B1" s="2"/>
      <c r="C1" s="590" t="s">
        <v>1</v>
      </c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33"/>
      <c r="Y1" s="596" t="s">
        <v>2</v>
      </c>
      <c r="Z1" s="594"/>
      <c r="AA1" s="594"/>
      <c r="AB1" s="594"/>
      <c r="AC1" s="594"/>
      <c r="AD1" s="594"/>
      <c r="AE1" s="594"/>
      <c r="AF1" s="594"/>
      <c r="AG1" s="594"/>
      <c r="AH1" s="594"/>
      <c r="AI1" s="594"/>
      <c r="AJ1" s="594"/>
      <c r="AK1" s="594"/>
      <c r="AL1" s="594"/>
      <c r="AM1" s="594"/>
      <c r="AN1" s="594"/>
      <c r="AO1" s="594"/>
      <c r="AP1" s="594"/>
      <c r="AQ1" s="594"/>
      <c r="AR1" s="594"/>
      <c r="AS1" s="595"/>
      <c r="AT1" s="3"/>
      <c r="AU1" s="593" t="s">
        <v>3</v>
      </c>
      <c r="AV1" s="596"/>
      <c r="AW1" s="596"/>
      <c r="AX1" s="596"/>
      <c r="AY1" s="596"/>
      <c r="AZ1" s="596"/>
      <c r="BA1" s="596"/>
      <c r="BB1" s="596"/>
      <c r="BC1" s="596"/>
      <c r="BD1" s="596"/>
      <c r="BE1" s="596"/>
      <c r="BF1" s="596"/>
      <c r="BG1" s="596"/>
      <c r="BH1" s="596"/>
      <c r="BI1" s="596"/>
      <c r="BJ1" s="596"/>
      <c r="BK1" s="596"/>
      <c r="BL1" s="596"/>
      <c r="BM1" s="596"/>
      <c r="BN1" s="596"/>
      <c r="BO1" s="597"/>
      <c r="BP1" s="3"/>
      <c r="BQ1" s="593" t="s">
        <v>4</v>
      </c>
      <c r="BR1" s="596"/>
      <c r="BS1" s="596"/>
      <c r="BT1" s="596"/>
      <c r="BU1" s="596"/>
      <c r="BV1" s="596"/>
      <c r="BW1" s="596"/>
      <c r="BX1" s="596"/>
      <c r="BY1" s="596"/>
      <c r="BZ1" s="596"/>
      <c r="CA1" s="596"/>
      <c r="CB1" s="596"/>
      <c r="CC1" s="596"/>
      <c r="CD1" s="596"/>
      <c r="CE1" s="596"/>
      <c r="CF1" s="596"/>
      <c r="CG1" s="596"/>
      <c r="CH1" s="596"/>
      <c r="CI1" s="596"/>
      <c r="CJ1" s="596"/>
      <c r="CK1" s="597"/>
      <c r="CL1" s="3"/>
      <c r="CM1" s="4" t="s">
        <v>5</v>
      </c>
      <c r="CN1" s="3"/>
      <c r="CO1" s="578" t="s">
        <v>29</v>
      </c>
      <c r="CP1" s="579"/>
      <c r="CQ1" s="579"/>
      <c r="CR1" s="579"/>
      <c r="CS1" s="579"/>
      <c r="CT1" s="579"/>
    </row>
    <row r="2" spans="1:98" ht="16.5" thickTop="1" thickBot="1" x14ac:dyDescent="0.3">
      <c r="A2" s="5"/>
      <c r="B2" s="6"/>
      <c r="C2" s="598" t="s">
        <v>22</v>
      </c>
      <c r="D2" s="599"/>
      <c r="E2" s="599"/>
      <c r="F2" s="599"/>
      <c r="G2" s="599"/>
      <c r="H2" s="600"/>
      <c r="I2" s="601" t="s">
        <v>7</v>
      </c>
      <c r="J2" s="599"/>
      <c r="K2" s="599"/>
      <c r="L2" s="599"/>
      <c r="M2" s="599"/>
      <c r="N2" s="600"/>
      <c r="O2" s="601" t="s">
        <v>8</v>
      </c>
      <c r="P2" s="599"/>
      <c r="Q2" s="599"/>
      <c r="R2" s="599"/>
      <c r="S2" s="599"/>
      <c r="T2" s="600"/>
      <c r="U2" s="465"/>
      <c r="V2" s="8"/>
      <c r="W2" s="494"/>
      <c r="X2" s="501"/>
      <c r="Y2" s="599" t="s">
        <v>6</v>
      </c>
      <c r="Z2" s="599"/>
      <c r="AA2" s="599"/>
      <c r="AB2" s="599"/>
      <c r="AC2" s="599"/>
      <c r="AD2" s="600"/>
      <c r="AE2" s="601" t="s">
        <v>7</v>
      </c>
      <c r="AF2" s="599"/>
      <c r="AG2" s="599"/>
      <c r="AH2" s="599"/>
      <c r="AI2" s="599"/>
      <c r="AJ2" s="600"/>
      <c r="AK2" s="601" t="s">
        <v>9</v>
      </c>
      <c r="AL2" s="599"/>
      <c r="AM2" s="599"/>
      <c r="AN2" s="599"/>
      <c r="AO2" s="599"/>
      <c r="AP2" s="600"/>
      <c r="AQ2" s="465"/>
      <c r="AR2" s="8"/>
      <c r="AS2" s="9"/>
      <c r="AT2" s="3"/>
      <c r="AU2" s="598" t="s">
        <v>6</v>
      </c>
      <c r="AV2" s="599"/>
      <c r="AW2" s="599"/>
      <c r="AX2" s="599"/>
      <c r="AY2" s="599"/>
      <c r="AZ2" s="600"/>
      <c r="BA2" s="599" t="s">
        <v>7</v>
      </c>
      <c r="BB2" s="599"/>
      <c r="BC2" s="599"/>
      <c r="BD2" s="599"/>
      <c r="BE2" s="599"/>
      <c r="BF2" s="600"/>
      <c r="BG2" s="587" t="s">
        <v>9</v>
      </c>
      <c r="BH2" s="588"/>
      <c r="BI2" s="588"/>
      <c r="BJ2" s="588"/>
      <c r="BK2" s="588"/>
      <c r="BL2" s="589"/>
      <c r="BM2" s="128"/>
      <c r="BN2" s="10"/>
      <c r="BO2" s="9"/>
      <c r="BP2" s="3"/>
      <c r="BQ2" s="586" t="s">
        <v>6</v>
      </c>
      <c r="BR2" s="584"/>
      <c r="BS2" s="584"/>
      <c r="BT2" s="584"/>
      <c r="BU2" s="584"/>
      <c r="BV2" s="585"/>
      <c r="BW2" s="583" t="s">
        <v>7</v>
      </c>
      <c r="BX2" s="584"/>
      <c r="BY2" s="584"/>
      <c r="BZ2" s="584"/>
      <c r="CA2" s="584"/>
      <c r="CB2" s="585"/>
      <c r="CC2" s="580" t="s">
        <v>9</v>
      </c>
      <c r="CD2" s="581"/>
      <c r="CE2" s="581"/>
      <c r="CF2" s="581"/>
      <c r="CG2" s="581"/>
      <c r="CH2" s="582"/>
      <c r="CI2" s="128"/>
      <c r="CJ2" s="11"/>
      <c r="CK2" s="9"/>
      <c r="CL2" s="3"/>
      <c r="CM2" s="12"/>
      <c r="CN2" s="3"/>
      <c r="CO2" s="579"/>
      <c r="CP2" s="579"/>
      <c r="CQ2" s="579"/>
      <c r="CR2" s="579"/>
      <c r="CS2" s="579"/>
      <c r="CT2" s="579"/>
    </row>
    <row r="3" spans="1:98" ht="39" thickBot="1" x14ac:dyDescent="0.3">
      <c r="A3" s="13"/>
      <c r="B3" s="14"/>
      <c r="C3" s="15" t="s">
        <v>23</v>
      </c>
      <c r="D3" s="16" t="s">
        <v>24</v>
      </c>
      <c r="E3" s="111" t="s">
        <v>25</v>
      </c>
      <c r="F3" s="165" t="s">
        <v>26</v>
      </c>
      <c r="G3" s="123" t="s">
        <v>27</v>
      </c>
      <c r="H3" s="146" t="s">
        <v>28</v>
      </c>
      <c r="I3" s="107" t="s">
        <v>23</v>
      </c>
      <c r="J3" s="16" t="s">
        <v>24</v>
      </c>
      <c r="K3" s="111" t="s">
        <v>25</v>
      </c>
      <c r="L3" s="165" t="s">
        <v>26</v>
      </c>
      <c r="M3" s="160" t="s">
        <v>27</v>
      </c>
      <c r="N3" s="155" t="s">
        <v>28</v>
      </c>
      <c r="O3" s="107" t="s">
        <v>23</v>
      </c>
      <c r="P3" s="16" t="s">
        <v>24</v>
      </c>
      <c r="Q3" s="111" t="s">
        <v>25</v>
      </c>
      <c r="R3" s="165" t="s">
        <v>26</v>
      </c>
      <c r="S3" s="123" t="s">
        <v>27</v>
      </c>
      <c r="T3" s="146" t="s">
        <v>28</v>
      </c>
      <c r="U3" s="17" t="s">
        <v>10</v>
      </c>
      <c r="V3" s="18" t="s">
        <v>11</v>
      </c>
      <c r="W3" s="495" t="s">
        <v>12</v>
      </c>
      <c r="X3" s="501"/>
      <c r="Y3" s="107" t="s">
        <v>23</v>
      </c>
      <c r="Z3" s="16" t="s">
        <v>24</v>
      </c>
      <c r="AA3" s="111" t="s">
        <v>25</v>
      </c>
      <c r="AB3" s="165" t="s">
        <v>26</v>
      </c>
      <c r="AC3" s="123" t="s">
        <v>27</v>
      </c>
      <c r="AD3" s="146" t="s">
        <v>28</v>
      </c>
      <c r="AE3" s="107" t="s">
        <v>23</v>
      </c>
      <c r="AF3" s="16" t="s">
        <v>24</v>
      </c>
      <c r="AG3" s="111" t="s">
        <v>25</v>
      </c>
      <c r="AH3" s="112" t="s">
        <v>26</v>
      </c>
      <c r="AI3" s="142" t="s">
        <v>27</v>
      </c>
      <c r="AJ3" s="165" t="s">
        <v>28</v>
      </c>
      <c r="AK3" s="107" t="s">
        <v>23</v>
      </c>
      <c r="AL3" s="16" t="s">
        <v>24</v>
      </c>
      <c r="AM3" s="111" t="s">
        <v>25</v>
      </c>
      <c r="AN3" s="177" t="s">
        <v>26</v>
      </c>
      <c r="AO3" s="123" t="s">
        <v>27</v>
      </c>
      <c r="AP3" s="177" t="s">
        <v>28</v>
      </c>
      <c r="AQ3" s="20" t="s">
        <v>10</v>
      </c>
      <c r="AR3" s="21" t="s">
        <v>11</v>
      </c>
      <c r="AS3" s="19" t="s">
        <v>12</v>
      </c>
      <c r="AT3" s="3"/>
      <c r="AU3" s="15" t="s">
        <v>23</v>
      </c>
      <c r="AV3" s="16" t="s">
        <v>24</v>
      </c>
      <c r="AW3" s="111" t="s">
        <v>25</v>
      </c>
      <c r="AX3" s="177" t="s">
        <v>26</v>
      </c>
      <c r="AY3" s="160" t="s">
        <v>27</v>
      </c>
      <c r="AZ3" s="183" t="s">
        <v>28</v>
      </c>
      <c r="BA3" s="107" t="s">
        <v>23</v>
      </c>
      <c r="BB3" s="16" t="s">
        <v>24</v>
      </c>
      <c r="BC3" s="111" t="s">
        <v>25</v>
      </c>
      <c r="BD3" s="139" t="s">
        <v>26</v>
      </c>
      <c r="BE3" s="178" t="s">
        <v>27</v>
      </c>
      <c r="BF3" s="165" t="s">
        <v>28</v>
      </c>
      <c r="BG3" s="107" t="s">
        <v>23</v>
      </c>
      <c r="BH3" s="16" t="s">
        <v>24</v>
      </c>
      <c r="BI3" s="111" t="s">
        <v>25</v>
      </c>
      <c r="BJ3" s="177" t="s">
        <v>26</v>
      </c>
      <c r="BK3" s="160" t="s">
        <v>27</v>
      </c>
      <c r="BL3" s="183" t="s">
        <v>28</v>
      </c>
      <c r="BM3" s="23" t="s">
        <v>10</v>
      </c>
      <c r="BN3" s="24" t="s">
        <v>11</v>
      </c>
      <c r="BO3" s="19" t="s">
        <v>12</v>
      </c>
      <c r="BP3" s="3"/>
      <c r="BQ3" s="15" t="s">
        <v>23</v>
      </c>
      <c r="BR3" s="16" t="s">
        <v>24</v>
      </c>
      <c r="BS3" s="369" t="s">
        <v>25</v>
      </c>
      <c r="BT3" s="370" t="s">
        <v>26</v>
      </c>
      <c r="BU3" s="372" t="s">
        <v>27</v>
      </c>
      <c r="BV3" s="373" t="s">
        <v>28</v>
      </c>
      <c r="BW3" s="107" t="s">
        <v>23</v>
      </c>
      <c r="BX3" s="16" t="s">
        <v>24</v>
      </c>
      <c r="BY3" s="369" t="s">
        <v>25</v>
      </c>
      <c r="BZ3" s="370" t="s">
        <v>26</v>
      </c>
      <c r="CA3" s="372" t="s">
        <v>27</v>
      </c>
      <c r="CB3" s="373" t="s">
        <v>28</v>
      </c>
      <c r="CC3" s="107" t="s">
        <v>23</v>
      </c>
      <c r="CD3" s="16" t="s">
        <v>24</v>
      </c>
      <c r="CE3" s="369" t="s">
        <v>25</v>
      </c>
      <c r="CF3" s="370" t="s">
        <v>26</v>
      </c>
      <c r="CG3" s="151" t="s">
        <v>27</v>
      </c>
      <c r="CH3" s="183" t="s">
        <v>28</v>
      </c>
      <c r="CI3" s="193" t="s">
        <v>10</v>
      </c>
      <c r="CJ3" s="22" t="s">
        <v>11</v>
      </c>
      <c r="CK3" s="19" t="s">
        <v>12</v>
      </c>
      <c r="CL3" s="3"/>
      <c r="CM3" s="25"/>
      <c r="CN3" s="3"/>
      <c r="CO3" s="111" t="s">
        <v>25</v>
      </c>
      <c r="CP3" s="177" t="s">
        <v>26</v>
      </c>
      <c r="CQ3" s="123" t="s">
        <v>27</v>
      </c>
      <c r="CR3" s="146" t="s">
        <v>28</v>
      </c>
      <c r="CS3" s="107" t="s">
        <v>23</v>
      </c>
      <c r="CT3" s="16" t="s">
        <v>24</v>
      </c>
    </row>
    <row r="4" spans="1:98" s="106" customFormat="1" ht="15.75" thickBot="1" x14ac:dyDescent="0.3">
      <c r="A4" s="48"/>
      <c r="B4" s="49" t="s">
        <v>13</v>
      </c>
      <c r="C4" s="216">
        <v>25</v>
      </c>
      <c r="D4" s="217">
        <v>58</v>
      </c>
      <c r="E4" s="217"/>
      <c r="F4" s="411"/>
      <c r="G4" s="216"/>
      <c r="H4" s="412">
        <f>SUM(D4:G4)</f>
        <v>58</v>
      </c>
      <c r="I4" s="216">
        <v>45</v>
      </c>
      <c r="J4" s="217">
        <v>207</v>
      </c>
      <c r="K4" s="217"/>
      <c r="L4" s="411"/>
      <c r="M4" s="397"/>
      <c r="N4" s="398">
        <f>SUM(I4:M4)</f>
        <v>252</v>
      </c>
      <c r="O4" s="216">
        <v>69</v>
      </c>
      <c r="P4" s="42">
        <v>113</v>
      </c>
      <c r="Q4" s="41"/>
      <c r="R4" s="391"/>
      <c r="S4" s="41"/>
      <c r="T4" s="391"/>
      <c r="U4" s="388">
        <f t="shared" ref="U4:V4" si="0">C4+E4+G4+I4+K4+M4+O4+Q4+S4</f>
        <v>139</v>
      </c>
      <c r="V4" s="31">
        <f t="shared" si="0"/>
        <v>688</v>
      </c>
      <c r="W4" s="64"/>
      <c r="X4" s="6"/>
      <c r="Y4" s="54">
        <v>292</v>
      </c>
      <c r="Z4" s="51">
        <v>592</v>
      </c>
      <c r="AA4" s="51"/>
      <c r="AB4" s="380"/>
      <c r="AC4" s="50"/>
      <c r="AD4" s="381"/>
      <c r="AE4" s="50">
        <v>285</v>
      </c>
      <c r="AF4" s="51">
        <v>1664</v>
      </c>
      <c r="AG4" s="51"/>
      <c r="AH4" s="65"/>
      <c r="AI4" s="389"/>
      <c r="AJ4" s="380"/>
      <c r="AK4" s="50">
        <v>625</v>
      </c>
      <c r="AL4" s="65">
        <v>1555</v>
      </c>
      <c r="AM4" s="51"/>
      <c r="AN4" s="380"/>
      <c r="AO4" s="50"/>
      <c r="AP4" s="381">
        <f>SUM(Y4:AO4)</f>
        <v>5013</v>
      </c>
      <c r="AQ4" s="124">
        <f t="shared" ref="AQ4:AR4" si="1">Y4+AA4+AC4+AE4+AG4+AI4+AK4+AM4+AO4</f>
        <v>1202</v>
      </c>
      <c r="AR4" s="390">
        <f t="shared" si="1"/>
        <v>8824</v>
      </c>
      <c r="AS4" s="64"/>
      <c r="AT4" s="6"/>
      <c r="AU4" s="76">
        <v>787</v>
      </c>
      <c r="AV4" s="77">
        <v>1600</v>
      </c>
      <c r="AW4" s="41"/>
      <c r="AX4" s="391"/>
      <c r="AY4" s="124"/>
      <c r="AZ4" s="391"/>
      <c r="BA4" s="124">
        <v>96</v>
      </c>
      <c r="BB4" s="41">
        <v>964</v>
      </c>
      <c r="BC4" s="41"/>
      <c r="BD4" s="42"/>
      <c r="BE4" s="392"/>
      <c r="BF4" s="391"/>
      <c r="BG4" s="124">
        <v>179</v>
      </c>
      <c r="BH4" s="42">
        <v>771</v>
      </c>
      <c r="BI4" s="41"/>
      <c r="BJ4" s="391"/>
      <c r="BK4" s="124"/>
      <c r="BL4" s="391"/>
      <c r="BM4" s="393">
        <f t="shared" ref="BM4:BN4" si="2">AU4+AW4+AY4+BA4+BC4+BE4+BG4+BI4+BK4</f>
        <v>1062</v>
      </c>
      <c r="BN4" s="394">
        <f t="shared" si="2"/>
        <v>3335</v>
      </c>
      <c r="BO4" s="64"/>
      <c r="BP4" s="6"/>
      <c r="BQ4" s="56">
        <v>6</v>
      </c>
      <c r="BR4" s="57">
        <v>8</v>
      </c>
      <c r="BS4" s="41"/>
      <c r="BT4" s="390"/>
      <c r="BU4" s="42"/>
      <c r="BV4" s="391"/>
      <c r="BW4" s="190">
        <v>16</v>
      </c>
      <c r="BX4" s="67">
        <v>58</v>
      </c>
      <c r="BY4" s="41"/>
      <c r="BZ4" s="390"/>
      <c r="CA4" s="42"/>
      <c r="CB4" s="391"/>
      <c r="CC4" s="190">
        <v>5</v>
      </c>
      <c r="CD4" s="67">
        <v>7</v>
      </c>
      <c r="CE4" s="41"/>
      <c r="CF4" s="390"/>
      <c r="CG4" s="40"/>
      <c r="CH4" s="391"/>
      <c r="CI4" s="393">
        <f t="shared" ref="CI4:CJ4" si="3">BQ4+BS4+BU4+BW4+BY4+CA4+CC4+CE4+CG4</f>
        <v>27</v>
      </c>
      <c r="CJ4" s="395">
        <f t="shared" si="3"/>
        <v>73</v>
      </c>
      <c r="CK4" s="64"/>
      <c r="CL4" s="60"/>
      <c r="CM4" s="396"/>
      <c r="CN4" s="60"/>
      <c r="CO4" s="41"/>
      <c r="CP4" s="391"/>
      <c r="CQ4" s="50"/>
      <c r="CR4" s="380"/>
      <c r="CS4" s="187">
        <v>92</v>
      </c>
      <c r="CT4" s="67">
        <v>241</v>
      </c>
    </row>
    <row r="5" spans="1:98" s="119" customFormat="1" ht="15.75" thickBot="1" x14ac:dyDescent="0.3">
      <c r="A5" s="488">
        <v>46054</v>
      </c>
      <c r="B5" s="506" t="s">
        <v>20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490"/>
      <c r="Q5" s="115"/>
      <c r="R5" s="168"/>
      <c r="S5" s="135"/>
      <c r="T5" s="172"/>
      <c r="U5" s="476">
        <v>0</v>
      </c>
      <c r="V5" s="477">
        <v>0</v>
      </c>
      <c r="W5" s="132">
        <f t="shared" ref="W5:W33" si="4">SUM(O5:V5)</f>
        <v>0</v>
      </c>
      <c r="X5" s="502"/>
      <c r="Y5" s="138"/>
      <c r="Z5" s="120"/>
      <c r="AA5" s="120"/>
      <c r="AB5" s="167"/>
      <c r="AC5" s="138"/>
      <c r="AD5" s="148"/>
      <c r="AE5" s="138"/>
      <c r="AF5" s="120"/>
      <c r="AG5" s="120"/>
      <c r="AH5" s="121"/>
      <c r="AI5" s="132"/>
      <c r="AJ5" s="167"/>
      <c r="AK5" s="138"/>
      <c r="AL5" s="121"/>
      <c r="AM5" s="120"/>
      <c r="AN5" s="167"/>
      <c r="AO5" s="138"/>
      <c r="AP5" s="148"/>
      <c r="AQ5" s="162">
        <f t="shared" ref="AQ5:AR20" si="5">Y5+AA5+AC5+AE5+AG5+AI5+AK5+AM5+AO5</f>
        <v>0</v>
      </c>
      <c r="AR5" s="127">
        <f t="shared" si="5"/>
        <v>0</v>
      </c>
      <c r="AS5" s="491"/>
      <c r="AT5" s="479"/>
      <c r="AU5" s="480"/>
      <c r="AV5" s="120"/>
      <c r="AW5" s="120"/>
      <c r="AX5" s="167"/>
      <c r="AY5" s="162"/>
      <c r="AZ5" s="170"/>
      <c r="BA5" s="138"/>
      <c r="BB5" s="120"/>
      <c r="BC5" s="120"/>
      <c r="BD5" s="140"/>
      <c r="BE5" s="180"/>
      <c r="BF5" s="167"/>
      <c r="BG5" s="138"/>
      <c r="BH5" s="140"/>
      <c r="BI5" s="120"/>
      <c r="BJ5" s="167"/>
      <c r="BK5" s="162"/>
      <c r="BL5" s="170"/>
      <c r="BM5" s="143">
        <f t="shared" ref="BM5:BN19" si="6">AU5+AW5+AY5+BA5+BC5+BE5+BG5+BI5+BK5</f>
        <v>0</v>
      </c>
      <c r="BN5" s="481">
        <f t="shared" si="6"/>
        <v>0</v>
      </c>
      <c r="BO5" s="491"/>
      <c r="BP5" s="479"/>
      <c r="BQ5" s="492">
        <v>6</v>
      </c>
      <c r="BR5" s="113">
        <v>8</v>
      </c>
      <c r="BS5" s="120"/>
      <c r="BT5" s="121"/>
      <c r="BU5" s="140"/>
      <c r="BV5" s="167"/>
      <c r="BW5" s="143">
        <v>16</v>
      </c>
      <c r="BX5" s="113">
        <v>58</v>
      </c>
      <c r="BY5" s="120"/>
      <c r="BZ5" s="121"/>
      <c r="CA5" s="152"/>
      <c r="CB5" s="170"/>
      <c r="CC5" s="143">
        <v>0</v>
      </c>
      <c r="CD5" s="114">
        <v>0</v>
      </c>
      <c r="CE5" s="120"/>
      <c r="CF5" s="121"/>
      <c r="CG5" s="152"/>
      <c r="CH5" s="170"/>
      <c r="CI5" s="143">
        <f t="shared" ref="CI5:CJ20" si="7">BQ5+BS5+BU5+BW5+BY5+CA5+CC5+CE5+CG5</f>
        <v>22</v>
      </c>
      <c r="CJ5" s="114">
        <f t="shared" si="7"/>
        <v>66</v>
      </c>
      <c r="CK5" s="493"/>
      <c r="CL5" s="486"/>
      <c r="CM5" s="487"/>
      <c r="CN5" s="486"/>
      <c r="CO5" s="152">
        <v>0</v>
      </c>
      <c r="CP5" s="170">
        <v>0</v>
      </c>
      <c r="CQ5" s="152">
        <v>0</v>
      </c>
      <c r="CR5" s="170">
        <v>0</v>
      </c>
      <c r="CS5" s="207">
        <v>0</v>
      </c>
      <c r="CT5" s="208">
        <v>0</v>
      </c>
    </row>
    <row r="6" spans="1:98" ht="15.75" thickBot="1" x14ac:dyDescent="0.3">
      <c r="A6" s="48">
        <v>46055</v>
      </c>
      <c r="B6" s="466" t="s">
        <v>14</v>
      </c>
      <c r="C6" s="50"/>
      <c r="D6" s="51"/>
      <c r="E6" s="51">
        <v>1</v>
      </c>
      <c r="F6" s="380"/>
      <c r="G6" s="50"/>
      <c r="H6" s="381"/>
      <c r="I6" s="50"/>
      <c r="J6" s="51"/>
      <c r="K6" s="51"/>
      <c r="L6" s="380"/>
      <c r="M6" s="50"/>
      <c r="N6" s="381"/>
      <c r="O6" s="50"/>
      <c r="P6" s="383"/>
      <c r="Q6" s="384"/>
      <c r="R6" s="385"/>
      <c r="S6" s="386"/>
      <c r="T6" s="387"/>
      <c r="U6" s="388">
        <f t="shared" ref="U6:V20" si="8">C6+E6+G6+I6+K6+M6+O6+Q6+S6</f>
        <v>1</v>
      </c>
      <c r="V6" s="31">
        <f t="shared" si="8"/>
        <v>0</v>
      </c>
      <c r="W6" s="496">
        <v>0</v>
      </c>
      <c r="X6" s="502"/>
      <c r="Y6" s="50"/>
      <c r="Z6" s="51"/>
      <c r="AA6" s="51"/>
      <c r="AB6" s="380"/>
      <c r="AC6" s="50">
        <v>77</v>
      </c>
      <c r="AD6" s="381">
        <v>146</v>
      </c>
      <c r="AE6" s="50"/>
      <c r="AF6" s="51"/>
      <c r="AG6" s="51">
        <v>58</v>
      </c>
      <c r="AH6" s="65">
        <v>384</v>
      </c>
      <c r="AI6" s="389"/>
      <c r="AJ6" s="380"/>
      <c r="AK6" s="50"/>
      <c r="AL6" s="65"/>
      <c r="AM6" s="51">
        <v>170</v>
      </c>
      <c r="AN6" s="380">
        <v>477</v>
      </c>
      <c r="AO6" s="50"/>
      <c r="AP6" s="381"/>
      <c r="AQ6" s="124">
        <f t="shared" si="5"/>
        <v>305</v>
      </c>
      <c r="AR6" s="390">
        <f t="shared" si="5"/>
        <v>1007</v>
      </c>
      <c r="AS6" s="64"/>
      <c r="AT6" s="6"/>
      <c r="AU6" s="40"/>
      <c r="AV6" s="41"/>
      <c r="AW6" s="41">
        <v>20</v>
      </c>
      <c r="AX6" s="391">
        <v>35</v>
      </c>
      <c r="AY6" s="124"/>
      <c r="AZ6" s="391"/>
      <c r="BA6" s="124"/>
      <c r="BB6" s="41"/>
      <c r="BC6" s="41">
        <v>14</v>
      </c>
      <c r="BD6" s="42">
        <v>73</v>
      </c>
      <c r="BE6" s="392"/>
      <c r="BF6" s="391"/>
      <c r="BG6" s="50"/>
      <c r="BH6" s="55"/>
      <c r="BI6" s="41">
        <v>28</v>
      </c>
      <c r="BJ6" s="391">
        <v>61</v>
      </c>
      <c r="BK6" s="124"/>
      <c r="BL6" s="391"/>
      <c r="BM6" s="393">
        <f t="shared" si="6"/>
        <v>62</v>
      </c>
      <c r="BN6" s="394">
        <f t="shared" si="6"/>
        <v>169</v>
      </c>
      <c r="BO6" s="64"/>
      <c r="BP6" s="6"/>
      <c r="BQ6" s="405">
        <v>6</v>
      </c>
      <c r="BR6" s="406">
        <v>8</v>
      </c>
      <c r="BS6" s="41">
        <v>4</v>
      </c>
      <c r="BT6" s="390">
        <v>6</v>
      </c>
      <c r="BU6" s="55"/>
      <c r="BV6" s="380"/>
      <c r="BW6" s="393">
        <v>2</v>
      </c>
      <c r="BX6" s="406">
        <v>10</v>
      </c>
      <c r="BY6" s="41">
        <v>7</v>
      </c>
      <c r="BZ6" s="390">
        <v>28</v>
      </c>
      <c r="CA6" s="55"/>
      <c r="CB6" s="380"/>
      <c r="CC6" s="393">
        <v>0</v>
      </c>
      <c r="CD6" s="395">
        <v>0</v>
      </c>
      <c r="CE6" s="41">
        <v>22</v>
      </c>
      <c r="CF6" s="390">
        <v>54</v>
      </c>
      <c r="CG6" s="40"/>
      <c r="CH6" s="391"/>
      <c r="CI6" s="28">
        <f t="shared" si="7"/>
        <v>41</v>
      </c>
      <c r="CJ6" s="45">
        <f t="shared" si="7"/>
        <v>106</v>
      </c>
      <c r="CK6" s="64"/>
      <c r="CL6" s="60"/>
      <c r="CM6" s="396"/>
      <c r="CN6" s="60"/>
      <c r="CO6" s="41"/>
      <c r="CP6" s="391"/>
      <c r="CQ6" s="50"/>
      <c r="CR6" s="380"/>
      <c r="CS6" s="187"/>
      <c r="CT6" s="67"/>
    </row>
    <row r="7" spans="1:98" s="106" customFormat="1" ht="15.75" thickBot="1" x14ac:dyDescent="0.3">
      <c r="A7" s="48">
        <v>46056</v>
      </c>
      <c r="B7" s="466" t="s">
        <v>15</v>
      </c>
      <c r="C7" s="50"/>
      <c r="D7" s="51"/>
      <c r="E7" s="51"/>
      <c r="F7" s="380"/>
      <c r="G7" s="50"/>
      <c r="H7" s="381"/>
      <c r="I7" s="50"/>
      <c r="J7" s="51"/>
      <c r="K7" s="51"/>
      <c r="L7" s="380"/>
      <c r="M7" s="407"/>
      <c r="N7" s="408"/>
      <c r="O7" s="50"/>
      <c r="P7" s="55"/>
      <c r="Q7" s="384"/>
      <c r="R7" s="385"/>
      <c r="S7" s="386"/>
      <c r="T7" s="387"/>
      <c r="U7" s="388">
        <f t="shared" si="8"/>
        <v>0</v>
      </c>
      <c r="V7" s="31">
        <f t="shared" si="8"/>
        <v>0</v>
      </c>
      <c r="W7" s="496">
        <f t="shared" si="4"/>
        <v>0</v>
      </c>
      <c r="X7" s="502"/>
      <c r="Y7" s="50"/>
      <c r="Z7" s="51"/>
      <c r="AA7" s="51"/>
      <c r="AB7" s="380"/>
      <c r="AC7" s="50"/>
      <c r="AD7" s="381"/>
      <c r="AE7" s="50">
        <v>312</v>
      </c>
      <c r="AF7" s="51">
        <v>1768</v>
      </c>
      <c r="AG7" s="51"/>
      <c r="AH7" s="65"/>
      <c r="AI7" s="389"/>
      <c r="AJ7" s="380"/>
      <c r="AK7" s="50">
        <v>591</v>
      </c>
      <c r="AL7" s="65">
        <v>1602</v>
      </c>
      <c r="AM7" s="51"/>
      <c r="AN7" s="380"/>
      <c r="AO7" s="50"/>
      <c r="AP7" s="381"/>
      <c r="AQ7" s="124">
        <f t="shared" si="5"/>
        <v>903</v>
      </c>
      <c r="AR7" s="390">
        <f t="shared" si="5"/>
        <v>3370</v>
      </c>
      <c r="AS7" s="64"/>
      <c r="AT7" s="6"/>
      <c r="AU7" s="40"/>
      <c r="AV7" s="41"/>
      <c r="AW7" s="41"/>
      <c r="AX7" s="391"/>
      <c r="AY7" s="124"/>
      <c r="AZ7" s="391"/>
      <c r="BA7" s="124"/>
      <c r="BB7" s="41"/>
      <c r="BC7" s="41"/>
      <c r="BD7" s="42"/>
      <c r="BE7" s="392"/>
      <c r="BF7" s="391"/>
      <c r="BG7" s="124"/>
      <c r="BH7" s="42"/>
      <c r="BI7" s="41"/>
      <c r="BJ7" s="391"/>
      <c r="BK7" s="124"/>
      <c r="BL7" s="391"/>
      <c r="BM7" s="393">
        <f t="shared" si="6"/>
        <v>0</v>
      </c>
      <c r="BN7" s="394">
        <f t="shared" si="6"/>
        <v>0</v>
      </c>
      <c r="BO7" s="64"/>
      <c r="BP7" s="6"/>
      <c r="BQ7" s="56">
        <v>10</v>
      </c>
      <c r="BR7" s="57">
        <v>14</v>
      </c>
      <c r="BS7" s="41"/>
      <c r="BT7" s="390"/>
      <c r="BU7" s="55"/>
      <c r="BV7" s="380"/>
      <c r="BW7" s="187">
        <v>9</v>
      </c>
      <c r="BX7" s="57">
        <v>38</v>
      </c>
      <c r="BY7" s="41"/>
      <c r="BZ7" s="390"/>
      <c r="CA7" s="55"/>
      <c r="CB7" s="380"/>
      <c r="CC7" s="228">
        <v>22</v>
      </c>
      <c r="CD7" s="230">
        <v>54</v>
      </c>
      <c r="CE7" s="41"/>
      <c r="CF7" s="390"/>
      <c r="CG7" s="40"/>
      <c r="CH7" s="391"/>
      <c r="CI7" s="393">
        <f t="shared" si="7"/>
        <v>41</v>
      </c>
      <c r="CJ7" s="395">
        <f t="shared" si="7"/>
        <v>106</v>
      </c>
      <c r="CK7" s="64"/>
      <c r="CL7" s="60"/>
      <c r="CM7" s="396"/>
      <c r="CN7" s="60"/>
      <c r="CO7" s="41"/>
      <c r="CP7" s="391"/>
      <c r="CQ7" s="50"/>
      <c r="CR7" s="380"/>
      <c r="CS7" s="187"/>
      <c r="CT7" s="57"/>
    </row>
    <row r="8" spans="1:98" s="106" customFormat="1" ht="15.75" thickBot="1" x14ac:dyDescent="0.3">
      <c r="A8" s="48">
        <v>46057</v>
      </c>
      <c r="B8" s="466" t="s">
        <v>16</v>
      </c>
      <c r="C8" s="50">
        <v>66</v>
      </c>
      <c r="D8" s="51">
        <v>143</v>
      </c>
      <c r="E8" s="51"/>
      <c r="F8" s="380"/>
      <c r="G8" s="50"/>
      <c r="H8" s="381"/>
      <c r="I8" s="50"/>
      <c r="J8" s="51"/>
      <c r="K8" s="51"/>
      <c r="L8" s="380"/>
      <c r="M8" s="407"/>
      <c r="N8" s="408"/>
      <c r="O8" s="50"/>
      <c r="P8" s="383"/>
      <c r="Q8" s="384"/>
      <c r="R8" s="385"/>
      <c r="S8" s="386"/>
      <c r="T8" s="387"/>
      <c r="U8" s="388">
        <f t="shared" si="8"/>
        <v>66</v>
      </c>
      <c r="V8" s="31">
        <f t="shared" si="8"/>
        <v>143</v>
      </c>
      <c r="W8" s="389"/>
      <c r="X8" s="502"/>
      <c r="Y8" s="50"/>
      <c r="Z8" s="51"/>
      <c r="AA8" s="51"/>
      <c r="AB8" s="380"/>
      <c r="AC8" s="50"/>
      <c r="AD8" s="381"/>
      <c r="AE8" s="50"/>
      <c r="AF8" s="51"/>
      <c r="AG8" s="51"/>
      <c r="AH8" s="65"/>
      <c r="AI8" s="389"/>
      <c r="AJ8" s="380"/>
      <c r="AK8" s="50"/>
      <c r="AL8" s="65"/>
      <c r="AM8" s="51"/>
      <c r="AN8" s="380"/>
      <c r="AO8" s="50"/>
      <c r="AP8" s="381"/>
      <c r="AQ8" s="124">
        <f t="shared" si="5"/>
        <v>0</v>
      </c>
      <c r="AR8" s="390">
        <f t="shared" si="5"/>
        <v>0</v>
      </c>
      <c r="AS8" s="53"/>
      <c r="AT8" s="6"/>
      <c r="AU8" s="40"/>
      <c r="AV8" s="41"/>
      <c r="AW8" s="41"/>
      <c r="AX8" s="391"/>
      <c r="AY8" s="124"/>
      <c r="AZ8" s="391"/>
      <c r="BA8" s="124"/>
      <c r="BB8" s="41"/>
      <c r="BC8" s="41"/>
      <c r="BD8" s="42"/>
      <c r="BE8" s="392"/>
      <c r="BF8" s="391"/>
      <c r="BG8" s="124"/>
      <c r="BH8" s="42"/>
      <c r="BI8" s="41"/>
      <c r="BJ8" s="391"/>
      <c r="BK8" s="124"/>
      <c r="BL8" s="391"/>
      <c r="BM8" s="393">
        <f t="shared" si="6"/>
        <v>0</v>
      </c>
      <c r="BN8" s="394">
        <f t="shared" si="6"/>
        <v>0</v>
      </c>
      <c r="BO8" s="64"/>
      <c r="BP8" s="6"/>
      <c r="BQ8" s="56">
        <v>0</v>
      </c>
      <c r="BR8" s="57">
        <v>0</v>
      </c>
      <c r="BS8" s="41"/>
      <c r="BT8" s="390"/>
      <c r="BU8" s="55"/>
      <c r="BV8" s="380"/>
      <c r="BW8" s="187">
        <v>7</v>
      </c>
      <c r="BX8" s="57">
        <v>28</v>
      </c>
      <c r="BY8" s="41"/>
      <c r="BZ8" s="390"/>
      <c r="CA8" s="55"/>
      <c r="CB8" s="380"/>
      <c r="CC8" s="393">
        <v>0</v>
      </c>
      <c r="CD8" s="395">
        <v>0</v>
      </c>
      <c r="CE8" s="41"/>
      <c r="CF8" s="390"/>
      <c r="CG8" s="40"/>
      <c r="CH8" s="391"/>
      <c r="CI8" s="393">
        <f t="shared" si="7"/>
        <v>7</v>
      </c>
      <c r="CJ8" s="395">
        <f t="shared" si="7"/>
        <v>28</v>
      </c>
      <c r="CK8" s="59"/>
      <c r="CL8" s="60"/>
      <c r="CM8" s="396"/>
      <c r="CN8" s="60"/>
      <c r="CO8" s="41"/>
      <c r="CP8" s="391"/>
      <c r="CQ8" s="50"/>
      <c r="CR8" s="380"/>
      <c r="CS8" s="187"/>
      <c r="CT8" s="57"/>
    </row>
    <row r="9" spans="1:98" s="306" customFormat="1" ht="15.75" thickBot="1" x14ac:dyDescent="0.3">
      <c r="A9" s="290">
        <v>46058</v>
      </c>
      <c r="B9" s="467" t="s">
        <v>17</v>
      </c>
      <c r="C9" s="99">
        <v>66</v>
      </c>
      <c r="D9" s="74">
        <v>143</v>
      </c>
      <c r="E9" s="74"/>
      <c r="F9" s="292"/>
      <c r="G9" s="99"/>
      <c r="H9" s="293"/>
      <c r="I9" s="99">
        <v>45</v>
      </c>
      <c r="J9" s="74">
        <v>207</v>
      </c>
      <c r="K9" s="74"/>
      <c r="L9" s="292"/>
      <c r="M9" s="125"/>
      <c r="N9" s="294"/>
      <c r="O9" s="99">
        <v>104</v>
      </c>
      <c r="P9" s="100">
        <v>166</v>
      </c>
      <c r="Q9" s="296"/>
      <c r="R9" s="297"/>
      <c r="S9" s="298"/>
      <c r="T9" s="299"/>
      <c r="U9" s="388">
        <f t="shared" si="8"/>
        <v>215</v>
      </c>
      <c r="V9" s="31">
        <f t="shared" si="8"/>
        <v>516</v>
      </c>
      <c r="W9" s="301"/>
      <c r="X9" s="502"/>
      <c r="Y9" s="99">
        <v>166</v>
      </c>
      <c r="Z9" s="74">
        <v>335</v>
      </c>
      <c r="AA9" s="74"/>
      <c r="AB9" s="292"/>
      <c r="AC9" s="99"/>
      <c r="AD9" s="293"/>
      <c r="AE9" s="99">
        <v>312</v>
      </c>
      <c r="AF9" s="74">
        <v>1768</v>
      </c>
      <c r="AG9" s="74"/>
      <c r="AH9" s="75"/>
      <c r="AI9" s="301"/>
      <c r="AJ9" s="292"/>
      <c r="AK9" s="99">
        <v>516</v>
      </c>
      <c r="AL9" s="75">
        <v>1442</v>
      </c>
      <c r="AM9" s="74"/>
      <c r="AN9" s="292"/>
      <c r="AO9" s="99"/>
      <c r="AP9" s="293"/>
      <c r="AQ9" s="125">
        <f t="shared" si="5"/>
        <v>994</v>
      </c>
      <c r="AR9" s="210">
        <f t="shared" si="5"/>
        <v>3545</v>
      </c>
      <c r="AS9" s="72"/>
      <c r="AT9" s="300"/>
      <c r="AU9" s="76">
        <v>807</v>
      </c>
      <c r="AV9" s="77">
        <v>1635</v>
      </c>
      <c r="AW9" s="77"/>
      <c r="AX9" s="302"/>
      <c r="AY9" s="125"/>
      <c r="AZ9" s="302"/>
      <c r="BA9" s="125">
        <v>110</v>
      </c>
      <c r="BB9" s="77">
        <v>1037</v>
      </c>
      <c r="BC9" s="77"/>
      <c r="BD9" s="78"/>
      <c r="BE9" s="303"/>
      <c r="BF9" s="302"/>
      <c r="BG9" s="125">
        <v>207</v>
      </c>
      <c r="BH9" s="78">
        <v>832</v>
      </c>
      <c r="BI9" s="77"/>
      <c r="BJ9" s="302"/>
      <c r="BK9" s="125"/>
      <c r="BL9" s="302"/>
      <c r="BM9" s="69">
        <f t="shared" si="6"/>
        <v>1124</v>
      </c>
      <c r="BN9" s="209">
        <f t="shared" si="6"/>
        <v>3504</v>
      </c>
      <c r="BO9" s="79"/>
      <c r="BP9" s="300"/>
      <c r="BQ9" s="80">
        <v>0</v>
      </c>
      <c r="BR9" s="81">
        <v>0</v>
      </c>
      <c r="BS9" s="77"/>
      <c r="BT9" s="210"/>
      <c r="BU9" s="100"/>
      <c r="BV9" s="292"/>
      <c r="BW9" s="188">
        <v>0</v>
      </c>
      <c r="BX9" s="81">
        <v>0</v>
      </c>
      <c r="BY9" s="77"/>
      <c r="BZ9" s="210"/>
      <c r="CA9" s="100"/>
      <c r="CB9" s="292"/>
      <c r="CC9" s="69">
        <v>0</v>
      </c>
      <c r="CD9" s="213">
        <v>0</v>
      </c>
      <c r="CE9" s="77"/>
      <c r="CF9" s="210"/>
      <c r="CG9" s="76"/>
      <c r="CH9" s="302"/>
      <c r="CI9" s="69">
        <f t="shared" si="7"/>
        <v>0</v>
      </c>
      <c r="CJ9" s="213">
        <f t="shared" si="7"/>
        <v>0</v>
      </c>
      <c r="CK9" s="83"/>
      <c r="CL9" s="304"/>
      <c r="CM9" s="379"/>
      <c r="CN9" s="304"/>
      <c r="CO9" s="77"/>
      <c r="CP9" s="302"/>
      <c r="CQ9" s="99"/>
      <c r="CR9" s="292"/>
      <c r="CS9" s="188">
        <v>3</v>
      </c>
      <c r="CT9" s="81">
        <v>7</v>
      </c>
    </row>
    <row r="10" spans="1:98" ht="15.75" thickBot="1" x14ac:dyDescent="0.3">
      <c r="A10" s="48">
        <v>46059</v>
      </c>
      <c r="B10" s="466" t="s">
        <v>18</v>
      </c>
      <c r="C10" s="236"/>
      <c r="D10" s="237"/>
      <c r="E10" s="237"/>
      <c r="F10" s="314"/>
      <c r="G10" s="236"/>
      <c r="H10" s="315"/>
      <c r="I10" s="236"/>
      <c r="J10" s="237"/>
      <c r="K10" s="237"/>
      <c r="L10" s="314"/>
      <c r="M10" s="243"/>
      <c r="N10" s="316"/>
      <c r="O10" s="236"/>
      <c r="P10" s="240"/>
      <c r="Q10" s="340"/>
      <c r="R10" s="341"/>
      <c r="S10" s="342"/>
      <c r="T10" s="343"/>
      <c r="U10" s="388">
        <f t="shared" si="8"/>
        <v>0</v>
      </c>
      <c r="V10" s="31">
        <f t="shared" si="8"/>
        <v>0</v>
      </c>
      <c r="W10" s="497">
        <f t="shared" si="4"/>
        <v>0</v>
      </c>
      <c r="X10" s="502"/>
      <c r="Y10" s="236"/>
      <c r="Z10" s="237"/>
      <c r="AA10" s="237"/>
      <c r="AB10" s="314"/>
      <c r="AC10" s="236"/>
      <c r="AD10" s="315"/>
      <c r="AE10" s="236">
        <v>312</v>
      </c>
      <c r="AF10" s="237">
        <v>1768</v>
      </c>
      <c r="AG10" s="237"/>
      <c r="AH10" s="324"/>
      <c r="AI10" s="325"/>
      <c r="AJ10" s="314"/>
      <c r="AK10" s="236">
        <v>475</v>
      </c>
      <c r="AL10" s="324">
        <v>1332</v>
      </c>
      <c r="AM10" s="237"/>
      <c r="AN10" s="314"/>
      <c r="AO10" s="236"/>
      <c r="AP10" s="315"/>
      <c r="AQ10" s="124">
        <f>Y10+AA10+AC10+AE10+AG10+AI10+AK10+AM10+AO10</f>
        <v>787</v>
      </c>
      <c r="AR10" s="390">
        <f>Z10+AB10+AD10+AF10+AH10+AJ10+AL10+AN10+AP10</f>
        <v>3100</v>
      </c>
      <c r="AS10" s="321"/>
      <c r="AT10" s="322"/>
      <c r="AU10" s="327">
        <v>807</v>
      </c>
      <c r="AV10" s="317">
        <v>1635</v>
      </c>
      <c r="AW10" s="317"/>
      <c r="AX10" s="318"/>
      <c r="AY10" s="243"/>
      <c r="AZ10" s="318"/>
      <c r="BA10" s="243">
        <v>101</v>
      </c>
      <c r="BB10" s="317">
        <v>909</v>
      </c>
      <c r="BC10" s="317"/>
      <c r="BD10" s="242"/>
      <c r="BE10" s="328"/>
      <c r="BF10" s="318"/>
      <c r="BG10" s="243">
        <v>180</v>
      </c>
      <c r="BH10" s="242">
        <v>713</v>
      </c>
      <c r="BI10" s="317"/>
      <c r="BJ10" s="318"/>
      <c r="BK10" s="243"/>
      <c r="BL10" s="318"/>
      <c r="BM10" s="393">
        <f t="shared" si="6"/>
        <v>1088</v>
      </c>
      <c r="BN10" s="394">
        <f t="shared" si="6"/>
        <v>3257</v>
      </c>
      <c r="BO10" s="321"/>
      <c r="BP10" s="322"/>
      <c r="BQ10" s="330">
        <v>0</v>
      </c>
      <c r="BR10" s="331">
        <v>0</v>
      </c>
      <c r="BS10" s="317"/>
      <c r="BT10" s="326"/>
      <c r="BU10" s="241"/>
      <c r="BV10" s="314"/>
      <c r="BW10" s="332">
        <v>0</v>
      </c>
      <c r="BX10" s="331">
        <v>0</v>
      </c>
      <c r="BY10" s="317"/>
      <c r="BZ10" s="326"/>
      <c r="CA10" s="241"/>
      <c r="CB10" s="314"/>
      <c r="CC10" s="332">
        <v>0</v>
      </c>
      <c r="CD10" s="335">
        <v>0</v>
      </c>
      <c r="CE10" s="317"/>
      <c r="CF10" s="326"/>
      <c r="CG10" s="327"/>
      <c r="CH10" s="318"/>
      <c r="CI10" s="28">
        <f t="shared" si="7"/>
        <v>0</v>
      </c>
      <c r="CJ10" s="45">
        <f t="shared" si="7"/>
        <v>0</v>
      </c>
      <c r="CK10" s="321"/>
      <c r="CL10" s="337"/>
      <c r="CM10" s="356"/>
      <c r="CN10" s="337"/>
      <c r="CO10" s="317"/>
      <c r="CP10" s="318"/>
      <c r="CQ10" s="236"/>
      <c r="CR10" s="314"/>
      <c r="CS10" s="332"/>
      <c r="CT10" s="333"/>
    </row>
    <row r="11" spans="1:98" s="119" customFormat="1" ht="15.75" thickBot="1" x14ac:dyDescent="0.3">
      <c r="A11" s="488">
        <v>46060</v>
      </c>
      <c r="B11" s="489" t="s">
        <v>19</v>
      </c>
      <c r="C11" s="138"/>
      <c r="D11" s="120"/>
      <c r="E11" s="120"/>
      <c r="F11" s="167"/>
      <c r="G11" s="138"/>
      <c r="H11" s="148"/>
      <c r="I11" s="138"/>
      <c r="J11" s="120"/>
      <c r="K11" s="120"/>
      <c r="L11" s="167"/>
      <c r="M11" s="162"/>
      <c r="N11" s="157"/>
      <c r="O11" s="138"/>
      <c r="P11" s="140"/>
      <c r="Q11" s="117"/>
      <c r="R11" s="170"/>
      <c r="S11" s="137"/>
      <c r="T11" s="174"/>
      <c r="U11" s="476">
        <f t="shared" si="8"/>
        <v>0</v>
      </c>
      <c r="V11" s="477">
        <f t="shared" si="8"/>
        <v>0</v>
      </c>
      <c r="W11" s="498">
        <f t="shared" si="4"/>
        <v>0</v>
      </c>
      <c r="X11" s="502"/>
      <c r="Y11" s="138"/>
      <c r="Z11" s="120"/>
      <c r="AA11" s="120"/>
      <c r="AB11" s="167"/>
      <c r="AC11" s="138"/>
      <c r="AD11" s="148"/>
      <c r="AE11" s="138"/>
      <c r="AF11" s="120"/>
      <c r="AG11" s="120"/>
      <c r="AH11" s="121"/>
      <c r="AI11" s="132"/>
      <c r="AJ11" s="167"/>
      <c r="AK11" s="138"/>
      <c r="AL11" s="121"/>
      <c r="AM11" s="120"/>
      <c r="AN11" s="167"/>
      <c r="AO11" s="138"/>
      <c r="AP11" s="148"/>
      <c r="AQ11" s="162">
        <f t="shared" si="5"/>
        <v>0</v>
      </c>
      <c r="AR11" s="127">
        <f t="shared" si="5"/>
        <v>0</v>
      </c>
      <c r="AS11" s="478"/>
      <c r="AT11" s="479"/>
      <c r="AU11" s="152">
        <v>807</v>
      </c>
      <c r="AV11" s="117">
        <v>1635</v>
      </c>
      <c r="AW11" s="117"/>
      <c r="AX11" s="170"/>
      <c r="AY11" s="162"/>
      <c r="AZ11" s="170"/>
      <c r="BA11" s="162">
        <v>101</v>
      </c>
      <c r="BB11" s="117">
        <v>909</v>
      </c>
      <c r="BC11" s="117"/>
      <c r="BD11" s="141"/>
      <c r="BE11" s="179"/>
      <c r="BF11" s="170"/>
      <c r="BG11" s="162">
        <v>180</v>
      </c>
      <c r="BH11" s="141">
        <v>713</v>
      </c>
      <c r="BI11" s="117"/>
      <c r="BJ11" s="170"/>
      <c r="BK11" s="162"/>
      <c r="BL11" s="170"/>
      <c r="BM11" s="143">
        <f t="shared" si="6"/>
        <v>1088</v>
      </c>
      <c r="BN11" s="481">
        <f t="shared" si="6"/>
        <v>3257</v>
      </c>
      <c r="BO11" s="478"/>
      <c r="BP11" s="479"/>
      <c r="BQ11" s="482">
        <v>0</v>
      </c>
      <c r="BR11" s="208">
        <v>0</v>
      </c>
      <c r="BS11" s="117"/>
      <c r="BT11" s="127"/>
      <c r="BU11" s="140"/>
      <c r="BV11" s="167"/>
      <c r="BW11" s="207">
        <v>0</v>
      </c>
      <c r="BX11" s="483">
        <v>0</v>
      </c>
      <c r="BY11" s="117"/>
      <c r="BZ11" s="127"/>
      <c r="CA11" s="141"/>
      <c r="CB11" s="170"/>
      <c r="CC11" s="484">
        <v>0</v>
      </c>
      <c r="CD11" s="485">
        <v>0</v>
      </c>
      <c r="CE11" s="117"/>
      <c r="CF11" s="127"/>
      <c r="CG11" s="152"/>
      <c r="CH11" s="170"/>
      <c r="CI11" s="143">
        <f t="shared" si="7"/>
        <v>0</v>
      </c>
      <c r="CJ11" s="114">
        <f t="shared" si="7"/>
        <v>0</v>
      </c>
      <c r="CK11" s="478"/>
      <c r="CL11" s="486"/>
      <c r="CM11" s="487"/>
      <c r="CN11" s="486"/>
      <c r="CO11" s="117"/>
      <c r="CP11" s="170"/>
      <c r="CQ11" s="138"/>
      <c r="CR11" s="167"/>
      <c r="CS11" s="207"/>
      <c r="CT11" s="483"/>
    </row>
    <row r="12" spans="1:98" s="119" customFormat="1" ht="15.75" thickBot="1" x14ac:dyDescent="0.3">
      <c r="A12" s="488">
        <v>46061</v>
      </c>
      <c r="B12" s="489" t="s">
        <v>20</v>
      </c>
      <c r="C12" s="138"/>
      <c r="D12" s="120"/>
      <c r="E12" s="120"/>
      <c r="F12" s="167"/>
      <c r="G12" s="138"/>
      <c r="H12" s="148"/>
      <c r="I12" s="138"/>
      <c r="J12" s="120"/>
      <c r="K12" s="120"/>
      <c r="L12" s="167"/>
      <c r="M12" s="162"/>
      <c r="N12" s="157"/>
      <c r="O12" s="138"/>
      <c r="P12" s="141"/>
      <c r="Q12" s="117"/>
      <c r="R12" s="170"/>
      <c r="S12" s="137"/>
      <c r="T12" s="174"/>
      <c r="U12" s="476">
        <f t="shared" si="8"/>
        <v>0</v>
      </c>
      <c r="V12" s="477">
        <f t="shared" si="8"/>
        <v>0</v>
      </c>
      <c r="W12" s="498">
        <f t="shared" si="4"/>
        <v>0</v>
      </c>
      <c r="X12" s="502"/>
      <c r="Y12" s="138"/>
      <c r="Z12" s="120"/>
      <c r="AA12" s="120"/>
      <c r="AB12" s="167"/>
      <c r="AC12" s="138"/>
      <c r="AD12" s="148"/>
      <c r="AE12" s="138"/>
      <c r="AF12" s="120"/>
      <c r="AG12" s="120"/>
      <c r="AH12" s="121"/>
      <c r="AI12" s="132"/>
      <c r="AJ12" s="167"/>
      <c r="AK12" s="138"/>
      <c r="AL12" s="121"/>
      <c r="AM12" s="120"/>
      <c r="AN12" s="167"/>
      <c r="AO12" s="138"/>
      <c r="AP12" s="148"/>
      <c r="AQ12" s="162">
        <f t="shared" si="5"/>
        <v>0</v>
      </c>
      <c r="AR12" s="127">
        <f t="shared" si="5"/>
        <v>0</v>
      </c>
      <c r="AS12" s="478"/>
      <c r="AT12" s="479"/>
      <c r="AU12" s="152">
        <v>807</v>
      </c>
      <c r="AV12" s="117">
        <v>1635</v>
      </c>
      <c r="AW12" s="117"/>
      <c r="AX12" s="170"/>
      <c r="AY12" s="162"/>
      <c r="AZ12" s="170"/>
      <c r="BA12" s="162">
        <v>101</v>
      </c>
      <c r="BB12" s="117">
        <v>909</v>
      </c>
      <c r="BC12" s="117"/>
      <c r="BD12" s="141"/>
      <c r="BE12" s="179"/>
      <c r="BF12" s="170"/>
      <c r="BG12" s="162">
        <v>180</v>
      </c>
      <c r="BH12" s="141">
        <v>713</v>
      </c>
      <c r="BI12" s="117"/>
      <c r="BJ12" s="170"/>
      <c r="BK12" s="162"/>
      <c r="BL12" s="170"/>
      <c r="BM12" s="143">
        <f t="shared" si="6"/>
        <v>1088</v>
      </c>
      <c r="BN12" s="481">
        <f t="shared" si="6"/>
        <v>3257</v>
      </c>
      <c r="BO12" s="478"/>
      <c r="BP12" s="479"/>
      <c r="BQ12" s="482">
        <v>0</v>
      </c>
      <c r="BR12" s="208">
        <v>0</v>
      </c>
      <c r="BS12" s="117"/>
      <c r="BT12" s="127"/>
      <c r="BU12" s="140"/>
      <c r="BV12" s="167"/>
      <c r="BW12" s="207">
        <v>0</v>
      </c>
      <c r="BX12" s="483">
        <v>0</v>
      </c>
      <c r="BY12" s="117"/>
      <c r="BZ12" s="127"/>
      <c r="CA12" s="141"/>
      <c r="CB12" s="170"/>
      <c r="CC12" s="484">
        <v>0</v>
      </c>
      <c r="CD12" s="485">
        <v>0</v>
      </c>
      <c r="CE12" s="117"/>
      <c r="CF12" s="127"/>
      <c r="CG12" s="152"/>
      <c r="CH12" s="170"/>
      <c r="CI12" s="143">
        <f t="shared" si="7"/>
        <v>0</v>
      </c>
      <c r="CJ12" s="114">
        <f t="shared" si="7"/>
        <v>0</v>
      </c>
      <c r="CK12" s="478"/>
      <c r="CL12" s="486"/>
      <c r="CM12" s="487"/>
      <c r="CN12" s="486"/>
      <c r="CO12" s="117"/>
      <c r="CP12" s="170"/>
      <c r="CQ12" s="138"/>
      <c r="CR12" s="167"/>
      <c r="CS12" s="207"/>
      <c r="CT12" s="483"/>
    </row>
    <row r="13" spans="1:98" s="106" customFormat="1" ht="15.75" thickBot="1" x14ac:dyDescent="0.3">
      <c r="A13" s="48">
        <v>46062</v>
      </c>
      <c r="B13" s="466" t="s">
        <v>14</v>
      </c>
      <c r="C13" s="50"/>
      <c r="D13" s="51"/>
      <c r="E13" s="51"/>
      <c r="F13" s="380"/>
      <c r="G13" s="50"/>
      <c r="H13" s="381"/>
      <c r="I13" s="50">
        <v>0</v>
      </c>
      <c r="J13" s="51">
        <v>0</v>
      </c>
      <c r="K13" s="51"/>
      <c r="L13" s="380"/>
      <c r="M13" s="124"/>
      <c r="N13" s="382"/>
      <c r="O13" s="50"/>
      <c r="P13" s="42"/>
      <c r="Q13" s="41">
        <v>1</v>
      </c>
      <c r="R13" s="391"/>
      <c r="S13" s="397"/>
      <c r="T13" s="398"/>
      <c r="U13" s="388">
        <f t="shared" si="8"/>
        <v>1</v>
      </c>
      <c r="V13" s="31">
        <f t="shared" si="8"/>
        <v>0</v>
      </c>
      <c r="W13" s="496">
        <f t="shared" si="4"/>
        <v>2</v>
      </c>
      <c r="X13" s="502"/>
      <c r="Y13" s="50"/>
      <c r="Z13" s="51"/>
      <c r="AA13" s="51"/>
      <c r="AB13" s="380"/>
      <c r="AC13" s="50">
        <v>80</v>
      </c>
      <c r="AD13" s="381">
        <v>153</v>
      </c>
      <c r="AE13" s="50">
        <v>312</v>
      </c>
      <c r="AF13" s="51">
        <v>1768</v>
      </c>
      <c r="AG13" s="51">
        <v>76</v>
      </c>
      <c r="AH13" s="65">
        <v>449</v>
      </c>
      <c r="AI13" s="389"/>
      <c r="AJ13" s="380"/>
      <c r="AK13" s="50">
        <v>401</v>
      </c>
      <c r="AL13" s="65">
        <v>1132</v>
      </c>
      <c r="AM13" s="51">
        <v>124</v>
      </c>
      <c r="AN13" s="380">
        <v>280</v>
      </c>
      <c r="AO13" s="50"/>
      <c r="AP13" s="381"/>
      <c r="AQ13" s="124">
        <f>Y13+AA13+AC13+AE13+AG13+AI13+AK13+AM13+AO13</f>
        <v>993</v>
      </c>
      <c r="AR13" s="390">
        <f>Z13+AB13+AD13+AF13+AH13+AJ13+AL13+AN13+AP13</f>
        <v>3782</v>
      </c>
      <c r="AS13" s="64"/>
      <c r="AT13" s="6"/>
      <c r="AU13" s="40">
        <v>807</v>
      </c>
      <c r="AV13" s="41">
        <v>1635</v>
      </c>
      <c r="AW13" s="41">
        <v>10</v>
      </c>
      <c r="AX13" s="391">
        <v>22</v>
      </c>
      <c r="AY13" s="124"/>
      <c r="AZ13" s="391"/>
      <c r="BA13" s="124">
        <v>74</v>
      </c>
      <c r="BB13" s="41">
        <v>790</v>
      </c>
      <c r="BC13" s="41">
        <v>25</v>
      </c>
      <c r="BD13" s="42">
        <v>185</v>
      </c>
      <c r="BE13" s="392"/>
      <c r="BF13" s="391"/>
      <c r="BG13" s="124">
        <v>180</v>
      </c>
      <c r="BH13" s="42">
        <v>713</v>
      </c>
      <c r="BI13" s="41">
        <v>27</v>
      </c>
      <c r="BJ13" s="391">
        <v>95</v>
      </c>
      <c r="BK13" s="124"/>
      <c r="BL13" s="391"/>
      <c r="BM13" s="393">
        <f t="shared" si="6"/>
        <v>1123</v>
      </c>
      <c r="BN13" s="394">
        <f t="shared" si="6"/>
        <v>3440</v>
      </c>
      <c r="BO13" s="64"/>
      <c r="BP13" s="6"/>
      <c r="BQ13" s="56">
        <v>0</v>
      </c>
      <c r="BR13" s="57">
        <v>0</v>
      </c>
      <c r="BS13" s="41">
        <v>10</v>
      </c>
      <c r="BT13" s="390">
        <v>27</v>
      </c>
      <c r="BU13" s="55"/>
      <c r="BV13" s="380"/>
      <c r="BW13" s="187">
        <v>0</v>
      </c>
      <c r="BX13" s="67">
        <v>0</v>
      </c>
      <c r="BY13" s="41"/>
      <c r="BZ13" s="390"/>
      <c r="CA13" s="42"/>
      <c r="CB13" s="391"/>
      <c r="CC13" s="190">
        <v>0</v>
      </c>
      <c r="CD13" s="58">
        <v>0</v>
      </c>
      <c r="CE13" s="41"/>
      <c r="CF13" s="390"/>
      <c r="CG13" s="40"/>
      <c r="CH13" s="391"/>
      <c r="CI13" s="393">
        <f t="shared" si="7"/>
        <v>10</v>
      </c>
      <c r="CJ13" s="395">
        <f t="shared" si="7"/>
        <v>27</v>
      </c>
      <c r="CK13" s="64"/>
      <c r="CL13" s="60"/>
      <c r="CM13" s="396"/>
      <c r="CN13" s="60"/>
      <c r="CO13" s="41">
        <v>51</v>
      </c>
      <c r="CP13" s="391">
        <v>114</v>
      </c>
      <c r="CQ13" s="50"/>
      <c r="CR13" s="380"/>
      <c r="CS13" s="187"/>
      <c r="CT13" s="67"/>
    </row>
    <row r="14" spans="1:98" s="106" customFormat="1" ht="15.75" thickBot="1" x14ac:dyDescent="0.3">
      <c r="A14" s="48">
        <v>46063</v>
      </c>
      <c r="B14" s="466" t="s">
        <v>15</v>
      </c>
      <c r="C14" s="50">
        <v>37</v>
      </c>
      <c r="D14" s="51">
        <v>83</v>
      </c>
      <c r="E14" s="50"/>
      <c r="F14" s="381"/>
      <c r="G14" s="50"/>
      <c r="H14" s="381"/>
      <c r="I14" s="50"/>
      <c r="J14" s="51"/>
      <c r="K14" s="51"/>
      <c r="L14" s="380"/>
      <c r="M14" s="124"/>
      <c r="N14" s="382"/>
      <c r="O14" s="50"/>
      <c r="P14" s="42"/>
      <c r="Q14" s="41"/>
      <c r="R14" s="391"/>
      <c r="S14" s="397"/>
      <c r="T14" s="398"/>
      <c r="U14" s="388">
        <f t="shared" si="8"/>
        <v>37</v>
      </c>
      <c r="V14" s="31">
        <f t="shared" si="8"/>
        <v>83</v>
      </c>
      <c r="W14" s="496">
        <f t="shared" si="4"/>
        <v>120</v>
      </c>
      <c r="X14" s="502"/>
      <c r="Y14" s="50"/>
      <c r="Z14" s="51"/>
      <c r="AA14" s="51"/>
      <c r="AB14" s="380"/>
      <c r="AC14" s="50"/>
      <c r="AD14" s="381"/>
      <c r="AE14" s="50">
        <v>363</v>
      </c>
      <c r="AF14" s="51">
        <v>2091</v>
      </c>
      <c r="AG14" s="51"/>
      <c r="AH14" s="65"/>
      <c r="AI14" s="389"/>
      <c r="AJ14" s="380"/>
      <c r="AK14" s="50">
        <v>505</v>
      </c>
      <c r="AL14" s="65">
        <v>1212</v>
      </c>
      <c r="AM14" s="51"/>
      <c r="AN14" s="380"/>
      <c r="AO14" s="50"/>
      <c r="AP14" s="381"/>
      <c r="AQ14" s="124">
        <f t="shared" si="5"/>
        <v>868</v>
      </c>
      <c r="AR14" s="390">
        <f t="shared" si="5"/>
        <v>3303</v>
      </c>
      <c r="AS14" s="64"/>
      <c r="AT14" s="6"/>
      <c r="AU14" s="40">
        <v>817</v>
      </c>
      <c r="AV14" s="41">
        <v>1655</v>
      </c>
      <c r="AW14" s="41"/>
      <c r="AX14" s="391"/>
      <c r="AY14" s="124"/>
      <c r="AZ14" s="391"/>
      <c r="BA14" s="124">
        <v>99</v>
      </c>
      <c r="BB14" s="41">
        <v>975</v>
      </c>
      <c r="BC14" s="41"/>
      <c r="BD14" s="42"/>
      <c r="BE14" s="392"/>
      <c r="BF14" s="391"/>
      <c r="BG14" s="124">
        <v>207</v>
      </c>
      <c r="BH14" s="42">
        <v>808</v>
      </c>
      <c r="BI14" s="41"/>
      <c r="BJ14" s="391"/>
      <c r="BK14" s="124"/>
      <c r="BL14" s="391"/>
      <c r="BM14" s="393">
        <f t="shared" si="6"/>
        <v>1123</v>
      </c>
      <c r="BN14" s="394">
        <f t="shared" si="6"/>
        <v>3438</v>
      </c>
      <c r="BO14" s="64"/>
      <c r="BP14" s="6"/>
      <c r="BQ14" s="56">
        <v>10</v>
      </c>
      <c r="BR14" s="57">
        <v>27</v>
      </c>
      <c r="BS14" s="41"/>
      <c r="BT14" s="390"/>
      <c r="BU14" s="55"/>
      <c r="BV14" s="380"/>
      <c r="BW14" s="187">
        <v>0</v>
      </c>
      <c r="BX14" s="67">
        <v>0</v>
      </c>
      <c r="BY14" s="41"/>
      <c r="BZ14" s="390"/>
      <c r="CA14" s="42"/>
      <c r="CB14" s="391"/>
      <c r="CC14" s="190">
        <v>0</v>
      </c>
      <c r="CD14" s="58">
        <v>0</v>
      </c>
      <c r="CE14" s="41"/>
      <c r="CF14" s="390"/>
      <c r="CG14" s="40"/>
      <c r="CH14" s="391"/>
      <c r="CI14" s="393">
        <f t="shared" si="7"/>
        <v>10</v>
      </c>
      <c r="CJ14" s="395">
        <f t="shared" si="7"/>
        <v>27</v>
      </c>
      <c r="CK14" s="64"/>
      <c r="CL14" s="60"/>
      <c r="CM14" s="396"/>
      <c r="CN14" s="60"/>
      <c r="CO14" s="41"/>
      <c r="CP14" s="391"/>
      <c r="CQ14" s="50"/>
      <c r="CR14" s="380"/>
      <c r="CS14" s="187"/>
      <c r="CT14" s="57"/>
    </row>
    <row r="15" spans="1:98" s="106" customFormat="1" ht="15.75" thickBot="1" x14ac:dyDescent="0.3">
      <c r="A15" s="48">
        <v>46064</v>
      </c>
      <c r="B15" s="466" t="s">
        <v>16</v>
      </c>
      <c r="C15" s="50"/>
      <c r="D15" s="51"/>
      <c r="E15" s="51"/>
      <c r="F15" s="380"/>
      <c r="G15" s="50"/>
      <c r="H15" s="381"/>
      <c r="I15" s="50"/>
      <c r="J15" s="51"/>
      <c r="K15" s="51"/>
      <c r="L15" s="380"/>
      <c r="M15" s="124"/>
      <c r="N15" s="382"/>
      <c r="O15" s="50"/>
      <c r="P15" s="55"/>
      <c r="Q15" s="41">
        <v>1</v>
      </c>
      <c r="R15" s="391">
        <v>2</v>
      </c>
      <c r="S15" s="397"/>
      <c r="T15" s="398"/>
      <c r="U15" s="388">
        <f t="shared" si="8"/>
        <v>1</v>
      </c>
      <c r="V15" s="31">
        <f t="shared" si="8"/>
        <v>2</v>
      </c>
      <c r="W15" s="389">
        <f t="shared" si="4"/>
        <v>6</v>
      </c>
      <c r="X15" s="502"/>
      <c r="Y15" s="50"/>
      <c r="Z15" s="51"/>
      <c r="AA15" s="51"/>
      <c r="AB15" s="380"/>
      <c r="AC15" s="50"/>
      <c r="AD15" s="381"/>
      <c r="AE15" s="50">
        <v>315</v>
      </c>
      <c r="AF15" s="51">
        <v>1884</v>
      </c>
      <c r="AG15" s="51"/>
      <c r="AH15" s="65"/>
      <c r="AI15" s="389"/>
      <c r="AJ15" s="380"/>
      <c r="AK15" s="50">
        <v>505</v>
      </c>
      <c r="AL15" s="65">
        <v>1212</v>
      </c>
      <c r="AM15" s="51"/>
      <c r="AN15" s="380"/>
      <c r="AO15" s="50"/>
      <c r="AP15" s="381"/>
      <c r="AQ15" s="124">
        <f t="shared" si="5"/>
        <v>820</v>
      </c>
      <c r="AR15" s="390">
        <f t="shared" si="5"/>
        <v>3096</v>
      </c>
      <c r="AS15" s="53"/>
      <c r="AT15" s="6"/>
      <c r="AU15" s="40">
        <v>817</v>
      </c>
      <c r="AV15" s="41">
        <v>1655</v>
      </c>
      <c r="AW15" s="41"/>
      <c r="AX15" s="391"/>
      <c r="AY15" s="124"/>
      <c r="AZ15" s="391"/>
      <c r="BA15" s="124">
        <v>99</v>
      </c>
      <c r="BB15" s="41">
        <v>975</v>
      </c>
      <c r="BC15" s="41"/>
      <c r="BD15" s="42"/>
      <c r="BE15" s="392"/>
      <c r="BF15" s="391"/>
      <c r="BG15" s="124">
        <v>199</v>
      </c>
      <c r="BH15" s="42">
        <v>760</v>
      </c>
      <c r="BI15" s="41"/>
      <c r="BJ15" s="391"/>
      <c r="BK15" s="124"/>
      <c r="BL15" s="391"/>
      <c r="BM15" s="393">
        <f t="shared" si="6"/>
        <v>1115</v>
      </c>
      <c r="BN15" s="394">
        <f t="shared" si="6"/>
        <v>3390</v>
      </c>
      <c r="BO15" s="64"/>
      <c r="BP15" s="6"/>
      <c r="BQ15" s="56">
        <v>10</v>
      </c>
      <c r="BR15" s="57">
        <v>27</v>
      </c>
      <c r="BS15" s="41"/>
      <c r="BT15" s="390"/>
      <c r="BU15" s="55"/>
      <c r="BV15" s="380"/>
      <c r="BW15" s="187">
        <v>0</v>
      </c>
      <c r="BX15" s="67">
        <v>0</v>
      </c>
      <c r="BY15" s="41"/>
      <c r="BZ15" s="390"/>
      <c r="CA15" s="42"/>
      <c r="CB15" s="391"/>
      <c r="CC15" s="190">
        <v>0</v>
      </c>
      <c r="CD15" s="58">
        <v>0</v>
      </c>
      <c r="CE15" s="41"/>
      <c r="CF15" s="390"/>
      <c r="CG15" s="40"/>
      <c r="CH15" s="391"/>
      <c r="CI15" s="393">
        <f t="shared" si="7"/>
        <v>10</v>
      </c>
      <c r="CJ15" s="395">
        <f t="shared" si="7"/>
        <v>27</v>
      </c>
      <c r="CK15" s="59"/>
      <c r="CL15" s="60"/>
      <c r="CM15" s="396"/>
      <c r="CN15" s="60"/>
      <c r="CO15" s="41"/>
      <c r="CP15" s="391"/>
      <c r="CQ15" s="50"/>
      <c r="CR15" s="380"/>
      <c r="CS15" s="187"/>
      <c r="CT15" s="57"/>
    </row>
    <row r="16" spans="1:98" s="306" customFormat="1" ht="15.75" thickBot="1" x14ac:dyDescent="0.3">
      <c r="A16" s="290">
        <v>46065</v>
      </c>
      <c r="B16" s="467" t="s">
        <v>17</v>
      </c>
      <c r="C16" s="99">
        <v>46</v>
      </c>
      <c r="D16" s="74">
        <v>89</v>
      </c>
      <c r="E16" s="74"/>
      <c r="F16" s="292"/>
      <c r="G16" s="99"/>
      <c r="H16" s="293"/>
      <c r="I16" s="99">
        <v>0</v>
      </c>
      <c r="J16" s="74">
        <v>0</v>
      </c>
      <c r="K16" s="74"/>
      <c r="L16" s="292"/>
      <c r="M16" s="125"/>
      <c r="N16" s="294"/>
      <c r="O16" s="99">
        <v>97</v>
      </c>
      <c r="P16" s="78">
        <v>149</v>
      </c>
      <c r="Q16" s="77"/>
      <c r="R16" s="302"/>
      <c r="S16" s="307"/>
      <c r="T16" s="308"/>
      <c r="U16" s="211">
        <f t="shared" si="8"/>
        <v>143</v>
      </c>
      <c r="V16" s="212">
        <f t="shared" si="8"/>
        <v>238</v>
      </c>
      <c r="W16" s="301">
        <f t="shared" si="4"/>
        <v>627</v>
      </c>
      <c r="X16" s="502"/>
      <c r="Y16" s="99">
        <v>174</v>
      </c>
      <c r="Z16" s="74">
        <v>335</v>
      </c>
      <c r="AA16" s="74"/>
      <c r="AB16" s="292"/>
      <c r="AC16" s="99"/>
      <c r="AD16" s="293"/>
      <c r="AE16" s="99">
        <v>267</v>
      </c>
      <c r="AF16" s="74">
        <v>1686</v>
      </c>
      <c r="AG16" s="74"/>
      <c r="AH16" s="75"/>
      <c r="AI16" s="301"/>
      <c r="AJ16" s="292"/>
      <c r="AK16" s="99">
        <v>505</v>
      </c>
      <c r="AL16" s="75">
        <v>1212</v>
      </c>
      <c r="AM16" s="74"/>
      <c r="AN16" s="292"/>
      <c r="AO16" s="99"/>
      <c r="AP16" s="293"/>
      <c r="AQ16" s="125">
        <f t="shared" si="5"/>
        <v>946</v>
      </c>
      <c r="AR16" s="210">
        <f t="shared" si="5"/>
        <v>3233</v>
      </c>
      <c r="AS16" s="72"/>
      <c r="AT16" s="300"/>
      <c r="AU16" s="76">
        <v>817</v>
      </c>
      <c r="AV16" s="77">
        <v>1655</v>
      </c>
      <c r="AW16" s="77"/>
      <c r="AX16" s="302"/>
      <c r="AY16" s="125"/>
      <c r="AZ16" s="302"/>
      <c r="BA16" s="125">
        <v>99</v>
      </c>
      <c r="BB16" s="77">
        <v>975</v>
      </c>
      <c r="BC16" s="77"/>
      <c r="BD16" s="78"/>
      <c r="BE16" s="303"/>
      <c r="BF16" s="302"/>
      <c r="BG16" s="125">
        <v>187</v>
      </c>
      <c r="BH16" s="78">
        <v>733</v>
      </c>
      <c r="BI16" s="77"/>
      <c r="BJ16" s="302"/>
      <c r="BK16" s="125"/>
      <c r="BL16" s="302"/>
      <c r="BM16" s="69">
        <f t="shared" si="6"/>
        <v>1103</v>
      </c>
      <c r="BN16" s="209">
        <f t="shared" si="6"/>
        <v>3363</v>
      </c>
      <c r="BO16" s="79"/>
      <c r="BP16" s="300"/>
      <c r="BQ16" s="80">
        <v>10</v>
      </c>
      <c r="BR16" s="81">
        <v>27</v>
      </c>
      <c r="BS16" s="77"/>
      <c r="BT16" s="210"/>
      <c r="BU16" s="100"/>
      <c r="BV16" s="292"/>
      <c r="BW16" s="188">
        <v>0</v>
      </c>
      <c r="BX16" s="101">
        <v>0</v>
      </c>
      <c r="BY16" s="77"/>
      <c r="BZ16" s="210"/>
      <c r="CA16" s="78"/>
      <c r="CB16" s="302"/>
      <c r="CC16" s="192">
        <v>0</v>
      </c>
      <c r="CD16" s="82">
        <v>0</v>
      </c>
      <c r="CE16" s="77"/>
      <c r="CF16" s="210"/>
      <c r="CG16" s="76"/>
      <c r="CH16" s="302"/>
      <c r="CI16" s="69">
        <f t="shared" si="7"/>
        <v>10</v>
      </c>
      <c r="CJ16" s="213">
        <f t="shared" si="7"/>
        <v>27</v>
      </c>
      <c r="CK16" s="83"/>
      <c r="CL16" s="304"/>
      <c r="CM16" s="379"/>
      <c r="CN16" s="304"/>
      <c r="CO16" s="77"/>
      <c r="CP16" s="302"/>
      <c r="CQ16" s="99"/>
      <c r="CR16" s="292"/>
      <c r="CS16" s="188">
        <v>0</v>
      </c>
      <c r="CT16" s="81">
        <v>0</v>
      </c>
    </row>
    <row r="17" spans="1:98" ht="15.75" thickBot="1" x14ac:dyDescent="0.3">
      <c r="A17" s="48">
        <v>46066</v>
      </c>
      <c r="B17" s="466" t="s">
        <v>18</v>
      </c>
      <c r="C17" s="236"/>
      <c r="D17" s="237"/>
      <c r="E17" s="237"/>
      <c r="F17" s="314"/>
      <c r="G17" s="236"/>
      <c r="H17" s="315"/>
      <c r="I17" s="236"/>
      <c r="J17" s="237"/>
      <c r="K17" s="237"/>
      <c r="L17" s="314"/>
      <c r="M17" s="243"/>
      <c r="N17" s="316"/>
      <c r="O17" s="236"/>
      <c r="P17" s="242"/>
      <c r="Q17" s="317"/>
      <c r="R17" s="318"/>
      <c r="S17" s="319"/>
      <c r="T17" s="320"/>
      <c r="U17" s="416">
        <f t="shared" si="8"/>
        <v>0</v>
      </c>
      <c r="V17" s="417">
        <f t="shared" si="8"/>
        <v>0</v>
      </c>
      <c r="W17" s="497">
        <f t="shared" si="4"/>
        <v>0</v>
      </c>
      <c r="X17" s="502"/>
      <c r="Y17" s="236"/>
      <c r="Z17" s="237"/>
      <c r="AA17" s="237"/>
      <c r="AB17" s="314"/>
      <c r="AC17" s="236"/>
      <c r="AD17" s="315"/>
      <c r="AE17" s="236">
        <v>220</v>
      </c>
      <c r="AF17" s="237">
        <v>1373</v>
      </c>
      <c r="AG17" s="237"/>
      <c r="AH17" s="324"/>
      <c r="AI17" s="325"/>
      <c r="AJ17" s="314"/>
      <c r="AK17" s="236">
        <v>505</v>
      </c>
      <c r="AL17" s="324">
        <v>1212</v>
      </c>
      <c r="AM17" s="237"/>
      <c r="AN17" s="314"/>
      <c r="AO17" s="236"/>
      <c r="AP17" s="315"/>
      <c r="AQ17" s="243">
        <f t="shared" si="5"/>
        <v>725</v>
      </c>
      <c r="AR17" s="326">
        <f t="shared" si="5"/>
        <v>2585</v>
      </c>
      <c r="AS17" s="321"/>
      <c r="AT17" s="322"/>
      <c r="AU17" s="327">
        <v>817</v>
      </c>
      <c r="AV17" s="317">
        <v>1655</v>
      </c>
      <c r="AW17" s="317"/>
      <c r="AX17" s="318"/>
      <c r="AY17" s="243"/>
      <c r="AZ17" s="318"/>
      <c r="BA17" s="243"/>
      <c r="BB17" s="317"/>
      <c r="BC17" s="317"/>
      <c r="BD17" s="242"/>
      <c r="BE17" s="328"/>
      <c r="BF17" s="318"/>
      <c r="BG17" s="243"/>
      <c r="BH17" s="242"/>
      <c r="BI17" s="317"/>
      <c r="BJ17" s="318"/>
      <c r="BK17" s="243"/>
      <c r="BL17" s="318"/>
      <c r="BM17" s="329">
        <f t="shared" si="6"/>
        <v>817</v>
      </c>
      <c r="BN17" s="418">
        <f t="shared" si="6"/>
        <v>1655</v>
      </c>
      <c r="BO17" s="321"/>
      <c r="BP17" s="322"/>
      <c r="BQ17" s="330">
        <v>10</v>
      </c>
      <c r="BR17" s="331">
        <v>27</v>
      </c>
      <c r="BS17" s="317"/>
      <c r="BT17" s="326"/>
      <c r="BU17" s="241"/>
      <c r="BV17" s="314"/>
      <c r="BW17" s="332">
        <v>0</v>
      </c>
      <c r="BX17" s="333">
        <v>0</v>
      </c>
      <c r="BY17" s="317"/>
      <c r="BZ17" s="326"/>
      <c r="CA17" s="242"/>
      <c r="CB17" s="318"/>
      <c r="CC17" s="334">
        <v>0</v>
      </c>
      <c r="CD17" s="335">
        <v>0</v>
      </c>
      <c r="CE17" s="317"/>
      <c r="CF17" s="326"/>
      <c r="CG17" s="327"/>
      <c r="CH17" s="318"/>
      <c r="CI17" s="329">
        <f t="shared" si="7"/>
        <v>10</v>
      </c>
      <c r="CJ17" s="336">
        <f t="shared" si="7"/>
        <v>27</v>
      </c>
      <c r="CK17" s="321"/>
      <c r="CL17" s="337"/>
      <c r="CM17" s="356"/>
      <c r="CN17" s="337"/>
      <c r="CO17" s="317"/>
      <c r="CP17" s="318"/>
      <c r="CQ17" s="236"/>
      <c r="CR17" s="314"/>
      <c r="CS17" s="332"/>
      <c r="CT17" s="333"/>
    </row>
    <row r="18" spans="1:98" ht="15.75" thickBot="1" x14ac:dyDescent="0.3">
      <c r="A18" s="48">
        <v>46067</v>
      </c>
      <c r="B18" s="466" t="s">
        <v>19</v>
      </c>
      <c r="C18" s="236"/>
      <c r="D18" s="237"/>
      <c r="E18" s="237"/>
      <c r="F18" s="314"/>
      <c r="G18" s="236"/>
      <c r="H18" s="315"/>
      <c r="I18" s="236"/>
      <c r="J18" s="237"/>
      <c r="K18" s="237"/>
      <c r="L18" s="314"/>
      <c r="M18" s="243"/>
      <c r="N18" s="316"/>
      <c r="O18" s="236"/>
      <c r="P18" s="242"/>
      <c r="Q18" s="317"/>
      <c r="R18" s="318"/>
      <c r="S18" s="319"/>
      <c r="T18" s="320"/>
      <c r="U18" s="416">
        <f t="shared" si="8"/>
        <v>0</v>
      </c>
      <c r="V18" s="417">
        <f t="shared" si="8"/>
        <v>0</v>
      </c>
      <c r="W18" s="497">
        <f t="shared" si="4"/>
        <v>0</v>
      </c>
      <c r="X18" s="502"/>
      <c r="Y18" s="236"/>
      <c r="Z18" s="237"/>
      <c r="AA18" s="237"/>
      <c r="AB18" s="314"/>
      <c r="AC18" s="236"/>
      <c r="AD18" s="315"/>
      <c r="AE18" s="236"/>
      <c r="AF18" s="237"/>
      <c r="AG18" s="237"/>
      <c r="AH18" s="324"/>
      <c r="AI18" s="325"/>
      <c r="AJ18" s="314"/>
      <c r="AK18" s="236"/>
      <c r="AL18" s="324"/>
      <c r="AM18" s="237"/>
      <c r="AN18" s="314"/>
      <c r="AO18" s="236"/>
      <c r="AP18" s="315"/>
      <c r="AQ18" s="243">
        <f t="shared" si="5"/>
        <v>0</v>
      </c>
      <c r="AR18" s="326">
        <f t="shared" si="5"/>
        <v>0</v>
      </c>
      <c r="AS18" s="321"/>
      <c r="AT18" s="322"/>
      <c r="AU18" s="327">
        <v>817</v>
      </c>
      <c r="AV18" s="317">
        <v>1655</v>
      </c>
      <c r="AW18" s="317"/>
      <c r="AX18" s="318"/>
      <c r="AY18" s="243"/>
      <c r="AZ18" s="318"/>
      <c r="BA18" s="243"/>
      <c r="BB18" s="317"/>
      <c r="BC18" s="317"/>
      <c r="BD18" s="242"/>
      <c r="BE18" s="328"/>
      <c r="BF18" s="318"/>
      <c r="BG18" s="243"/>
      <c r="BH18" s="242"/>
      <c r="BI18" s="317"/>
      <c r="BJ18" s="318"/>
      <c r="BK18" s="243"/>
      <c r="BL18" s="318"/>
      <c r="BM18" s="329">
        <f t="shared" si="6"/>
        <v>817</v>
      </c>
      <c r="BN18" s="418">
        <f t="shared" si="6"/>
        <v>1655</v>
      </c>
      <c r="BO18" s="321"/>
      <c r="BP18" s="322"/>
      <c r="BQ18" s="330">
        <v>10</v>
      </c>
      <c r="BR18" s="331">
        <v>27</v>
      </c>
      <c r="BS18" s="317"/>
      <c r="BT18" s="326"/>
      <c r="BU18" s="241"/>
      <c r="BV18" s="314"/>
      <c r="BW18" s="332">
        <v>0</v>
      </c>
      <c r="BX18" s="333">
        <v>0</v>
      </c>
      <c r="BY18" s="317"/>
      <c r="BZ18" s="326"/>
      <c r="CA18" s="242"/>
      <c r="CB18" s="318"/>
      <c r="CC18" s="334">
        <v>0</v>
      </c>
      <c r="CD18" s="335">
        <v>0</v>
      </c>
      <c r="CE18" s="317"/>
      <c r="CF18" s="326"/>
      <c r="CG18" s="327"/>
      <c r="CH18" s="318"/>
      <c r="CI18" s="329">
        <f t="shared" si="7"/>
        <v>10</v>
      </c>
      <c r="CJ18" s="336">
        <f t="shared" si="7"/>
        <v>27</v>
      </c>
      <c r="CK18" s="321"/>
      <c r="CL18" s="337"/>
      <c r="CM18" s="356"/>
      <c r="CN18" s="337"/>
      <c r="CO18" s="317"/>
      <c r="CP18" s="318"/>
      <c r="CQ18" s="236"/>
      <c r="CR18" s="314"/>
      <c r="CS18" s="332"/>
      <c r="CT18" s="333"/>
    </row>
    <row r="19" spans="1:98" s="106" customFormat="1" ht="15.75" thickBot="1" x14ac:dyDescent="0.3">
      <c r="A19" s="48">
        <v>46068</v>
      </c>
      <c r="B19" s="466" t="s">
        <v>20</v>
      </c>
      <c r="C19" s="50"/>
      <c r="D19" s="51"/>
      <c r="E19" s="51"/>
      <c r="F19" s="380"/>
      <c r="G19" s="50"/>
      <c r="H19" s="381"/>
      <c r="I19" s="50"/>
      <c r="J19" s="51"/>
      <c r="K19" s="51"/>
      <c r="L19" s="380"/>
      <c r="M19" s="124"/>
      <c r="N19" s="382"/>
      <c r="O19" s="50"/>
      <c r="P19" s="42"/>
      <c r="Q19" s="41"/>
      <c r="R19" s="391"/>
      <c r="S19" s="397"/>
      <c r="T19" s="398"/>
      <c r="U19" s="388">
        <f t="shared" si="8"/>
        <v>0</v>
      </c>
      <c r="V19" s="31">
        <f t="shared" si="8"/>
        <v>0</v>
      </c>
      <c r="W19" s="496">
        <f t="shared" si="4"/>
        <v>0</v>
      </c>
      <c r="X19" s="502"/>
      <c r="Y19" s="50"/>
      <c r="Z19" s="51"/>
      <c r="AA19" s="51"/>
      <c r="AB19" s="380"/>
      <c r="AC19" s="50"/>
      <c r="AD19" s="381"/>
      <c r="AE19" s="50"/>
      <c r="AF19" s="51"/>
      <c r="AG19" s="51"/>
      <c r="AH19" s="65"/>
      <c r="AI19" s="389"/>
      <c r="AJ19" s="380"/>
      <c r="AK19" s="50"/>
      <c r="AL19" s="65"/>
      <c r="AM19" s="51"/>
      <c r="AN19" s="380"/>
      <c r="AO19" s="50"/>
      <c r="AP19" s="381"/>
      <c r="AQ19" s="124">
        <f t="shared" si="5"/>
        <v>0</v>
      </c>
      <c r="AR19" s="390">
        <f t="shared" si="5"/>
        <v>0</v>
      </c>
      <c r="AS19" s="64"/>
      <c r="AT19" s="6"/>
      <c r="AU19" s="40">
        <v>817</v>
      </c>
      <c r="AV19" s="41">
        <v>1655</v>
      </c>
      <c r="AW19" s="41"/>
      <c r="AX19" s="391"/>
      <c r="AY19" s="124"/>
      <c r="AZ19" s="391"/>
      <c r="BA19" s="124"/>
      <c r="BB19" s="41"/>
      <c r="BC19" s="41"/>
      <c r="BD19" s="42"/>
      <c r="BE19" s="392"/>
      <c r="BF19" s="391"/>
      <c r="BG19" s="124"/>
      <c r="BH19" s="42"/>
      <c r="BI19" s="41"/>
      <c r="BJ19" s="391"/>
      <c r="BK19" s="124"/>
      <c r="BL19" s="391"/>
      <c r="BM19" s="393">
        <f t="shared" si="6"/>
        <v>817</v>
      </c>
      <c r="BN19" s="394">
        <f t="shared" si="6"/>
        <v>1655</v>
      </c>
      <c r="BO19" s="64"/>
      <c r="BP19" s="6"/>
      <c r="BQ19" s="56">
        <v>10</v>
      </c>
      <c r="BR19" s="57">
        <v>27</v>
      </c>
      <c r="BS19" s="41"/>
      <c r="BT19" s="390"/>
      <c r="BU19" s="55"/>
      <c r="BV19" s="380"/>
      <c r="BW19" s="187">
        <v>0</v>
      </c>
      <c r="BX19" s="67">
        <v>0</v>
      </c>
      <c r="BY19" s="41"/>
      <c r="BZ19" s="390"/>
      <c r="CA19" s="42"/>
      <c r="CB19" s="391"/>
      <c r="CC19" s="190">
        <v>0</v>
      </c>
      <c r="CD19" s="58">
        <v>0</v>
      </c>
      <c r="CE19" s="41"/>
      <c r="CF19" s="390"/>
      <c r="CG19" s="40"/>
      <c r="CH19" s="391"/>
      <c r="CI19" s="393">
        <f t="shared" si="7"/>
        <v>10</v>
      </c>
      <c r="CJ19" s="395">
        <f t="shared" si="7"/>
        <v>27</v>
      </c>
      <c r="CK19" s="64"/>
      <c r="CL19" s="60"/>
      <c r="CM19" s="396"/>
      <c r="CN19" s="60"/>
      <c r="CO19" s="41"/>
      <c r="CP19" s="391"/>
      <c r="CQ19" s="50"/>
      <c r="CR19" s="380"/>
      <c r="CS19" s="187"/>
      <c r="CT19" s="67"/>
    </row>
    <row r="20" spans="1:98" ht="15.75" thickBot="1" x14ac:dyDescent="0.3">
      <c r="A20" s="48">
        <v>46069</v>
      </c>
      <c r="B20" s="466" t="s">
        <v>14</v>
      </c>
      <c r="C20" s="236"/>
      <c r="D20" s="237"/>
      <c r="E20" s="237"/>
      <c r="F20" s="314"/>
      <c r="G20" s="236"/>
      <c r="H20" s="315"/>
      <c r="I20" s="236"/>
      <c r="J20" s="237"/>
      <c r="K20" s="237"/>
      <c r="L20" s="314"/>
      <c r="M20" s="243"/>
      <c r="N20" s="316"/>
      <c r="O20" s="236"/>
      <c r="P20" s="242"/>
      <c r="Q20" s="317"/>
      <c r="R20" s="318"/>
      <c r="S20" s="319"/>
      <c r="T20" s="320"/>
      <c r="U20" s="416">
        <f t="shared" si="8"/>
        <v>0</v>
      </c>
      <c r="V20" s="417">
        <f t="shared" si="8"/>
        <v>0</v>
      </c>
      <c r="W20" s="497">
        <f t="shared" si="4"/>
        <v>0</v>
      </c>
      <c r="X20" s="502"/>
      <c r="Y20" s="236"/>
      <c r="Z20" s="237"/>
      <c r="AA20" s="237"/>
      <c r="AB20" s="314"/>
      <c r="AC20" s="236">
        <v>84</v>
      </c>
      <c r="AD20" s="315">
        <v>189</v>
      </c>
      <c r="AE20" s="236"/>
      <c r="AF20" s="237"/>
      <c r="AG20" s="237">
        <v>68</v>
      </c>
      <c r="AH20" s="324">
        <v>299</v>
      </c>
      <c r="AI20" s="325"/>
      <c r="AJ20" s="314"/>
      <c r="AK20" s="236"/>
      <c r="AL20" s="324"/>
      <c r="AM20" s="237">
        <v>187</v>
      </c>
      <c r="AN20" s="314">
        <v>896</v>
      </c>
      <c r="AO20" s="236"/>
      <c r="AP20" s="315"/>
      <c r="AQ20" s="243">
        <f t="shared" si="5"/>
        <v>339</v>
      </c>
      <c r="AR20" s="326">
        <f t="shared" si="5"/>
        <v>1384</v>
      </c>
      <c r="AS20" s="321"/>
      <c r="AT20" s="322"/>
      <c r="AU20" s="327">
        <v>817</v>
      </c>
      <c r="AV20" s="317">
        <v>1655</v>
      </c>
      <c r="AW20" s="317"/>
      <c r="AX20" s="318"/>
      <c r="AY20" s="243"/>
      <c r="AZ20" s="318"/>
      <c r="BA20" s="243"/>
      <c r="BB20" s="317"/>
      <c r="BC20" s="317"/>
      <c r="BD20" s="242"/>
      <c r="BE20" s="328"/>
      <c r="BF20" s="318"/>
      <c r="BG20" s="243"/>
      <c r="BH20" s="242"/>
      <c r="BI20" s="317"/>
      <c r="BJ20" s="318"/>
      <c r="BK20" s="243">
        <v>3</v>
      </c>
      <c r="BL20" s="318">
        <v>2</v>
      </c>
      <c r="BM20" s="329">
        <f t="shared" ref="BM20:BN32" si="9">AU20+AW20+AY20+BA20+BC20+BE20+BG20+BI20+BK20</f>
        <v>820</v>
      </c>
      <c r="BN20" s="418">
        <f t="shared" si="9"/>
        <v>1657</v>
      </c>
      <c r="BO20" s="321"/>
      <c r="BP20" s="322"/>
      <c r="BQ20" s="330">
        <v>10</v>
      </c>
      <c r="BR20" s="331">
        <v>27</v>
      </c>
      <c r="BS20" s="317">
        <v>7</v>
      </c>
      <c r="BT20" s="326">
        <v>18</v>
      </c>
      <c r="BU20" s="241"/>
      <c r="BV20" s="314"/>
      <c r="BW20" s="332">
        <v>0</v>
      </c>
      <c r="BX20" s="333">
        <v>0</v>
      </c>
      <c r="BY20" s="317">
        <v>16</v>
      </c>
      <c r="BZ20" s="326">
        <v>58</v>
      </c>
      <c r="CA20" s="242"/>
      <c r="CB20" s="318"/>
      <c r="CC20" s="334">
        <v>0</v>
      </c>
      <c r="CD20" s="335">
        <v>0</v>
      </c>
      <c r="CE20" s="317">
        <v>83</v>
      </c>
      <c r="CF20" s="326">
        <v>238</v>
      </c>
      <c r="CG20" s="327"/>
      <c r="CH20" s="318"/>
      <c r="CI20" s="329">
        <f t="shared" si="7"/>
        <v>116</v>
      </c>
      <c r="CJ20" s="336">
        <f t="shared" si="7"/>
        <v>341</v>
      </c>
      <c r="CK20" s="321"/>
      <c r="CL20" s="337"/>
      <c r="CM20" s="356"/>
      <c r="CN20" s="337"/>
      <c r="CO20" s="317"/>
      <c r="CP20" s="318"/>
      <c r="CQ20" s="236"/>
      <c r="CR20" s="314"/>
      <c r="CS20" s="332"/>
      <c r="CT20" s="333"/>
    </row>
    <row r="21" spans="1:98" s="106" customFormat="1" ht="15.75" thickBot="1" x14ac:dyDescent="0.3">
      <c r="A21" s="48">
        <v>46070</v>
      </c>
      <c r="B21" s="466" t="s">
        <v>15</v>
      </c>
      <c r="C21" s="50"/>
      <c r="D21" s="51"/>
      <c r="E21" s="51"/>
      <c r="F21" s="380"/>
      <c r="G21" s="50"/>
      <c r="H21" s="381"/>
      <c r="I21" s="50"/>
      <c r="J21" s="51"/>
      <c r="K21" s="51"/>
      <c r="L21" s="380"/>
      <c r="M21" s="124"/>
      <c r="N21" s="382"/>
      <c r="O21" s="50"/>
      <c r="P21" s="42"/>
      <c r="Q21" s="41"/>
      <c r="R21" s="391"/>
      <c r="S21" s="397"/>
      <c r="T21" s="398"/>
      <c r="U21" s="388">
        <f t="shared" ref="U21:V32" si="10">C21+E21+G21+I21+K21+M21+O21+Q21+S21</f>
        <v>0</v>
      </c>
      <c r="V21" s="31">
        <f t="shared" si="10"/>
        <v>0</v>
      </c>
      <c r="W21" s="496">
        <f t="shared" si="4"/>
        <v>0</v>
      </c>
      <c r="X21" s="502"/>
      <c r="Y21" s="50"/>
      <c r="Z21" s="51"/>
      <c r="AA21" s="51"/>
      <c r="AB21" s="380"/>
      <c r="AC21" s="50"/>
      <c r="AD21" s="381"/>
      <c r="AE21" s="50">
        <v>288</v>
      </c>
      <c r="AF21" s="51">
        <v>1676</v>
      </c>
      <c r="AG21" s="51"/>
      <c r="AH21" s="65"/>
      <c r="AI21" s="389"/>
      <c r="AJ21" s="380"/>
      <c r="AK21" s="50">
        <v>571</v>
      </c>
      <c r="AL21" s="65">
        <v>1963</v>
      </c>
      <c r="AM21" s="51"/>
      <c r="AN21" s="380"/>
      <c r="AO21" s="50"/>
      <c r="AP21" s="381"/>
      <c r="AQ21" s="124">
        <f t="shared" ref="AQ21:AR32" si="11">Y21+AA21+AC21+AE21+AG21+AI21+AK21+AM21+AO21</f>
        <v>859</v>
      </c>
      <c r="AR21" s="390">
        <f t="shared" si="11"/>
        <v>3639</v>
      </c>
      <c r="AS21" s="64"/>
      <c r="AT21" s="6"/>
      <c r="AU21" s="40">
        <v>817</v>
      </c>
      <c r="AV21" s="41">
        <v>1655</v>
      </c>
      <c r="AW21" s="41">
        <v>41</v>
      </c>
      <c r="AX21" s="391">
        <v>80</v>
      </c>
      <c r="AY21" s="124"/>
      <c r="AZ21" s="391"/>
      <c r="BA21" s="124">
        <v>91</v>
      </c>
      <c r="BB21" s="41">
        <v>651</v>
      </c>
      <c r="BC21" s="41">
        <v>22</v>
      </c>
      <c r="BD21" s="42">
        <v>110</v>
      </c>
      <c r="BE21" s="392">
        <v>2</v>
      </c>
      <c r="BF21" s="391">
        <v>175</v>
      </c>
      <c r="BG21" s="124">
        <v>149</v>
      </c>
      <c r="BH21" s="42">
        <v>577</v>
      </c>
      <c r="BI21" s="41">
        <v>32</v>
      </c>
      <c r="BJ21" s="391">
        <v>142</v>
      </c>
      <c r="BK21" s="124">
        <v>1</v>
      </c>
      <c r="BL21" s="391">
        <v>1</v>
      </c>
      <c r="BM21" s="393">
        <f t="shared" si="9"/>
        <v>1155</v>
      </c>
      <c r="BN21" s="394">
        <f t="shared" si="9"/>
        <v>3391</v>
      </c>
      <c r="BO21" s="64"/>
      <c r="BP21" s="6"/>
      <c r="BQ21" s="56">
        <v>17</v>
      </c>
      <c r="BR21" s="57">
        <v>45</v>
      </c>
      <c r="BS21" s="41"/>
      <c r="BT21" s="390"/>
      <c r="BU21" s="55"/>
      <c r="BV21" s="380"/>
      <c r="BW21" s="187">
        <v>16</v>
      </c>
      <c r="BX21" s="67">
        <v>58</v>
      </c>
      <c r="BY21" s="41"/>
      <c r="BZ21" s="390"/>
      <c r="CA21" s="42"/>
      <c r="CB21" s="391"/>
      <c r="CC21" s="190">
        <v>83</v>
      </c>
      <c r="CD21" s="58">
        <v>238</v>
      </c>
      <c r="CE21" s="41"/>
      <c r="CF21" s="390"/>
      <c r="CG21" s="40"/>
      <c r="CH21" s="391"/>
      <c r="CI21" s="393">
        <f t="shared" ref="CI21:CJ32" si="12">BQ21+BS21+BU21+BW21+BY21+CA21+CC21+CE21+CG21</f>
        <v>116</v>
      </c>
      <c r="CJ21" s="395">
        <f t="shared" si="12"/>
        <v>341</v>
      </c>
      <c r="CK21" s="64"/>
      <c r="CL21" s="60"/>
      <c r="CM21" s="396"/>
      <c r="CN21" s="60"/>
      <c r="CO21" s="41"/>
      <c r="CP21" s="391"/>
      <c r="CQ21" s="50"/>
      <c r="CR21" s="380"/>
      <c r="CS21" s="187"/>
      <c r="CT21" s="57"/>
    </row>
    <row r="22" spans="1:98" s="106" customFormat="1" ht="15.75" thickBot="1" x14ac:dyDescent="0.3">
      <c r="A22" s="48">
        <v>46071</v>
      </c>
      <c r="B22" s="466" t="s">
        <v>16</v>
      </c>
      <c r="C22" s="50"/>
      <c r="D22" s="51"/>
      <c r="E22" s="51"/>
      <c r="F22" s="380"/>
      <c r="G22" s="50"/>
      <c r="H22" s="381"/>
      <c r="I22" s="50"/>
      <c r="J22" s="51"/>
      <c r="K22" s="51"/>
      <c r="L22" s="380"/>
      <c r="M22" s="124"/>
      <c r="N22" s="382"/>
      <c r="O22" s="50"/>
      <c r="P22" s="42"/>
      <c r="Q22" s="41"/>
      <c r="R22" s="391"/>
      <c r="S22" s="397"/>
      <c r="T22" s="398"/>
      <c r="U22" s="388">
        <f t="shared" si="10"/>
        <v>0</v>
      </c>
      <c r="V22" s="31">
        <f t="shared" si="10"/>
        <v>0</v>
      </c>
      <c r="W22" s="496">
        <f t="shared" si="4"/>
        <v>0</v>
      </c>
      <c r="X22" s="502"/>
      <c r="Y22" s="50"/>
      <c r="Z22" s="51"/>
      <c r="AA22" s="51"/>
      <c r="AB22" s="380"/>
      <c r="AC22" s="50"/>
      <c r="AD22" s="381"/>
      <c r="AE22" s="50"/>
      <c r="AF22" s="51"/>
      <c r="AG22" s="51"/>
      <c r="AH22" s="65"/>
      <c r="AI22" s="389"/>
      <c r="AJ22" s="380"/>
      <c r="AK22" s="50"/>
      <c r="AL22" s="65"/>
      <c r="AM22" s="51"/>
      <c r="AN22" s="380"/>
      <c r="AO22" s="50"/>
      <c r="AP22" s="381"/>
      <c r="AQ22" s="124">
        <f t="shared" si="11"/>
        <v>0</v>
      </c>
      <c r="AR22" s="390">
        <f t="shared" si="11"/>
        <v>0</v>
      </c>
      <c r="AS22" s="64"/>
      <c r="AT22" s="6"/>
      <c r="AU22" s="40">
        <v>858</v>
      </c>
      <c r="AV22" s="41">
        <v>1735</v>
      </c>
      <c r="AW22" s="41"/>
      <c r="AX22" s="391"/>
      <c r="AY22" s="124"/>
      <c r="AZ22" s="391"/>
      <c r="BA22" s="124">
        <v>113</v>
      </c>
      <c r="BB22" s="41">
        <v>761</v>
      </c>
      <c r="BC22" s="41"/>
      <c r="BD22" s="42"/>
      <c r="BE22" s="392"/>
      <c r="BF22" s="391"/>
      <c r="BG22" s="124">
        <v>181</v>
      </c>
      <c r="BH22" s="42">
        <v>719</v>
      </c>
      <c r="BI22" s="41"/>
      <c r="BJ22" s="391"/>
      <c r="BK22" s="124"/>
      <c r="BL22" s="391"/>
      <c r="BM22" s="393">
        <f t="shared" si="9"/>
        <v>1152</v>
      </c>
      <c r="BN22" s="394">
        <f t="shared" si="9"/>
        <v>3215</v>
      </c>
      <c r="BO22" s="64"/>
      <c r="BP22" s="6"/>
      <c r="BQ22" s="56">
        <v>17</v>
      </c>
      <c r="BR22" s="57">
        <v>45</v>
      </c>
      <c r="BS22" s="41"/>
      <c r="BT22" s="390"/>
      <c r="BU22" s="55"/>
      <c r="BV22" s="380"/>
      <c r="BW22" s="187">
        <v>16</v>
      </c>
      <c r="BX22" s="67">
        <v>58</v>
      </c>
      <c r="BY22" s="41"/>
      <c r="BZ22" s="390"/>
      <c r="CA22" s="42"/>
      <c r="CB22" s="391"/>
      <c r="CC22" s="190">
        <v>56</v>
      </c>
      <c r="CD22" s="58">
        <v>128</v>
      </c>
      <c r="CE22" s="41"/>
      <c r="CF22" s="390"/>
      <c r="CG22" s="40"/>
      <c r="CH22" s="391"/>
      <c r="CI22" s="393">
        <f t="shared" si="12"/>
        <v>89</v>
      </c>
      <c r="CJ22" s="395">
        <f t="shared" si="12"/>
        <v>231</v>
      </c>
      <c r="CK22" s="64"/>
      <c r="CL22" s="60"/>
      <c r="CM22" s="396"/>
      <c r="CN22" s="60"/>
      <c r="CO22" s="41"/>
      <c r="CP22" s="391"/>
      <c r="CQ22" s="50"/>
      <c r="CR22" s="380"/>
      <c r="CS22" s="187"/>
      <c r="CT22" s="57"/>
    </row>
    <row r="23" spans="1:98" s="306" customFormat="1" ht="15.75" thickBot="1" x14ac:dyDescent="0.3">
      <c r="A23" s="290">
        <v>46072</v>
      </c>
      <c r="B23" s="467" t="s">
        <v>17</v>
      </c>
      <c r="C23" s="99">
        <v>90</v>
      </c>
      <c r="D23" s="74">
        <v>177</v>
      </c>
      <c r="E23" s="74"/>
      <c r="F23" s="292"/>
      <c r="G23" s="99"/>
      <c r="H23" s="293"/>
      <c r="I23" s="99">
        <v>22</v>
      </c>
      <c r="J23" s="74">
        <v>103</v>
      </c>
      <c r="K23" s="74"/>
      <c r="L23" s="292"/>
      <c r="M23" s="125"/>
      <c r="N23" s="294"/>
      <c r="O23" s="99">
        <v>118</v>
      </c>
      <c r="P23" s="78">
        <v>195</v>
      </c>
      <c r="Q23" s="77"/>
      <c r="R23" s="302"/>
      <c r="S23" s="307"/>
      <c r="T23" s="308"/>
      <c r="U23" s="211">
        <f t="shared" si="10"/>
        <v>230</v>
      </c>
      <c r="V23" s="212">
        <f t="shared" si="10"/>
        <v>475</v>
      </c>
      <c r="W23" s="301">
        <v>0</v>
      </c>
      <c r="X23" s="502"/>
      <c r="Y23" s="99">
        <v>111</v>
      </c>
      <c r="Z23" s="74">
        <v>238</v>
      </c>
      <c r="AA23" s="74"/>
      <c r="AB23" s="292"/>
      <c r="AC23" s="99"/>
      <c r="AD23" s="293"/>
      <c r="AE23" s="99">
        <v>288</v>
      </c>
      <c r="AF23" s="74">
        <v>1676</v>
      </c>
      <c r="AG23" s="74"/>
      <c r="AH23" s="75"/>
      <c r="AI23" s="301"/>
      <c r="AJ23" s="292"/>
      <c r="AK23" s="99">
        <v>520</v>
      </c>
      <c r="AL23" s="75">
        <v>1733</v>
      </c>
      <c r="AM23" s="74"/>
      <c r="AN23" s="292"/>
      <c r="AO23" s="99"/>
      <c r="AP23" s="293"/>
      <c r="AQ23" s="125">
        <f t="shared" si="11"/>
        <v>919</v>
      </c>
      <c r="AR23" s="210">
        <f t="shared" si="11"/>
        <v>3647</v>
      </c>
      <c r="AS23" s="72"/>
      <c r="AT23" s="300"/>
      <c r="AU23" s="507">
        <v>858</v>
      </c>
      <c r="AV23" s="507">
        <v>1735</v>
      </c>
      <c r="AW23" s="77"/>
      <c r="AX23" s="302"/>
      <c r="AY23" s="125"/>
      <c r="AZ23" s="302"/>
      <c r="BA23" s="125">
        <v>113</v>
      </c>
      <c r="BB23" s="77">
        <v>761</v>
      </c>
      <c r="BC23" s="77"/>
      <c r="BD23" s="78"/>
      <c r="BE23" s="303"/>
      <c r="BF23" s="302"/>
      <c r="BG23" s="125">
        <v>181</v>
      </c>
      <c r="BH23" s="78">
        <v>719</v>
      </c>
      <c r="BI23" s="77"/>
      <c r="BJ23" s="302"/>
      <c r="BK23" s="125"/>
      <c r="BL23" s="302"/>
      <c r="BM23" s="69">
        <f>AU23+AW23+AY23+BA23+BC23+BE23+BG23+BI23+BK23</f>
        <v>1152</v>
      </c>
      <c r="BN23" s="394">
        <f t="shared" si="9"/>
        <v>3215</v>
      </c>
      <c r="BO23" s="79"/>
      <c r="BP23" s="300"/>
      <c r="BQ23" s="80">
        <v>17</v>
      </c>
      <c r="BR23" s="81">
        <v>45</v>
      </c>
      <c r="BS23" s="77"/>
      <c r="BT23" s="210"/>
      <c r="BU23" s="100"/>
      <c r="BV23" s="292"/>
      <c r="BW23" s="188">
        <v>16</v>
      </c>
      <c r="BX23" s="101">
        <v>58</v>
      </c>
      <c r="BY23" s="77"/>
      <c r="BZ23" s="210"/>
      <c r="CA23" s="78"/>
      <c r="CB23" s="302"/>
      <c r="CC23" s="192">
        <v>38</v>
      </c>
      <c r="CD23" s="82">
        <v>92</v>
      </c>
      <c r="CE23" s="77"/>
      <c r="CF23" s="210"/>
      <c r="CG23" s="76"/>
      <c r="CH23" s="302"/>
      <c r="CI23" s="69">
        <f t="shared" si="12"/>
        <v>71</v>
      </c>
      <c r="CJ23" s="213">
        <f t="shared" si="12"/>
        <v>195</v>
      </c>
      <c r="CK23" s="83"/>
      <c r="CL23" s="304"/>
      <c r="CM23" s="379"/>
      <c r="CN23" s="304"/>
      <c r="CO23" s="77"/>
      <c r="CP23" s="302"/>
      <c r="CQ23" s="99"/>
      <c r="CR23" s="292"/>
      <c r="CS23" s="188">
        <v>0</v>
      </c>
      <c r="CT23" s="81">
        <v>0</v>
      </c>
    </row>
    <row r="24" spans="1:98" ht="15.75" thickBot="1" x14ac:dyDescent="0.3">
      <c r="A24" s="48">
        <v>46073</v>
      </c>
      <c r="B24" s="466" t="s">
        <v>18</v>
      </c>
      <c r="C24" s="236"/>
      <c r="D24" s="237"/>
      <c r="E24" s="237"/>
      <c r="F24" s="314"/>
      <c r="G24" s="236"/>
      <c r="H24" s="315"/>
      <c r="I24" s="236"/>
      <c r="J24" s="237"/>
      <c r="K24" s="237"/>
      <c r="L24" s="314"/>
      <c r="M24" s="243"/>
      <c r="N24" s="316"/>
      <c r="O24" s="236"/>
      <c r="P24" s="242"/>
      <c r="Q24" s="317"/>
      <c r="R24" s="318"/>
      <c r="S24" s="319"/>
      <c r="T24" s="320"/>
      <c r="U24" s="416" t="e">
        <f>C24+#REF!+G24+I24+K24+M24+O24+Q24+S24</f>
        <v>#REF!</v>
      </c>
      <c r="V24" s="417" t="e">
        <f>D24+#REF!+H24+J24+L24+N24+P24+R24+T24</f>
        <v>#REF!</v>
      </c>
      <c r="W24" s="497" t="e">
        <f t="shared" si="4"/>
        <v>#REF!</v>
      </c>
      <c r="X24" s="502"/>
      <c r="Y24" s="236"/>
      <c r="Z24" s="237"/>
      <c r="AA24" s="237"/>
      <c r="AB24" s="314"/>
      <c r="AC24" s="236"/>
      <c r="AD24" s="315"/>
      <c r="AE24" s="236"/>
      <c r="AF24" s="237"/>
      <c r="AG24" s="237"/>
      <c r="AH24" s="324"/>
      <c r="AI24" s="325"/>
      <c r="AJ24" s="314"/>
      <c r="AK24" s="236"/>
      <c r="AL24" s="324"/>
      <c r="AM24" s="237"/>
      <c r="AN24" s="314"/>
      <c r="AO24" s="236"/>
      <c r="AP24" s="315"/>
      <c r="AQ24" s="243">
        <f t="shared" si="11"/>
        <v>0</v>
      </c>
      <c r="AR24" s="326">
        <f t="shared" si="11"/>
        <v>0</v>
      </c>
      <c r="AS24" s="321"/>
      <c r="AT24" s="322"/>
      <c r="AU24" s="327">
        <v>848</v>
      </c>
      <c r="AV24" s="317">
        <v>1698</v>
      </c>
      <c r="AW24" s="317"/>
      <c r="AX24" s="318"/>
      <c r="AY24" s="243"/>
      <c r="AZ24" s="318"/>
      <c r="BA24" s="243"/>
      <c r="BB24" s="317"/>
      <c r="BC24" s="317"/>
      <c r="BD24" s="242"/>
      <c r="BE24" s="328"/>
      <c r="BF24" s="318"/>
      <c r="BG24" s="243"/>
      <c r="BH24" s="242"/>
      <c r="BI24" s="317"/>
      <c r="BJ24" s="318"/>
      <c r="BK24" s="243">
        <v>10</v>
      </c>
      <c r="BL24" s="318">
        <v>50</v>
      </c>
      <c r="BM24" s="329">
        <f>AU24+AW24+AY24+BA24+BC24+BE24+BG24+BI24+BK24</f>
        <v>858</v>
      </c>
      <c r="BN24" s="418">
        <f>AV25+AX24+AZ24+BB24+BD24+BF24+BH24+BJ24+BL24</f>
        <v>50</v>
      </c>
      <c r="BO24" s="321">
        <f t="shared" ref="BO24:BO33" si="13">SUM(AU24:BN24)</f>
        <v>3514</v>
      </c>
      <c r="BP24" s="322"/>
      <c r="BQ24" s="330">
        <v>17</v>
      </c>
      <c r="BR24" s="331">
        <v>45</v>
      </c>
      <c r="BS24" s="317"/>
      <c r="BT24" s="326"/>
      <c r="BU24" s="241"/>
      <c r="BV24" s="314"/>
      <c r="BW24" s="332">
        <v>16</v>
      </c>
      <c r="BX24" s="333">
        <v>58</v>
      </c>
      <c r="BY24" s="317"/>
      <c r="BZ24" s="326"/>
      <c r="CA24" s="242"/>
      <c r="CB24" s="318"/>
      <c r="CC24" s="334">
        <v>19</v>
      </c>
      <c r="CD24" s="335">
        <v>22</v>
      </c>
      <c r="CE24" s="317"/>
      <c r="CF24" s="326"/>
      <c r="CG24" s="327"/>
      <c r="CH24" s="318"/>
      <c r="CI24" s="329">
        <f t="shared" si="12"/>
        <v>52</v>
      </c>
      <c r="CJ24" s="336">
        <f t="shared" si="12"/>
        <v>125</v>
      </c>
      <c r="CK24" s="321"/>
      <c r="CL24" s="337"/>
      <c r="CM24" s="356"/>
      <c r="CN24" s="337"/>
      <c r="CO24" s="317"/>
      <c r="CP24" s="318"/>
      <c r="CQ24" s="236"/>
      <c r="CR24" s="314"/>
      <c r="CS24" s="332"/>
      <c r="CT24" s="333"/>
    </row>
    <row r="25" spans="1:98" s="119" customFormat="1" ht="15.75" thickBot="1" x14ac:dyDescent="0.3">
      <c r="A25" s="488">
        <v>46074</v>
      </c>
      <c r="B25" s="489" t="s">
        <v>19</v>
      </c>
      <c r="C25" s="138"/>
      <c r="D25" s="218"/>
      <c r="E25" s="120"/>
      <c r="F25" s="167"/>
      <c r="G25" s="138"/>
      <c r="H25" s="148"/>
      <c r="I25" s="138"/>
      <c r="J25" s="218"/>
      <c r="K25" s="120"/>
      <c r="L25" s="167"/>
      <c r="M25" s="162"/>
      <c r="N25" s="157"/>
      <c r="O25" s="162"/>
      <c r="P25" s="141"/>
      <c r="Q25" s="117"/>
      <c r="R25" s="170"/>
      <c r="S25" s="137"/>
      <c r="T25" s="174"/>
      <c r="U25" s="476">
        <f t="shared" si="10"/>
        <v>0</v>
      </c>
      <c r="V25" s="477">
        <f t="shared" si="10"/>
        <v>0</v>
      </c>
      <c r="W25" s="498">
        <f t="shared" si="4"/>
        <v>0</v>
      </c>
      <c r="X25" s="502"/>
      <c r="Y25" s="138"/>
      <c r="Z25" s="120"/>
      <c r="AA25" s="120"/>
      <c r="AB25" s="167"/>
      <c r="AC25" s="138"/>
      <c r="AD25" s="148"/>
      <c r="AE25" s="138"/>
      <c r="AF25" s="120"/>
      <c r="AG25" s="120"/>
      <c r="AH25" s="121"/>
      <c r="AI25" s="132"/>
      <c r="AJ25" s="167"/>
      <c r="AK25" s="138"/>
      <c r="AL25" s="121"/>
      <c r="AM25" s="120"/>
      <c r="AN25" s="167"/>
      <c r="AO25" s="138"/>
      <c r="AP25" s="148"/>
      <c r="AQ25" s="162">
        <f t="shared" si="11"/>
        <v>0</v>
      </c>
      <c r="AR25" s="127">
        <f t="shared" si="11"/>
        <v>0</v>
      </c>
      <c r="AS25" s="478"/>
      <c r="AT25" s="479"/>
      <c r="AU25" s="152"/>
      <c r="AV25" s="117"/>
      <c r="AW25" s="117"/>
      <c r="AX25" s="170"/>
      <c r="AY25" s="162"/>
      <c r="AZ25" s="170"/>
      <c r="BA25" s="162"/>
      <c r="BB25" s="117"/>
      <c r="BC25" s="117"/>
      <c r="BD25" s="141"/>
      <c r="BE25" s="179"/>
      <c r="BF25" s="170"/>
      <c r="BG25" s="162"/>
      <c r="BH25" s="141"/>
      <c r="BI25" s="117"/>
      <c r="BJ25" s="170"/>
      <c r="BK25" s="162"/>
      <c r="BL25" s="170"/>
      <c r="BM25" s="143">
        <f t="shared" si="9"/>
        <v>0</v>
      </c>
      <c r="BN25" s="481">
        <f t="shared" si="9"/>
        <v>0</v>
      </c>
      <c r="BO25" s="478">
        <f t="shared" si="13"/>
        <v>0</v>
      </c>
      <c r="BP25" s="479"/>
      <c r="BQ25" s="482">
        <v>17</v>
      </c>
      <c r="BR25" s="208">
        <v>45</v>
      </c>
      <c r="BS25" s="117"/>
      <c r="BT25" s="127"/>
      <c r="BU25" s="140"/>
      <c r="BV25" s="167"/>
      <c r="BW25" s="207">
        <v>16</v>
      </c>
      <c r="BX25" s="483">
        <v>58</v>
      </c>
      <c r="BY25" s="117"/>
      <c r="BZ25" s="127"/>
      <c r="CA25" s="141"/>
      <c r="CB25" s="170"/>
      <c r="CC25" s="484">
        <v>19</v>
      </c>
      <c r="CD25" s="485">
        <v>22</v>
      </c>
      <c r="CE25" s="117"/>
      <c r="CF25" s="127"/>
      <c r="CG25" s="152"/>
      <c r="CH25" s="170"/>
      <c r="CI25" s="143">
        <f t="shared" si="12"/>
        <v>52</v>
      </c>
      <c r="CJ25" s="114">
        <f t="shared" si="12"/>
        <v>125</v>
      </c>
      <c r="CK25" s="478"/>
      <c r="CL25" s="486"/>
      <c r="CM25" s="487"/>
      <c r="CN25" s="486"/>
      <c r="CO25" s="117"/>
      <c r="CP25" s="170"/>
      <c r="CQ25" s="138"/>
      <c r="CR25" s="167"/>
      <c r="CS25" s="207"/>
      <c r="CT25" s="483"/>
    </row>
    <row r="26" spans="1:98" s="119" customFormat="1" ht="15.75" thickBot="1" x14ac:dyDescent="0.3">
      <c r="A26" s="488">
        <v>46075</v>
      </c>
      <c r="B26" s="489" t="s">
        <v>20</v>
      </c>
      <c r="C26" s="140"/>
      <c r="D26" s="117"/>
      <c r="E26" s="138"/>
      <c r="F26" s="167"/>
      <c r="G26" s="138"/>
      <c r="H26" s="148"/>
      <c r="I26" s="140"/>
      <c r="J26" s="117"/>
      <c r="K26" s="138"/>
      <c r="L26" s="167"/>
      <c r="M26" s="162"/>
      <c r="N26" s="157"/>
      <c r="O26" s="138"/>
      <c r="P26" s="141"/>
      <c r="Q26" s="117"/>
      <c r="R26" s="170"/>
      <c r="S26" s="137"/>
      <c r="T26" s="174"/>
      <c r="U26" s="476">
        <f t="shared" si="10"/>
        <v>0</v>
      </c>
      <c r="V26" s="477">
        <f t="shared" si="10"/>
        <v>0</v>
      </c>
      <c r="W26" s="498">
        <f t="shared" si="4"/>
        <v>0</v>
      </c>
      <c r="X26" s="502"/>
      <c r="Y26" s="138"/>
      <c r="Z26" s="120"/>
      <c r="AA26" s="120"/>
      <c r="AB26" s="167"/>
      <c r="AC26" s="138"/>
      <c r="AD26" s="148"/>
      <c r="AE26" s="138"/>
      <c r="AF26" s="120"/>
      <c r="AG26" s="120"/>
      <c r="AH26" s="121"/>
      <c r="AI26" s="132"/>
      <c r="AJ26" s="167"/>
      <c r="AK26" s="138"/>
      <c r="AL26" s="121"/>
      <c r="AM26" s="120"/>
      <c r="AN26" s="167"/>
      <c r="AO26" s="138"/>
      <c r="AP26" s="148"/>
      <c r="AQ26" s="162">
        <f t="shared" si="11"/>
        <v>0</v>
      </c>
      <c r="AR26" s="127">
        <f t="shared" si="11"/>
        <v>0</v>
      </c>
      <c r="AS26" s="478"/>
      <c r="AT26" s="479"/>
      <c r="AU26" s="152"/>
      <c r="AV26" s="117"/>
      <c r="AW26" s="117"/>
      <c r="AX26" s="170"/>
      <c r="AY26" s="162"/>
      <c r="AZ26" s="170"/>
      <c r="BA26" s="162"/>
      <c r="BB26" s="117"/>
      <c r="BC26" s="117"/>
      <c r="BD26" s="141"/>
      <c r="BE26" s="179"/>
      <c r="BF26" s="170"/>
      <c r="BG26" s="162"/>
      <c r="BH26" s="141"/>
      <c r="BI26" s="117"/>
      <c r="BJ26" s="170"/>
      <c r="BK26" s="162"/>
      <c r="BL26" s="170"/>
      <c r="BM26" s="143">
        <f t="shared" si="9"/>
        <v>0</v>
      </c>
      <c r="BN26" s="481">
        <f t="shared" si="9"/>
        <v>0</v>
      </c>
      <c r="BO26" s="478">
        <f t="shared" si="13"/>
        <v>0</v>
      </c>
      <c r="BP26" s="479"/>
      <c r="BQ26" s="482">
        <v>17</v>
      </c>
      <c r="BR26" s="208">
        <v>45</v>
      </c>
      <c r="BS26" s="117"/>
      <c r="BT26" s="127"/>
      <c r="BU26" s="140"/>
      <c r="BV26" s="167"/>
      <c r="BW26" s="207">
        <v>16</v>
      </c>
      <c r="BX26" s="483">
        <v>58</v>
      </c>
      <c r="BY26" s="117"/>
      <c r="BZ26" s="127"/>
      <c r="CA26" s="141"/>
      <c r="CB26" s="170"/>
      <c r="CC26" s="484">
        <v>19</v>
      </c>
      <c r="CD26" s="485">
        <v>22</v>
      </c>
      <c r="CE26" s="117"/>
      <c r="CF26" s="127"/>
      <c r="CG26" s="152"/>
      <c r="CH26" s="170"/>
      <c r="CI26" s="143">
        <f t="shared" si="12"/>
        <v>52</v>
      </c>
      <c r="CJ26" s="114">
        <f t="shared" si="12"/>
        <v>125</v>
      </c>
      <c r="CK26" s="478"/>
      <c r="CL26" s="486"/>
      <c r="CM26" s="487"/>
      <c r="CN26" s="486"/>
      <c r="CO26" s="117"/>
      <c r="CP26" s="170"/>
      <c r="CQ26" s="138"/>
      <c r="CR26" s="167"/>
      <c r="CS26" s="207"/>
      <c r="CT26" s="483"/>
    </row>
    <row r="27" spans="1:98" ht="15.75" thickBot="1" x14ac:dyDescent="0.3">
      <c r="A27" s="48">
        <v>46076</v>
      </c>
      <c r="B27" s="466" t="s">
        <v>14</v>
      </c>
      <c r="C27" s="50"/>
      <c r="D27" s="51"/>
      <c r="E27" s="51"/>
      <c r="F27" s="380"/>
      <c r="G27" s="50"/>
      <c r="H27" s="381"/>
      <c r="I27" s="50"/>
      <c r="J27" s="51"/>
      <c r="K27" s="51"/>
      <c r="L27" s="380"/>
      <c r="M27" s="124"/>
      <c r="N27" s="382"/>
      <c r="O27" s="50"/>
      <c r="P27" s="42"/>
      <c r="Q27" s="41"/>
      <c r="R27" s="391"/>
      <c r="S27" s="397"/>
      <c r="T27" s="398"/>
      <c r="U27" s="416">
        <f t="shared" si="10"/>
        <v>0</v>
      </c>
      <c r="V27" s="417">
        <f t="shared" si="10"/>
        <v>0</v>
      </c>
      <c r="W27" s="497">
        <f t="shared" si="4"/>
        <v>0</v>
      </c>
      <c r="X27" s="502"/>
      <c r="Y27" s="236"/>
      <c r="Z27" s="237"/>
      <c r="AA27" s="237">
        <v>59</v>
      </c>
      <c r="AB27" s="314">
        <v>137</v>
      </c>
      <c r="AC27" s="236"/>
      <c r="AD27" s="315"/>
      <c r="AE27" s="236"/>
      <c r="AF27" s="237"/>
      <c r="AG27" s="237">
        <v>39</v>
      </c>
      <c r="AH27" s="324">
        <v>211</v>
      </c>
      <c r="AI27" s="325"/>
      <c r="AJ27" s="314"/>
      <c r="AK27" s="236"/>
      <c r="AL27" s="324"/>
      <c r="AM27" s="237">
        <v>268</v>
      </c>
      <c r="AN27" s="314">
        <v>595</v>
      </c>
      <c r="AO27" s="236"/>
      <c r="AP27" s="315"/>
      <c r="AQ27" s="243">
        <f t="shared" si="11"/>
        <v>366</v>
      </c>
      <c r="AR27" s="326">
        <f t="shared" si="11"/>
        <v>943</v>
      </c>
      <c r="AS27" s="321"/>
      <c r="AT27" s="322"/>
      <c r="AU27" s="327"/>
      <c r="AV27" s="317"/>
      <c r="AW27" s="317"/>
      <c r="AX27" s="318"/>
      <c r="AY27" s="243"/>
      <c r="AZ27" s="318"/>
      <c r="BA27" s="243"/>
      <c r="BB27" s="317"/>
      <c r="BC27" s="317"/>
      <c r="BD27" s="242"/>
      <c r="BE27" s="328"/>
      <c r="BF27" s="318"/>
      <c r="BG27" s="243"/>
      <c r="BH27" s="242"/>
      <c r="BI27" s="317"/>
      <c r="BJ27" s="318"/>
      <c r="BK27" s="243"/>
      <c r="BL27" s="318"/>
      <c r="BM27" s="329">
        <f t="shared" si="9"/>
        <v>0</v>
      </c>
      <c r="BN27" s="418">
        <f t="shared" si="9"/>
        <v>0</v>
      </c>
      <c r="BO27" s="321">
        <f t="shared" si="13"/>
        <v>0</v>
      </c>
      <c r="BP27" s="322"/>
      <c r="BQ27" s="330">
        <v>17</v>
      </c>
      <c r="BR27" s="331">
        <v>45</v>
      </c>
      <c r="BS27" s="317">
        <v>8</v>
      </c>
      <c r="BT27" s="326">
        <v>15</v>
      </c>
      <c r="BU27" s="241"/>
      <c r="BV27" s="314"/>
      <c r="BW27" s="332">
        <v>16</v>
      </c>
      <c r="BX27" s="333">
        <v>58</v>
      </c>
      <c r="BY27" s="317"/>
      <c r="BZ27" s="326"/>
      <c r="CA27" s="242"/>
      <c r="CB27" s="318"/>
      <c r="CC27" s="334">
        <v>19</v>
      </c>
      <c r="CD27" s="335">
        <v>22</v>
      </c>
      <c r="CE27" s="317"/>
      <c r="CF27" s="326"/>
      <c r="CG27" s="327"/>
      <c r="CH27" s="318"/>
      <c r="CI27" s="329">
        <f t="shared" si="12"/>
        <v>60</v>
      </c>
      <c r="CJ27" s="336">
        <f t="shared" si="12"/>
        <v>140</v>
      </c>
      <c r="CK27" s="321"/>
      <c r="CL27" s="337"/>
      <c r="CM27" s="356"/>
      <c r="CN27" s="337"/>
      <c r="CO27" s="317"/>
      <c r="CP27" s="318"/>
      <c r="CQ27" s="236"/>
      <c r="CR27" s="314"/>
      <c r="CS27" s="332"/>
      <c r="CT27" s="333"/>
    </row>
    <row r="28" spans="1:98" s="464" customFormat="1" ht="15.75" thickBot="1" x14ac:dyDescent="0.3">
      <c r="A28" s="48">
        <v>46077</v>
      </c>
      <c r="B28" s="466" t="s">
        <v>15</v>
      </c>
      <c r="C28" s="50">
        <v>108</v>
      </c>
      <c r="D28" s="51">
        <v>232</v>
      </c>
      <c r="E28" s="51"/>
      <c r="F28" s="380"/>
      <c r="G28" s="50"/>
      <c r="H28" s="381"/>
      <c r="I28" s="50">
        <v>22</v>
      </c>
      <c r="J28" s="51">
        <v>103</v>
      </c>
      <c r="K28" s="51"/>
      <c r="L28" s="380"/>
      <c r="M28" s="124"/>
      <c r="N28" s="382"/>
      <c r="O28" s="50">
        <v>75</v>
      </c>
      <c r="P28" s="42"/>
      <c r="Q28" s="41"/>
      <c r="R28" s="391"/>
      <c r="S28" s="397"/>
      <c r="T28" s="398"/>
      <c r="U28" s="456">
        <f t="shared" si="10"/>
        <v>205</v>
      </c>
      <c r="V28" s="457">
        <f t="shared" si="10"/>
        <v>335</v>
      </c>
      <c r="W28" s="499"/>
      <c r="X28" s="502"/>
      <c r="Y28" s="420"/>
      <c r="Z28" s="421"/>
      <c r="AA28" s="421"/>
      <c r="AB28" s="422"/>
      <c r="AC28" s="420"/>
      <c r="AD28" s="423"/>
      <c r="AE28" s="420">
        <v>241</v>
      </c>
      <c r="AF28" s="421">
        <v>1343</v>
      </c>
      <c r="AG28" s="421"/>
      <c r="AH28" s="434"/>
      <c r="AI28" s="435"/>
      <c r="AJ28" s="422"/>
      <c r="AK28" s="420">
        <v>719</v>
      </c>
      <c r="AL28" s="434">
        <v>2205</v>
      </c>
      <c r="AM28" s="421"/>
      <c r="AN28" s="422"/>
      <c r="AO28" s="420"/>
      <c r="AP28" s="423"/>
      <c r="AQ28" s="436">
        <f t="shared" si="11"/>
        <v>960</v>
      </c>
      <c r="AR28" s="437">
        <f t="shared" si="11"/>
        <v>3548</v>
      </c>
      <c r="AS28" s="431"/>
      <c r="AT28" s="432"/>
      <c r="AU28" s="438"/>
      <c r="AV28" s="439"/>
      <c r="AW28" s="439">
        <v>8</v>
      </c>
      <c r="AX28" s="440">
        <v>14</v>
      </c>
      <c r="AY28" s="436"/>
      <c r="AZ28" s="440"/>
      <c r="BA28" s="436"/>
      <c r="BB28" s="439"/>
      <c r="BC28" s="439">
        <v>14</v>
      </c>
      <c r="BD28" s="441">
        <v>172</v>
      </c>
      <c r="BE28" s="442"/>
      <c r="BF28" s="440"/>
      <c r="BG28" s="436"/>
      <c r="BH28" s="441"/>
      <c r="BI28" s="439">
        <v>31</v>
      </c>
      <c r="BJ28" s="440">
        <v>50</v>
      </c>
      <c r="BK28" s="436"/>
      <c r="BL28" s="440"/>
      <c r="BM28" s="458">
        <f t="shared" si="9"/>
        <v>53</v>
      </c>
      <c r="BN28" s="459">
        <f t="shared" si="9"/>
        <v>236</v>
      </c>
      <c r="BO28" s="431">
        <f t="shared" si="13"/>
        <v>578</v>
      </c>
      <c r="BP28" s="432"/>
      <c r="BQ28" s="443">
        <v>25</v>
      </c>
      <c r="BR28" s="444">
        <v>60</v>
      </c>
      <c r="BS28" s="439"/>
      <c r="BT28" s="437"/>
      <c r="BU28" s="426"/>
      <c r="BV28" s="422"/>
      <c r="BW28" s="445">
        <v>16</v>
      </c>
      <c r="BX28" s="460">
        <v>58</v>
      </c>
      <c r="BY28" s="439"/>
      <c r="BZ28" s="437"/>
      <c r="CA28" s="441"/>
      <c r="CB28" s="440"/>
      <c r="CC28" s="461">
        <v>0</v>
      </c>
      <c r="CD28" s="462">
        <v>0</v>
      </c>
      <c r="CE28" s="439"/>
      <c r="CF28" s="437"/>
      <c r="CG28" s="438"/>
      <c r="CH28" s="440"/>
      <c r="CI28" s="458">
        <f t="shared" si="12"/>
        <v>41</v>
      </c>
      <c r="CJ28" s="463">
        <f t="shared" si="12"/>
        <v>118</v>
      </c>
      <c r="CK28" s="431"/>
      <c r="CL28" s="446"/>
      <c r="CM28" s="447"/>
      <c r="CN28" s="446"/>
      <c r="CO28" s="439">
        <v>83</v>
      </c>
      <c r="CP28" s="440">
        <v>197</v>
      </c>
      <c r="CQ28" s="420">
        <v>2</v>
      </c>
      <c r="CR28" s="422">
        <v>3</v>
      </c>
      <c r="CS28" s="445">
        <v>85</v>
      </c>
      <c r="CT28" s="460">
        <v>200</v>
      </c>
    </row>
    <row r="29" spans="1:98" s="464" customFormat="1" ht="15.75" thickBot="1" x14ac:dyDescent="0.3">
      <c r="A29" s="48">
        <v>46078</v>
      </c>
      <c r="B29" s="466" t="s">
        <v>16</v>
      </c>
      <c r="C29" s="50"/>
      <c r="D29" s="51"/>
      <c r="E29" s="51"/>
      <c r="F29" s="380"/>
      <c r="G29" s="50"/>
      <c r="H29" s="381"/>
      <c r="I29" s="50"/>
      <c r="J29" s="51"/>
      <c r="K29" s="51"/>
      <c r="L29" s="380"/>
      <c r="M29" s="124"/>
      <c r="N29" s="382"/>
      <c r="O29" s="50"/>
      <c r="P29" s="55"/>
      <c r="Q29" s="41"/>
      <c r="R29" s="391"/>
      <c r="S29" s="397"/>
      <c r="T29" s="398"/>
      <c r="U29" s="456">
        <f t="shared" si="10"/>
        <v>0</v>
      </c>
      <c r="V29" s="457">
        <f t="shared" si="10"/>
        <v>0</v>
      </c>
      <c r="W29" s="435"/>
      <c r="X29" s="502"/>
      <c r="Y29" s="420"/>
      <c r="Z29" s="421"/>
      <c r="AA29" s="421"/>
      <c r="AB29" s="422"/>
      <c r="AC29" s="420"/>
      <c r="AD29" s="423"/>
      <c r="AE29" s="420"/>
      <c r="AF29" s="421"/>
      <c r="AG29" s="421"/>
      <c r="AH29" s="434"/>
      <c r="AI29" s="435"/>
      <c r="AJ29" s="422"/>
      <c r="AK29" s="420"/>
      <c r="AL29" s="434"/>
      <c r="AM29" s="421"/>
      <c r="AN29" s="422"/>
      <c r="AO29" s="420"/>
      <c r="AP29" s="423"/>
      <c r="AQ29" s="436">
        <f t="shared" si="11"/>
        <v>0</v>
      </c>
      <c r="AR29" s="437">
        <f t="shared" si="11"/>
        <v>0</v>
      </c>
      <c r="AS29" s="449"/>
      <c r="AT29" s="432"/>
      <c r="AU29" s="438"/>
      <c r="AV29" s="439"/>
      <c r="AW29" s="439"/>
      <c r="AX29" s="440"/>
      <c r="AY29" s="436"/>
      <c r="AZ29" s="440"/>
      <c r="BA29" s="436">
        <v>127</v>
      </c>
      <c r="BB29" s="439">
        <v>933</v>
      </c>
      <c r="BC29" s="439"/>
      <c r="BD29" s="441"/>
      <c r="BE29" s="442">
        <v>1</v>
      </c>
      <c r="BF29" s="440">
        <v>3</v>
      </c>
      <c r="BG29" s="436">
        <v>212</v>
      </c>
      <c r="BH29" s="441">
        <v>769</v>
      </c>
      <c r="BI29" s="439"/>
      <c r="BJ29" s="440"/>
      <c r="BK29" s="436"/>
      <c r="BL29" s="440"/>
      <c r="BM29" s="458">
        <f t="shared" si="9"/>
        <v>340</v>
      </c>
      <c r="BN29" s="459">
        <f t="shared" si="9"/>
        <v>1705</v>
      </c>
      <c r="BO29" s="431">
        <f t="shared" si="13"/>
        <v>4090</v>
      </c>
      <c r="BP29" s="432"/>
      <c r="BQ29" s="443">
        <v>6</v>
      </c>
      <c r="BR29" s="444">
        <v>12</v>
      </c>
      <c r="BS29" s="439"/>
      <c r="BT29" s="437"/>
      <c r="BU29" s="426"/>
      <c r="BV29" s="422"/>
      <c r="BW29" s="445">
        <v>16</v>
      </c>
      <c r="BX29" s="460">
        <v>58</v>
      </c>
      <c r="BY29" s="439"/>
      <c r="BZ29" s="437"/>
      <c r="CA29" s="441"/>
      <c r="CB29" s="440"/>
      <c r="CC29" s="461">
        <v>0</v>
      </c>
      <c r="CD29" s="462">
        <v>0</v>
      </c>
      <c r="CE29" s="439"/>
      <c r="CF29" s="437"/>
      <c r="CG29" s="438"/>
      <c r="CH29" s="440"/>
      <c r="CI29" s="458">
        <f t="shared" si="12"/>
        <v>22</v>
      </c>
      <c r="CJ29" s="463">
        <f t="shared" si="12"/>
        <v>70</v>
      </c>
      <c r="CK29" s="450"/>
      <c r="CL29" s="446"/>
      <c r="CM29" s="447"/>
      <c r="CN29" s="446"/>
      <c r="CO29" s="439"/>
      <c r="CP29" s="440"/>
      <c r="CQ29" s="420"/>
      <c r="CR29" s="422"/>
      <c r="CS29" s="445"/>
      <c r="CT29" s="460"/>
    </row>
    <row r="30" spans="1:98" s="304" customFormat="1" ht="15.75" thickBot="1" x14ac:dyDescent="0.3">
      <c r="A30" s="290">
        <v>46079</v>
      </c>
      <c r="B30" s="366" t="s">
        <v>17</v>
      </c>
      <c r="C30" s="99">
        <v>108</v>
      </c>
      <c r="D30" s="74">
        <v>232</v>
      </c>
      <c r="E30" s="74"/>
      <c r="F30" s="292"/>
      <c r="G30" s="99"/>
      <c r="H30" s="293"/>
      <c r="I30" s="99">
        <v>22</v>
      </c>
      <c r="J30" s="74">
        <v>103</v>
      </c>
      <c r="K30" s="74"/>
      <c r="L30" s="292"/>
      <c r="M30" s="125"/>
      <c r="N30" s="294"/>
      <c r="O30" s="99">
        <v>75</v>
      </c>
      <c r="P30" s="78">
        <v>116</v>
      </c>
      <c r="Q30" s="77"/>
      <c r="R30" s="302"/>
      <c r="S30" s="307"/>
      <c r="T30" s="308"/>
      <c r="U30" s="468">
        <f t="shared" si="10"/>
        <v>205</v>
      </c>
      <c r="V30" s="469">
        <f t="shared" si="10"/>
        <v>451</v>
      </c>
      <c r="W30" s="301"/>
      <c r="X30" s="502"/>
      <c r="Y30" s="99">
        <v>29</v>
      </c>
      <c r="Z30" s="74">
        <v>85</v>
      </c>
      <c r="AA30" s="74"/>
      <c r="AB30" s="292"/>
      <c r="AC30" s="99"/>
      <c r="AD30" s="293"/>
      <c r="AE30" s="99">
        <v>241</v>
      </c>
      <c r="AF30" s="74">
        <v>1343</v>
      </c>
      <c r="AG30" s="74"/>
      <c r="AH30" s="75"/>
      <c r="AI30" s="301"/>
      <c r="AJ30" s="292"/>
      <c r="AK30" s="99">
        <v>616</v>
      </c>
      <c r="AL30" s="75">
        <v>1881</v>
      </c>
      <c r="AM30" s="74"/>
      <c r="AN30" s="292"/>
      <c r="AO30" s="99"/>
      <c r="AP30" s="293"/>
      <c r="AQ30" s="125">
        <f t="shared" si="11"/>
        <v>886</v>
      </c>
      <c r="AR30" s="210">
        <f t="shared" si="11"/>
        <v>3309</v>
      </c>
      <c r="AS30" s="72"/>
      <c r="AT30" s="300"/>
      <c r="AU30" s="76">
        <v>794</v>
      </c>
      <c r="AV30" s="77">
        <v>1574</v>
      </c>
      <c r="AW30" s="77"/>
      <c r="AX30" s="302"/>
      <c r="AY30" s="125"/>
      <c r="AZ30" s="302"/>
      <c r="BA30" s="125">
        <v>127</v>
      </c>
      <c r="BB30" s="77">
        <v>933</v>
      </c>
      <c r="BC30" s="77"/>
      <c r="BD30" s="78"/>
      <c r="BE30" s="303"/>
      <c r="BF30" s="302"/>
      <c r="BG30" s="125">
        <v>212</v>
      </c>
      <c r="BH30" s="78">
        <v>769</v>
      </c>
      <c r="BI30" s="77"/>
      <c r="BJ30" s="302"/>
      <c r="BK30" s="125"/>
      <c r="BL30" s="302"/>
      <c r="BM30" s="470">
        <f t="shared" si="9"/>
        <v>1133</v>
      </c>
      <c r="BN30" s="471">
        <f t="shared" si="9"/>
        <v>3276</v>
      </c>
      <c r="BO30" s="79">
        <f t="shared" si="13"/>
        <v>8818</v>
      </c>
      <c r="BP30" s="300"/>
      <c r="BQ30" s="80">
        <v>0</v>
      </c>
      <c r="BR30" s="81">
        <v>0</v>
      </c>
      <c r="BS30" s="77"/>
      <c r="BT30" s="210"/>
      <c r="BU30" s="100"/>
      <c r="BV30" s="292"/>
      <c r="BW30" s="188">
        <v>3</v>
      </c>
      <c r="BX30" s="101">
        <v>17</v>
      </c>
      <c r="BY30" s="77"/>
      <c r="BZ30" s="210"/>
      <c r="CA30" s="78"/>
      <c r="CB30" s="302"/>
      <c r="CC30" s="192">
        <v>0</v>
      </c>
      <c r="CD30" s="82">
        <v>0</v>
      </c>
      <c r="CE30" s="77"/>
      <c r="CF30" s="210"/>
      <c r="CG30" s="76"/>
      <c r="CH30" s="302"/>
      <c r="CI30" s="470">
        <f t="shared" si="12"/>
        <v>3</v>
      </c>
      <c r="CJ30" s="472">
        <f t="shared" si="12"/>
        <v>17</v>
      </c>
      <c r="CK30" s="83"/>
      <c r="CM30" s="473"/>
      <c r="CO30" s="77"/>
      <c r="CP30" s="302"/>
      <c r="CQ30" s="99"/>
      <c r="CR30" s="292"/>
      <c r="CS30" s="188">
        <v>68</v>
      </c>
      <c r="CT30" s="101">
        <v>169</v>
      </c>
    </row>
    <row r="31" spans="1:98" ht="15.75" thickBot="1" x14ac:dyDescent="0.3">
      <c r="A31" s="48">
        <v>46080</v>
      </c>
      <c r="B31" s="466" t="s">
        <v>18</v>
      </c>
      <c r="C31" s="236"/>
      <c r="D31" s="237"/>
      <c r="E31" s="310">
        <v>24</v>
      </c>
      <c r="F31" s="310">
        <v>48</v>
      </c>
      <c r="G31" s="317"/>
      <c r="H31" s="315"/>
      <c r="I31" s="236"/>
      <c r="J31" s="237"/>
      <c r="K31" s="237">
        <v>13</v>
      </c>
      <c r="L31" s="314">
        <v>46</v>
      </c>
      <c r="M31" s="243"/>
      <c r="N31" s="316"/>
      <c r="O31" s="236"/>
      <c r="P31" s="242"/>
      <c r="Q31" s="317"/>
      <c r="R31" s="318"/>
      <c r="S31" s="319"/>
      <c r="T31" s="320"/>
      <c r="U31" s="416">
        <f>C31+E24+G31+I31+K31+M31+O31+Q31+S31</f>
        <v>13</v>
      </c>
      <c r="V31" s="417">
        <f>D31+F24+H31+J31+L31+N31+P31+R31+T31</f>
        <v>46</v>
      </c>
      <c r="W31" s="497">
        <f t="shared" si="4"/>
        <v>59</v>
      </c>
      <c r="X31" s="502"/>
      <c r="Y31" s="236"/>
      <c r="Z31" s="237"/>
      <c r="AA31" s="237"/>
      <c r="AB31" s="314"/>
      <c r="AC31" s="236"/>
      <c r="AD31" s="315"/>
      <c r="AE31" s="236"/>
      <c r="AF31" s="237"/>
      <c r="AG31" s="237"/>
      <c r="AH31" s="324"/>
      <c r="AI31" s="325"/>
      <c r="AJ31" s="314"/>
      <c r="AK31" s="236"/>
      <c r="AL31" s="324"/>
      <c r="AM31" s="237"/>
      <c r="AN31" s="314"/>
      <c r="AO31" s="236"/>
      <c r="AP31" s="315"/>
      <c r="AQ31" s="243">
        <f t="shared" si="11"/>
        <v>0</v>
      </c>
      <c r="AR31" s="326">
        <f t="shared" si="11"/>
        <v>0</v>
      </c>
      <c r="AS31" s="321"/>
      <c r="AT31" s="322"/>
      <c r="AU31" s="327">
        <v>791</v>
      </c>
      <c r="AV31" s="317">
        <v>1570</v>
      </c>
      <c r="AW31" s="317"/>
      <c r="AX31" s="318"/>
      <c r="AY31" s="243">
        <v>1</v>
      </c>
      <c r="AZ31" s="318">
        <v>1</v>
      </c>
      <c r="BA31" s="243">
        <v>127</v>
      </c>
      <c r="BB31" s="317">
        <v>933</v>
      </c>
      <c r="BC31" s="317"/>
      <c r="BD31" s="242"/>
      <c r="BE31" s="328">
        <v>1</v>
      </c>
      <c r="BF31" s="318">
        <v>2</v>
      </c>
      <c r="BG31" s="243">
        <v>212</v>
      </c>
      <c r="BH31" s="242">
        <v>769</v>
      </c>
      <c r="BI31" s="317"/>
      <c r="BJ31" s="318"/>
      <c r="BK31" s="243">
        <v>2</v>
      </c>
      <c r="BL31" s="318">
        <v>6</v>
      </c>
      <c r="BM31" s="329">
        <f t="shared" si="9"/>
        <v>1134</v>
      </c>
      <c r="BN31" s="418">
        <f t="shared" si="9"/>
        <v>3281</v>
      </c>
      <c r="BO31" s="321">
        <f t="shared" si="13"/>
        <v>8830</v>
      </c>
      <c r="BP31" s="322"/>
      <c r="BQ31" s="330">
        <v>0</v>
      </c>
      <c r="BR31" s="331">
        <v>0</v>
      </c>
      <c r="BS31" s="317"/>
      <c r="BT31" s="326"/>
      <c r="BU31" s="241"/>
      <c r="BV31" s="314"/>
      <c r="BW31" s="332">
        <v>0</v>
      </c>
      <c r="BX31" s="333">
        <v>0</v>
      </c>
      <c r="BY31" s="317"/>
      <c r="BZ31" s="326"/>
      <c r="CA31" s="242"/>
      <c r="CB31" s="318"/>
      <c r="CC31" s="334">
        <v>0</v>
      </c>
      <c r="CD31" s="335">
        <v>0</v>
      </c>
      <c r="CE31" s="317"/>
      <c r="CF31" s="326"/>
      <c r="CG31" s="327"/>
      <c r="CH31" s="318"/>
      <c r="CI31" s="329">
        <f t="shared" si="12"/>
        <v>0</v>
      </c>
      <c r="CJ31" s="336">
        <f t="shared" si="12"/>
        <v>0</v>
      </c>
      <c r="CK31" s="321">
        <f t="shared" ref="CK31:CK33" si="14">SUM(BQ31:CJ31)</f>
        <v>0</v>
      </c>
      <c r="CL31" s="337"/>
      <c r="CM31" s="356"/>
      <c r="CN31" s="337"/>
      <c r="CO31" s="317"/>
      <c r="CP31" s="318"/>
      <c r="CQ31" s="236"/>
      <c r="CR31" s="314"/>
      <c r="CS31" s="332"/>
      <c r="CT31" s="333"/>
    </row>
    <row r="32" spans="1:98" s="119" customFormat="1" ht="15.75" thickBot="1" x14ac:dyDescent="0.3">
      <c r="A32" s="474">
        <v>46081</v>
      </c>
      <c r="B32" s="475" t="s">
        <v>19</v>
      </c>
      <c r="C32" s="138"/>
      <c r="D32" s="120"/>
      <c r="E32" s="120"/>
      <c r="F32" s="167"/>
      <c r="G32" s="138"/>
      <c r="H32" s="148"/>
      <c r="I32" s="138"/>
      <c r="J32" s="120"/>
      <c r="K32" s="120"/>
      <c r="L32" s="167"/>
      <c r="M32" s="162"/>
      <c r="N32" s="157"/>
      <c r="O32" s="138"/>
      <c r="P32" s="141"/>
      <c r="Q32" s="117"/>
      <c r="R32" s="170"/>
      <c r="S32" s="137"/>
      <c r="T32" s="174"/>
      <c r="U32" s="476">
        <f t="shared" si="10"/>
        <v>0</v>
      </c>
      <c r="V32" s="477">
        <f t="shared" si="10"/>
        <v>0</v>
      </c>
      <c r="W32" s="498">
        <f t="shared" si="4"/>
        <v>0</v>
      </c>
      <c r="X32" s="502"/>
      <c r="Y32" s="138"/>
      <c r="Z32" s="120"/>
      <c r="AA32" s="120"/>
      <c r="AB32" s="167"/>
      <c r="AC32" s="138"/>
      <c r="AD32" s="148"/>
      <c r="AE32" s="138"/>
      <c r="AF32" s="120"/>
      <c r="AG32" s="120"/>
      <c r="AH32" s="121"/>
      <c r="AI32" s="132"/>
      <c r="AJ32" s="167"/>
      <c r="AK32" s="138"/>
      <c r="AL32" s="121"/>
      <c r="AM32" s="120"/>
      <c r="AN32" s="167"/>
      <c r="AO32" s="138"/>
      <c r="AP32" s="148"/>
      <c r="AQ32" s="162">
        <f t="shared" si="11"/>
        <v>0</v>
      </c>
      <c r="AR32" s="127">
        <f t="shared" si="11"/>
        <v>0</v>
      </c>
      <c r="AS32" s="478"/>
      <c r="AT32" s="479"/>
      <c r="AU32" s="152"/>
      <c r="AV32" s="117"/>
      <c r="AW32" s="117"/>
      <c r="AX32" s="170"/>
      <c r="AY32" s="162"/>
      <c r="AZ32" s="170"/>
      <c r="BA32" s="162"/>
      <c r="BB32" s="117"/>
      <c r="BC32" s="117"/>
      <c r="BD32" s="141"/>
      <c r="BE32" s="179"/>
      <c r="BF32" s="170"/>
      <c r="BG32" s="162"/>
      <c r="BH32" s="141"/>
      <c r="BI32" s="117"/>
      <c r="BJ32" s="170"/>
      <c r="BK32" s="162"/>
      <c r="BL32" s="170"/>
      <c r="BM32" s="143">
        <f t="shared" si="9"/>
        <v>0</v>
      </c>
      <c r="BN32" s="481">
        <f t="shared" si="9"/>
        <v>0</v>
      </c>
      <c r="BO32" s="478">
        <f t="shared" si="13"/>
        <v>0</v>
      </c>
      <c r="BP32" s="479"/>
      <c r="BQ32" s="482">
        <v>0</v>
      </c>
      <c r="BR32" s="208">
        <v>0</v>
      </c>
      <c r="BS32" s="117"/>
      <c r="BT32" s="127"/>
      <c r="BU32" s="140"/>
      <c r="BV32" s="167"/>
      <c r="BW32" s="207">
        <v>0</v>
      </c>
      <c r="BX32" s="483">
        <v>0</v>
      </c>
      <c r="BY32" s="117"/>
      <c r="BZ32" s="127"/>
      <c r="CA32" s="141"/>
      <c r="CB32" s="170"/>
      <c r="CC32" s="484">
        <v>0</v>
      </c>
      <c r="CD32" s="485">
        <v>0</v>
      </c>
      <c r="CE32" s="117"/>
      <c r="CF32" s="127"/>
      <c r="CG32" s="152"/>
      <c r="CH32" s="170"/>
      <c r="CI32" s="143">
        <f t="shared" si="12"/>
        <v>0</v>
      </c>
      <c r="CJ32" s="114">
        <f t="shared" si="12"/>
        <v>0</v>
      </c>
      <c r="CK32" s="478">
        <f t="shared" si="14"/>
        <v>0</v>
      </c>
      <c r="CL32" s="486"/>
      <c r="CM32" s="487"/>
      <c r="CN32" s="486"/>
      <c r="CO32" s="117"/>
      <c r="CP32" s="170"/>
      <c r="CQ32" s="138"/>
      <c r="CR32" s="167"/>
      <c r="CS32" s="207"/>
      <c r="CT32" s="483"/>
    </row>
    <row r="33" spans="1:98" ht="15.75" thickBot="1" x14ac:dyDescent="0.3">
      <c r="A33" s="368" t="s">
        <v>21</v>
      </c>
      <c r="B33" s="346"/>
      <c r="C33" s="329"/>
      <c r="D33" s="347"/>
      <c r="E33" s="347"/>
      <c r="F33" s="348"/>
      <c r="G33" s="329"/>
      <c r="H33" s="349"/>
      <c r="I33" s="329"/>
      <c r="J33" s="347"/>
      <c r="K33" s="347"/>
      <c r="L33" s="348"/>
      <c r="M33" s="329"/>
      <c r="N33" s="349"/>
      <c r="O33" s="329"/>
      <c r="P33" s="340"/>
      <c r="Q33" s="340"/>
      <c r="R33" s="340"/>
      <c r="S33" s="340"/>
      <c r="T33" s="340"/>
      <c r="U33" s="388"/>
      <c r="V33" s="31"/>
      <c r="W33" s="355">
        <f t="shared" si="4"/>
        <v>0</v>
      </c>
      <c r="X33" s="503"/>
      <c r="Y33" s="329"/>
      <c r="Z33" s="347"/>
      <c r="AA33" s="347"/>
      <c r="AB33" s="348"/>
      <c r="AC33" s="329"/>
      <c r="AD33" s="349"/>
      <c r="AE33" s="329"/>
      <c r="AF33" s="347"/>
      <c r="AG33" s="347"/>
      <c r="AH33" s="336"/>
      <c r="AI33" s="355"/>
      <c r="AJ33" s="348"/>
      <c r="AK33" s="329"/>
      <c r="AL33" s="336"/>
      <c r="AM33" s="347"/>
      <c r="AN33" s="348"/>
      <c r="AO33" s="243"/>
      <c r="AP33" s="318"/>
      <c r="AQ33" s="124"/>
      <c r="AR33" s="390"/>
      <c r="AS33" s="356"/>
      <c r="AT33" s="353"/>
      <c r="AU33" s="354"/>
      <c r="AV33" s="347"/>
      <c r="AW33" s="347"/>
      <c r="AX33" s="348"/>
      <c r="AY33" s="329"/>
      <c r="AZ33" s="349"/>
      <c r="BA33" s="329"/>
      <c r="BB33" s="347"/>
      <c r="BC33" s="347"/>
      <c r="BD33" s="336"/>
      <c r="BE33" s="355"/>
      <c r="BF33" s="348"/>
      <c r="BG33" s="329"/>
      <c r="BH33" s="336"/>
      <c r="BI33" s="347"/>
      <c r="BJ33" s="348"/>
      <c r="BK33" s="354"/>
      <c r="BL33" s="347"/>
      <c r="BM33" s="28"/>
      <c r="BN33" s="44"/>
      <c r="BO33" s="356">
        <f t="shared" si="13"/>
        <v>0</v>
      </c>
      <c r="BP33" s="353"/>
      <c r="BQ33" s="330">
        <v>0</v>
      </c>
      <c r="BR33" s="331">
        <v>0</v>
      </c>
      <c r="BS33" s="317"/>
      <c r="BT33" s="326"/>
      <c r="BU33" s="317"/>
      <c r="BV33" s="318"/>
      <c r="BW33" s="329">
        <v>0</v>
      </c>
      <c r="BX33" s="347">
        <v>0</v>
      </c>
      <c r="BY33" s="317"/>
      <c r="BZ33" s="326"/>
      <c r="CA33" s="317"/>
      <c r="CB33" s="318"/>
      <c r="CC33" s="329">
        <v>0</v>
      </c>
      <c r="CD33" s="336">
        <v>0</v>
      </c>
      <c r="CE33" s="317"/>
      <c r="CF33" s="326"/>
      <c r="CG33" s="327"/>
      <c r="CH33" s="318"/>
      <c r="CI33" s="28"/>
      <c r="CJ33" s="45"/>
      <c r="CK33" s="356">
        <f t="shared" si="14"/>
        <v>0</v>
      </c>
      <c r="CL33" s="129"/>
      <c r="CM33" s="32"/>
      <c r="CN33" s="129"/>
      <c r="CO33" s="317"/>
      <c r="CP33" s="318"/>
      <c r="CQ33" s="317"/>
      <c r="CR33" s="318"/>
      <c r="CS33" s="329"/>
      <c r="CT33" s="356"/>
    </row>
    <row r="36" spans="1:98" x14ac:dyDescent="0.25">
      <c r="J36" s="504" t="s">
        <v>30</v>
      </c>
      <c r="K36" s="203" t="s">
        <v>31</v>
      </c>
      <c r="L36" s="203" t="s">
        <v>32</v>
      </c>
    </row>
    <row r="37" spans="1:98" x14ac:dyDescent="0.25">
      <c r="I37" s="451"/>
      <c r="J37" s="505">
        <v>46058</v>
      </c>
      <c r="K37" s="310">
        <f>U9+AQ9+BM9+CI9</f>
        <v>2333</v>
      </c>
      <c r="L37" s="310">
        <f>V9+AR9+BN9+CJ9</f>
        <v>7565</v>
      </c>
    </row>
    <row r="38" spans="1:98" x14ac:dyDescent="0.25">
      <c r="J38" s="505">
        <v>46065</v>
      </c>
      <c r="K38" s="310">
        <f>U16+AQ16+BM16+CI16</f>
        <v>2202</v>
      </c>
      <c r="L38" s="310">
        <f>V16+AR16+BN16+CJ16</f>
        <v>6861</v>
      </c>
    </row>
    <row r="39" spans="1:98" x14ac:dyDescent="0.25">
      <c r="J39" s="505">
        <v>46072</v>
      </c>
      <c r="K39" s="310">
        <f>U23+AQ23+BM23+CI23</f>
        <v>2372</v>
      </c>
      <c r="L39" s="310">
        <f>V23+AR23+BN23+CJ23</f>
        <v>7532</v>
      </c>
    </row>
    <row r="40" spans="1:98" x14ac:dyDescent="0.25">
      <c r="J40" s="505">
        <v>46079</v>
      </c>
      <c r="K40" s="310">
        <f>U30+AQ30+BM30+CI30</f>
        <v>2227</v>
      </c>
      <c r="L40" s="310">
        <f>V30+AR30+BN30+CJ30</f>
        <v>7053</v>
      </c>
    </row>
  </sheetData>
  <mergeCells count="17">
    <mergeCell ref="BW2:CB2"/>
    <mergeCell ref="C1:W1"/>
    <mergeCell ref="Y1:AS1"/>
    <mergeCell ref="AU1:BO1"/>
    <mergeCell ref="BQ1:CK1"/>
    <mergeCell ref="CO1:CT2"/>
    <mergeCell ref="C2:H2"/>
    <mergeCell ref="I2:N2"/>
    <mergeCell ref="O2:T2"/>
    <mergeCell ref="Y2:AD2"/>
    <mergeCell ref="AE2:AJ2"/>
    <mergeCell ref="CC2:CH2"/>
    <mergeCell ref="AK2:AP2"/>
    <mergeCell ref="AU2:AZ2"/>
    <mergeCell ref="BA2:BF2"/>
    <mergeCell ref="BG2:BL2"/>
    <mergeCell ref="BQ2:BV2"/>
  </mergeCells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A282-EF4F-4D38-9A32-4889C6A3DA1E}">
  <dimension ref="A1:CP42"/>
  <sheetViews>
    <sheetView topLeftCell="A7" workbookViewId="0">
      <pane xSplit="1" topLeftCell="U1" activePane="topRight" state="frozen"/>
      <selection pane="topRight" activeCell="F38" sqref="F38:H42"/>
    </sheetView>
  </sheetViews>
  <sheetFormatPr defaultRowHeight="15" x14ac:dyDescent="0.25"/>
  <cols>
    <col min="1" max="1" width="9.85546875" bestFit="1" customWidth="1"/>
    <col min="6" max="6" width="12.140625" customWidth="1"/>
  </cols>
  <sheetData>
    <row r="1" spans="1:94" ht="26.25" thickBot="1" x14ac:dyDescent="0.35">
      <c r="A1" s="1" t="s">
        <v>37</v>
      </c>
      <c r="B1" s="2"/>
      <c r="C1" s="590" t="s">
        <v>1</v>
      </c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33"/>
      <c r="X1" s="596" t="s">
        <v>2</v>
      </c>
      <c r="Y1" s="594"/>
      <c r="Z1" s="594"/>
      <c r="AA1" s="594"/>
      <c r="AB1" s="594"/>
      <c r="AC1" s="594"/>
      <c r="AD1" s="594"/>
      <c r="AE1" s="594"/>
      <c r="AF1" s="594"/>
      <c r="AG1" s="594"/>
      <c r="AH1" s="594"/>
      <c r="AI1" s="594"/>
      <c r="AJ1" s="594"/>
      <c r="AK1" s="594"/>
      <c r="AL1" s="594"/>
      <c r="AM1" s="594"/>
      <c r="AN1" s="594"/>
      <c r="AO1" s="594"/>
      <c r="AP1" s="594"/>
      <c r="AQ1" s="594"/>
      <c r="AR1" s="3"/>
      <c r="AS1" s="593" t="s">
        <v>3</v>
      </c>
      <c r="AT1" s="596"/>
      <c r="AU1" s="596"/>
      <c r="AV1" s="596"/>
      <c r="AW1" s="596"/>
      <c r="AX1" s="596"/>
      <c r="AY1" s="596"/>
      <c r="AZ1" s="596"/>
      <c r="BA1" s="596"/>
      <c r="BB1" s="596"/>
      <c r="BC1" s="596"/>
      <c r="BD1" s="596"/>
      <c r="BE1" s="596"/>
      <c r="BF1" s="596"/>
      <c r="BG1" s="596"/>
      <c r="BH1" s="596"/>
      <c r="BI1" s="596"/>
      <c r="BJ1" s="596"/>
      <c r="BK1" s="596"/>
      <c r="BL1" s="596"/>
      <c r="BM1" s="3"/>
      <c r="BN1" s="593" t="s">
        <v>4</v>
      </c>
      <c r="BO1" s="596"/>
      <c r="BP1" s="596"/>
      <c r="BQ1" s="596"/>
      <c r="BR1" s="596"/>
      <c r="BS1" s="596"/>
      <c r="BT1" s="596"/>
      <c r="BU1" s="596"/>
      <c r="BV1" s="596"/>
      <c r="BW1" s="596"/>
      <c r="BX1" s="596"/>
      <c r="BY1" s="596"/>
      <c r="BZ1" s="596"/>
      <c r="CA1" s="596"/>
      <c r="CB1" s="596"/>
      <c r="CC1" s="596"/>
      <c r="CD1" s="596"/>
      <c r="CE1" s="596"/>
      <c r="CF1" s="596"/>
      <c r="CG1" s="596"/>
      <c r="CH1" s="3"/>
      <c r="CI1" s="4" t="s">
        <v>5</v>
      </c>
      <c r="CJ1" s="3"/>
      <c r="CK1" s="578" t="s">
        <v>29</v>
      </c>
      <c r="CL1" s="579"/>
      <c r="CM1" s="579"/>
      <c r="CN1" s="579"/>
      <c r="CO1" s="579"/>
      <c r="CP1" s="579"/>
    </row>
    <row r="2" spans="1:94" ht="16.5" thickTop="1" thickBot="1" x14ac:dyDescent="0.3">
      <c r="A2" s="5"/>
      <c r="B2" s="6"/>
      <c r="C2" s="598" t="s">
        <v>22</v>
      </c>
      <c r="D2" s="599"/>
      <c r="E2" s="599"/>
      <c r="F2" s="599"/>
      <c r="G2" s="599"/>
      <c r="H2" s="600"/>
      <c r="I2" s="601" t="s">
        <v>7</v>
      </c>
      <c r="J2" s="599"/>
      <c r="K2" s="599"/>
      <c r="L2" s="599"/>
      <c r="M2" s="599"/>
      <c r="N2" s="600"/>
      <c r="O2" s="601" t="s">
        <v>8</v>
      </c>
      <c r="P2" s="599"/>
      <c r="Q2" s="599"/>
      <c r="R2" s="599"/>
      <c r="S2" s="599"/>
      <c r="T2" s="600"/>
      <c r="U2" s="508"/>
      <c r="V2" s="8"/>
      <c r="W2" s="501"/>
      <c r="X2" s="599" t="s">
        <v>6</v>
      </c>
      <c r="Y2" s="599"/>
      <c r="Z2" s="599"/>
      <c r="AA2" s="599"/>
      <c r="AB2" s="599"/>
      <c r="AC2" s="600"/>
      <c r="AD2" s="601" t="s">
        <v>7</v>
      </c>
      <c r="AE2" s="599"/>
      <c r="AF2" s="599"/>
      <c r="AG2" s="599"/>
      <c r="AH2" s="599"/>
      <c r="AI2" s="600"/>
      <c r="AJ2" s="601" t="s">
        <v>9</v>
      </c>
      <c r="AK2" s="599"/>
      <c r="AL2" s="599"/>
      <c r="AM2" s="599"/>
      <c r="AN2" s="599"/>
      <c r="AO2" s="600"/>
      <c r="AP2" s="508"/>
      <c r="AQ2" s="8"/>
      <c r="AR2" s="3"/>
      <c r="AS2" s="598" t="s">
        <v>6</v>
      </c>
      <c r="AT2" s="599"/>
      <c r="AU2" s="599"/>
      <c r="AV2" s="599"/>
      <c r="AW2" s="599"/>
      <c r="AX2" s="600"/>
      <c r="AY2" s="599" t="s">
        <v>7</v>
      </c>
      <c r="AZ2" s="599"/>
      <c r="BA2" s="599"/>
      <c r="BB2" s="599"/>
      <c r="BC2" s="599"/>
      <c r="BD2" s="600"/>
      <c r="BE2" s="587" t="s">
        <v>9</v>
      </c>
      <c r="BF2" s="588"/>
      <c r="BG2" s="588"/>
      <c r="BH2" s="588"/>
      <c r="BI2" s="588"/>
      <c r="BJ2" s="589"/>
      <c r="BK2" s="128"/>
      <c r="BL2" s="10"/>
      <c r="BM2" s="3"/>
      <c r="BN2" s="586" t="s">
        <v>6</v>
      </c>
      <c r="BO2" s="584"/>
      <c r="BP2" s="584"/>
      <c r="BQ2" s="584"/>
      <c r="BR2" s="584"/>
      <c r="BS2" s="585"/>
      <c r="BT2" s="583" t="s">
        <v>7</v>
      </c>
      <c r="BU2" s="584"/>
      <c r="BV2" s="584"/>
      <c r="BW2" s="584"/>
      <c r="BX2" s="584"/>
      <c r="BY2" s="585"/>
      <c r="BZ2" s="580" t="s">
        <v>9</v>
      </c>
      <c r="CA2" s="581"/>
      <c r="CB2" s="581"/>
      <c r="CC2" s="581"/>
      <c r="CD2" s="581"/>
      <c r="CE2" s="582"/>
      <c r="CF2" s="128"/>
      <c r="CG2" s="11"/>
      <c r="CH2" s="3"/>
      <c r="CI2" s="12"/>
      <c r="CJ2" s="3"/>
      <c r="CK2" s="579"/>
      <c r="CL2" s="579"/>
      <c r="CM2" s="579"/>
      <c r="CN2" s="579"/>
      <c r="CO2" s="579"/>
      <c r="CP2" s="579"/>
    </row>
    <row r="3" spans="1:94" ht="39" thickBot="1" x14ac:dyDescent="0.3">
      <c r="A3" s="13"/>
      <c r="B3" s="14"/>
      <c r="C3" s="15" t="s">
        <v>23</v>
      </c>
      <c r="D3" s="16" t="s">
        <v>24</v>
      </c>
      <c r="E3" s="111" t="s">
        <v>25</v>
      </c>
      <c r="F3" s="165" t="s">
        <v>26</v>
      </c>
      <c r="G3" s="123" t="s">
        <v>27</v>
      </c>
      <c r="H3" s="146" t="s">
        <v>28</v>
      </c>
      <c r="I3" s="107" t="s">
        <v>23</v>
      </c>
      <c r="J3" s="16" t="s">
        <v>24</v>
      </c>
      <c r="K3" s="111" t="s">
        <v>25</v>
      </c>
      <c r="L3" s="165" t="s">
        <v>26</v>
      </c>
      <c r="M3" s="160" t="s">
        <v>27</v>
      </c>
      <c r="N3" s="155" t="s">
        <v>28</v>
      </c>
      <c r="O3" s="107" t="s">
        <v>23</v>
      </c>
      <c r="P3" s="16" t="s">
        <v>24</v>
      </c>
      <c r="Q3" s="111" t="s">
        <v>25</v>
      </c>
      <c r="R3" s="165" t="s">
        <v>26</v>
      </c>
      <c r="S3" s="123" t="s">
        <v>27</v>
      </c>
      <c r="T3" s="146" t="s">
        <v>28</v>
      </c>
      <c r="U3" s="17" t="s">
        <v>10</v>
      </c>
      <c r="V3" s="18" t="s">
        <v>11</v>
      </c>
      <c r="W3" s="501"/>
      <c r="X3" s="107" t="s">
        <v>23</v>
      </c>
      <c r="Y3" s="16" t="s">
        <v>24</v>
      </c>
      <c r="Z3" s="111" t="s">
        <v>25</v>
      </c>
      <c r="AA3" s="165" t="s">
        <v>26</v>
      </c>
      <c r="AB3" s="123" t="s">
        <v>27</v>
      </c>
      <c r="AC3" s="146" t="s">
        <v>28</v>
      </c>
      <c r="AD3" s="107" t="s">
        <v>23</v>
      </c>
      <c r="AE3" s="16" t="s">
        <v>24</v>
      </c>
      <c r="AF3" s="111" t="s">
        <v>25</v>
      </c>
      <c r="AG3" s="112" t="s">
        <v>26</v>
      </c>
      <c r="AH3" s="142" t="s">
        <v>27</v>
      </c>
      <c r="AI3" s="165" t="s">
        <v>28</v>
      </c>
      <c r="AJ3" s="107" t="s">
        <v>23</v>
      </c>
      <c r="AK3" s="16" t="s">
        <v>24</v>
      </c>
      <c r="AL3" s="111" t="s">
        <v>25</v>
      </c>
      <c r="AM3" s="177" t="s">
        <v>26</v>
      </c>
      <c r="AN3" s="123" t="s">
        <v>27</v>
      </c>
      <c r="AO3" s="177" t="s">
        <v>28</v>
      </c>
      <c r="AP3" s="20" t="s">
        <v>10</v>
      </c>
      <c r="AQ3" s="21" t="s">
        <v>11</v>
      </c>
      <c r="AR3" s="3"/>
      <c r="AS3" s="15" t="s">
        <v>23</v>
      </c>
      <c r="AT3" s="16" t="s">
        <v>24</v>
      </c>
      <c r="AU3" s="111" t="s">
        <v>25</v>
      </c>
      <c r="AV3" s="177" t="s">
        <v>26</v>
      </c>
      <c r="AW3" s="160" t="s">
        <v>27</v>
      </c>
      <c r="AX3" s="183" t="s">
        <v>28</v>
      </c>
      <c r="AY3" s="107" t="s">
        <v>23</v>
      </c>
      <c r="AZ3" s="16" t="s">
        <v>24</v>
      </c>
      <c r="BA3" s="111" t="s">
        <v>25</v>
      </c>
      <c r="BB3" s="139" t="s">
        <v>26</v>
      </c>
      <c r="BC3" s="178" t="s">
        <v>27</v>
      </c>
      <c r="BD3" s="165" t="s">
        <v>28</v>
      </c>
      <c r="BE3" s="107" t="s">
        <v>23</v>
      </c>
      <c r="BF3" s="16" t="s">
        <v>24</v>
      </c>
      <c r="BG3" s="111" t="s">
        <v>25</v>
      </c>
      <c r="BH3" s="177" t="s">
        <v>26</v>
      </c>
      <c r="BI3" s="160" t="s">
        <v>27</v>
      </c>
      <c r="BJ3" s="183" t="s">
        <v>28</v>
      </c>
      <c r="BK3" s="23" t="s">
        <v>10</v>
      </c>
      <c r="BL3" s="24" t="s">
        <v>11</v>
      </c>
      <c r="BM3" s="3"/>
      <c r="BN3" s="517" t="s">
        <v>23</v>
      </c>
      <c r="BO3" s="22" t="s">
        <v>24</v>
      </c>
      <c r="BP3" s="516" t="s">
        <v>25</v>
      </c>
      <c r="BQ3" s="370" t="s">
        <v>26</v>
      </c>
      <c r="BR3" s="372" t="s">
        <v>27</v>
      </c>
      <c r="BS3" s="373" t="s">
        <v>28</v>
      </c>
      <c r="BT3" s="107" t="s">
        <v>23</v>
      </c>
      <c r="BU3" s="16" t="s">
        <v>24</v>
      </c>
      <c r="BV3" s="369" t="s">
        <v>25</v>
      </c>
      <c r="BW3" s="370" t="s">
        <v>26</v>
      </c>
      <c r="BX3" s="372" t="s">
        <v>27</v>
      </c>
      <c r="BY3" s="373" t="s">
        <v>28</v>
      </c>
      <c r="BZ3" s="107" t="s">
        <v>23</v>
      </c>
      <c r="CA3" s="16" t="s">
        <v>24</v>
      </c>
      <c r="CB3" s="369" t="s">
        <v>25</v>
      </c>
      <c r="CC3" s="370" t="s">
        <v>26</v>
      </c>
      <c r="CD3" s="151" t="s">
        <v>27</v>
      </c>
      <c r="CE3" s="183" t="s">
        <v>28</v>
      </c>
      <c r="CF3" s="193" t="s">
        <v>10</v>
      </c>
      <c r="CG3" s="22" t="s">
        <v>11</v>
      </c>
      <c r="CH3" s="3"/>
      <c r="CI3" s="25"/>
      <c r="CJ3" s="3"/>
      <c r="CK3" s="111" t="s">
        <v>25</v>
      </c>
      <c r="CL3" s="177" t="s">
        <v>26</v>
      </c>
      <c r="CM3" s="123" t="s">
        <v>27</v>
      </c>
      <c r="CN3" s="146" t="s">
        <v>28</v>
      </c>
      <c r="CO3" s="107" t="s">
        <v>23</v>
      </c>
      <c r="CP3" s="16" t="s">
        <v>24</v>
      </c>
    </row>
    <row r="4" spans="1:94" ht="15.75" thickBot="1" x14ac:dyDescent="0.3">
      <c r="A4" s="48"/>
      <c r="B4" s="49" t="s">
        <v>13</v>
      </c>
      <c r="C4" s="216">
        <v>0</v>
      </c>
      <c r="D4" s="217">
        <v>0</v>
      </c>
      <c r="E4" s="217"/>
      <c r="F4" s="411"/>
      <c r="G4" s="216"/>
      <c r="H4" s="412">
        <f>SUM(D4:G4)</f>
        <v>0</v>
      </c>
      <c r="I4" s="216">
        <v>0</v>
      </c>
      <c r="J4" s="217">
        <v>0</v>
      </c>
      <c r="K4" s="217"/>
      <c r="L4" s="411"/>
      <c r="M4" s="397"/>
      <c r="N4" s="398">
        <v>0</v>
      </c>
      <c r="O4" s="216">
        <v>0</v>
      </c>
      <c r="P4" s="42">
        <v>0</v>
      </c>
      <c r="Q4" s="41"/>
      <c r="R4" s="391"/>
      <c r="S4" s="41"/>
      <c r="T4" s="391"/>
      <c r="U4" s="388">
        <f t="shared" ref="U4:V19" si="0">C4+E4+G4+I4+K4+M4+O4+Q4+S4</f>
        <v>0</v>
      </c>
      <c r="V4" s="31">
        <f t="shared" si="0"/>
        <v>0</v>
      </c>
      <c r="W4" s="6"/>
      <c r="X4" s="54">
        <v>0</v>
      </c>
      <c r="Y4" s="51">
        <v>0</v>
      </c>
      <c r="Z4" s="51"/>
      <c r="AA4" s="380"/>
      <c r="AB4" s="50"/>
      <c r="AC4" s="381"/>
      <c r="AD4" s="50">
        <v>0</v>
      </c>
      <c r="AE4" s="51">
        <v>0</v>
      </c>
      <c r="AF4" s="51"/>
      <c r="AG4" s="65"/>
      <c r="AH4" s="389"/>
      <c r="AI4" s="380"/>
      <c r="AJ4" s="50">
        <v>0</v>
      </c>
      <c r="AK4" s="65">
        <v>0</v>
      </c>
      <c r="AL4" s="51"/>
      <c r="AM4" s="380"/>
      <c r="AN4" s="50"/>
      <c r="AO4" s="381">
        <v>0</v>
      </c>
      <c r="AP4" s="124">
        <f t="shared" ref="AP4:AQ19" si="1">X4+Z4+AB4+AD4+AF4+AH4+AJ4+AL4+AN4</f>
        <v>0</v>
      </c>
      <c r="AQ4" s="390">
        <v>0</v>
      </c>
      <c r="AR4" s="6"/>
      <c r="AS4" s="327">
        <v>791</v>
      </c>
      <c r="AT4" s="317">
        <v>1570</v>
      </c>
      <c r="AU4" s="317"/>
      <c r="AV4" s="318"/>
      <c r="AW4" s="243"/>
      <c r="AX4" s="318"/>
      <c r="AY4" s="243">
        <v>127</v>
      </c>
      <c r="AZ4" s="317">
        <v>933</v>
      </c>
      <c r="BA4" s="317"/>
      <c r="BB4" s="242"/>
      <c r="BC4" s="328"/>
      <c r="BD4" s="318"/>
      <c r="BE4" s="243">
        <v>212</v>
      </c>
      <c r="BF4" s="242">
        <v>769</v>
      </c>
      <c r="BG4" s="41"/>
      <c r="BH4" s="391"/>
      <c r="BI4" s="124"/>
      <c r="BJ4" s="391"/>
      <c r="BK4" s="393">
        <f t="shared" ref="BK4:BL21" si="2">AS4+AU4+AW4+AY4+BA4+BC4+BE4+BG4+BI4</f>
        <v>1130</v>
      </c>
      <c r="BL4" s="394">
        <f t="shared" si="2"/>
        <v>3272</v>
      </c>
      <c r="BM4" s="6"/>
      <c r="BN4" s="56">
        <v>0</v>
      </c>
      <c r="BO4" s="518">
        <v>0</v>
      </c>
      <c r="BP4" s="124"/>
      <c r="BQ4" s="390"/>
      <c r="BR4" s="42"/>
      <c r="BS4" s="391"/>
      <c r="BT4" s="190">
        <v>0</v>
      </c>
      <c r="BU4" s="67">
        <v>0</v>
      </c>
      <c r="BV4" s="41"/>
      <c r="BW4" s="390"/>
      <c r="BX4" s="42"/>
      <c r="BY4" s="391"/>
      <c r="BZ4" s="190">
        <v>0</v>
      </c>
      <c r="CA4" s="67">
        <v>0</v>
      </c>
      <c r="CB4" s="41"/>
      <c r="CC4" s="390"/>
      <c r="CD4" s="40"/>
      <c r="CE4" s="391"/>
      <c r="CF4" s="393">
        <f t="shared" ref="CF4:CG19" si="3">BN4+BP4+BR4+BT4+BV4+BX4+BZ4+CB4+CD4</f>
        <v>0</v>
      </c>
      <c r="CG4" s="395">
        <f t="shared" si="3"/>
        <v>0</v>
      </c>
      <c r="CH4" s="60"/>
      <c r="CI4" s="396"/>
      <c r="CJ4" s="60"/>
      <c r="CK4" s="41"/>
      <c r="CL4" s="391"/>
      <c r="CM4" s="50"/>
      <c r="CN4" s="380"/>
      <c r="CO4" s="187">
        <v>0</v>
      </c>
      <c r="CP4" s="67">
        <v>0</v>
      </c>
    </row>
    <row r="5" spans="1:94" ht="15.75" thickBot="1" x14ac:dyDescent="0.3">
      <c r="A5" s="488">
        <v>46082</v>
      </c>
      <c r="B5" s="506" t="s">
        <v>20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490"/>
      <c r="Q5" s="115"/>
      <c r="R5" s="168"/>
      <c r="S5" s="135"/>
      <c r="T5" s="172"/>
      <c r="U5" s="476">
        <v>0</v>
      </c>
      <c r="V5" s="477">
        <v>0</v>
      </c>
      <c r="W5" s="502"/>
      <c r="X5" s="138"/>
      <c r="Y5" s="120"/>
      <c r="Z5" s="120"/>
      <c r="AA5" s="167"/>
      <c r="AB5" s="138"/>
      <c r="AC5" s="148"/>
      <c r="AD5" s="138"/>
      <c r="AE5" s="120"/>
      <c r="AF5" s="120"/>
      <c r="AG5" s="121"/>
      <c r="AH5" s="132"/>
      <c r="AI5" s="167"/>
      <c r="AJ5" s="138"/>
      <c r="AK5" s="121"/>
      <c r="AL5" s="120"/>
      <c r="AM5" s="167"/>
      <c r="AN5" s="138"/>
      <c r="AO5" s="148"/>
      <c r="AP5" s="162">
        <f t="shared" si="1"/>
        <v>0</v>
      </c>
      <c r="AQ5" s="127">
        <f t="shared" si="1"/>
        <v>0</v>
      </c>
      <c r="AR5" s="479"/>
      <c r="AS5" s="480"/>
      <c r="AT5" s="120"/>
      <c r="AU5" s="120"/>
      <c r="AV5" s="167"/>
      <c r="AW5" s="162"/>
      <c r="AX5" s="170"/>
      <c r="AY5" s="138"/>
      <c r="AZ5" s="120"/>
      <c r="BA5" s="120"/>
      <c r="BB5" s="140"/>
      <c r="BC5" s="180"/>
      <c r="BD5" s="167"/>
      <c r="BE5" s="138"/>
      <c r="BF5" s="140"/>
      <c r="BG5" s="120"/>
      <c r="BH5" s="167"/>
      <c r="BI5" s="162"/>
      <c r="BJ5" s="170"/>
      <c r="BK5" s="143">
        <f t="shared" si="2"/>
        <v>0</v>
      </c>
      <c r="BL5" s="481">
        <f t="shared" si="2"/>
        <v>0</v>
      </c>
      <c r="BM5" s="479"/>
      <c r="BN5" s="492">
        <v>0</v>
      </c>
      <c r="BO5" s="114">
        <v>0</v>
      </c>
      <c r="BP5" s="138"/>
      <c r="BQ5" s="121"/>
      <c r="BR5" s="140"/>
      <c r="BS5" s="167"/>
      <c r="BT5" s="143">
        <v>0</v>
      </c>
      <c r="BU5" s="113">
        <v>0</v>
      </c>
      <c r="BV5" s="120"/>
      <c r="BW5" s="121"/>
      <c r="BX5" s="152"/>
      <c r="BY5" s="170"/>
      <c r="BZ5" s="143">
        <v>0</v>
      </c>
      <c r="CA5" s="114">
        <v>0</v>
      </c>
      <c r="CB5" s="120"/>
      <c r="CC5" s="121"/>
      <c r="CD5" s="152"/>
      <c r="CE5" s="170"/>
      <c r="CF5" s="143">
        <f t="shared" si="3"/>
        <v>0</v>
      </c>
      <c r="CG5" s="114">
        <f t="shared" si="3"/>
        <v>0</v>
      </c>
      <c r="CH5" s="486"/>
      <c r="CI5" s="487"/>
      <c r="CJ5" s="486"/>
      <c r="CK5" s="152">
        <v>0</v>
      </c>
      <c r="CL5" s="170">
        <v>0</v>
      </c>
      <c r="CM5" s="152">
        <v>0</v>
      </c>
      <c r="CN5" s="170">
        <v>0</v>
      </c>
      <c r="CO5" s="207">
        <v>0</v>
      </c>
      <c r="CP5" s="208">
        <v>0</v>
      </c>
    </row>
    <row r="6" spans="1:94" ht="15.75" thickBot="1" x14ac:dyDescent="0.3">
      <c r="A6" s="48">
        <v>46083</v>
      </c>
      <c r="B6" s="466" t="s">
        <v>14</v>
      </c>
      <c r="C6" s="50"/>
      <c r="D6" s="51"/>
      <c r="E6" s="51"/>
      <c r="F6" s="380"/>
      <c r="G6" s="50"/>
      <c r="H6" s="381"/>
      <c r="I6" s="50"/>
      <c r="J6" s="51"/>
      <c r="K6" s="51"/>
      <c r="L6" s="380"/>
      <c r="M6" s="50"/>
      <c r="N6" s="381"/>
      <c r="O6" s="50"/>
      <c r="P6" s="383"/>
      <c r="Q6" s="384"/>
      <c r="R6" s="385"/>
      <c r="S6" s="386"/>
      <c r="T6" s="387"/>
      <c r="U6" s="388">
        <f t="shared" si="0"/>
        <v>0</v>
      </c>
      <c r="V6" s="31">
        <f t="shared" si="0"/>
        <v>0</v>
      </c>
      <c r="W6" s="502"/>
      <c r="X6" s="50"/>
      <c r="Y6" s="51"/>
      <c r="Z6" s="51">
        <v>73</v>
      </c>
      <c r="AA6" s="380">
        <v>148</v>
      </c>
      <c r="AB6" s="50"/>
      <c r="AC6" s="381"/>
      <c r="AD6" s="50"/>
      <c r="AE6" s="51"/>
      <c r="AF6" s="51"/>
      <c r="AG6" s="65"/>
      <c r="AH6" s="389"/>
      <c r="AI6" s="380"/>
      <c r="AJ6" s="50"/>
      <c r="AK6" s="65"/>
      <c r="AL6" s="51"/>
      <c r="AM6" s="380"/>
      <c r="AN6" s="50"/>
      <c r="AO6" s="381"/>
      <c r="AP6" s="124">
        <f t="shared" si="1"/>
        <v>73</v>
      </c>
      <c r="AQ6" s="127">
        <f t="shared" si="1"/>
        <v>148</v>
      </c>
      <c r="AR6" s="6"/>
      <c r="AS6" s="40"/>
      <c r="AT6" s="41"/>
      <c r="AU6" s="41"/>
      <c r="AV6" s="391"/>
      <c r="AW6" s="124"/>
      <c r="AX6" s="391"/>
      <c r="AY6" s="124"/>
      <c r="AZ6" s="41"/>
      <c r="BA6" s="41"/>
      <c r="BB6" s="42"/>
      <c r="BC6" s="392"/>
      <c r="BD6" s="391"/>
      <c r="BE6" s="50"/>
      <c r="BF6" s="55"/>
      <c r="BG6" s="41"/>
      <c r="BH6" s="391"/>
      <c r="BI6" s="124"/>
      <c r="BJ6" s="391"/>
      <c r="BK6" s="393">
        <f t="shared" si="2"/>
        <v>0</v>
      </c>
      <c r="BL6" s="394">
        <f t="shared" si="2"/>
        <v>0</v>
      </c>
      <c r="BM6" s="6"/>
      <c r="BN6" s="405">
        <v>0</v>
      </c>
      <c r="BO6" s="395">
        <v>0</v>
      </c>
      <c r="BP6" s="124">
        <v>11</v>
      </c>
      <c r="BQ6" s="390">
        <v>19</v>
      </c>
      <c r="BR6" s="55"/>
      <c r="BS6" s="380"/>
      <c r="BT6" s="393">
        <v>0</v>
      </c>
      <c r="BU6" s="406">
        <v>0</v>
      </c>
      <c r="BV6" s="41">
        <v>27</v>
      </c>
      <c r="BW6" s="390">
        <v>129</v>
      </c>
      <c r="BX6" s="55"/>
      <c r="BY6" s="380"/>
      <c r="BZ6" s="393">
        <v>0</v>
      </c>
      <c r="CA6" s="395">
        <v>0</v>
      </c>
      <c r="CB6" s="41">
        <v>60</v>
      </c>
      <c r="CC6" s="390">
        <v>122</v>
      </c>
      <c r="CD6" s="40"/>
      <c r="CE6" s="391"/>
      <c r="CF6" s="393">
        <f t="shared" si="3"/>
        <v>98</v>
      </c>
      <c r="CG6" s="395">
        <f t="shared" si="3"/>
        <v>270</v>
      </c>
      <c r="CH6" s="60"/>
      <c r="CI6" s="396"/>
      <c r="CJ6" s="60"/>
      <c r="CK6" s="41"/>
      <c r="CL6" s="391"/>
      <c r="CM6" s="50"/>
      <c r="CN6" s="380"/>
      <c r="CO6" s="187"/>
      <c r="CP6" s="67"/>
    </row>
    <row r="7" spans="1:94" ht="15.75" thickBot="1" x14ac:dyDescent="0.3">
      <c r="A7" s="48">
        <v>46084</v>
      </c>
      <c r="B7" s="466" t="s">
        <v>15</v>
      </c>
      <c r="C7" s="50"/>
      <c r="D7" s="51"/>
      <c r="E7" s="51"/>
      <c r="F7" s="380"/>
      <c r="G7" s="50"/>
      <c r="H7" s="381"/>
      <c r="I7" s="50"/>
      <c r="J7" s="51"/>
      <c r="K7" s="51"/>
      <c r="L7" s="380"/>
      <c r="M7" s="407"/>
      <c r="N7" s="408"/>
      <c r="O7" s="50"/>
      <c r="P7" s="55"/>
      <c r="Q7" s="384"/>
      <c r="R7" s="385"/>
      <c r="S7" s="386"/>
      <c r="T7" s="387"/>
      <c r="U7" s="388">
        <f t="shared" si="0"/>
        <v>0</v>
      </c>
      <c r="V7" s="31">
        <f t="shared" si="0"/>
        <v>0</v>
      </c>
      <c r="W7" s="502"/>
      <c r="X7" s="50"/>
      <c r="Y7" s="51"/>
      <c r="Z7" s="51"/>
      <c r="AA7" s="380"/>
      <c r="AB7" s="50"/>
      <c r="AC7" s="381"/>
      <c r="AD7" s="50"/>
      <c r="AE7" s="51"/>
      <c r="AF7" s="51"/>
      <c r="AG7" s="65"/>
      <c r="AH7" s="389"/>
      <c r="AI7" s="380"/>
      <c r="AJ7" s="50"/>
      <c r="AK7" s="65"/>
      <c r="AL7" s="51"/>
      <c r="AM7" s="380"/>
      <c r="AN7" s="50"/>
      <c r="AO7" s="381"/>
      <c r="AP7" s="162">
        <f t="shared" si="1"/>
        <v>0</v>
      </c>
      <c r="AQ7" s="127">
        <f t="shared" si="1"/>
        <v>0</v>
      </c>
      <c r="AR7" s="6"/>
      <c r="AS7" s="40"/>
      <c r="AT7" s="41"/>
      <c r="AU7" s="41"/>
      <c r="AV7" s="391"/>
      <c r="AW7" s="124"/>
      <c r="AX7" s="391"/>
      <c r="AY7" s="124"/>
      <c r="AZ7" s="41"/>
      <c r="BA7" s="41"/>
      <c r="BB7" s="42"/>
      <c r="BC7" s="392"/>
      <c r="BD7" s="391"/>
      <c r="BE7" s="124"/>
      <c r="BF7" s="42"/>
      <c r="BG7" s="41"/>
      <c r="BH7" s="391"/>
      <c r="BI7" s="124"/>
      <c r="BJ7" s="391"/>
      <c r="BK7" s="143">
        <f t="shared" si="2"/>
        <v>0</v>
      </c>
      <c r="BL7" s="481">
        <f t="shared" si="2"/>
        <v>0</v>
      </c>
      <c r="BM7" s="6"/>
      <c r="BN7" s="56">
        <v>11</v>
      </c>
      <c r="BO7" s="518">
        <v>19</v>
      </c>
      <c r="BP7" s="124"/>
      <c r="BQ7" s="390"/>
      <c r="BR7" s="55"/>
      <c r="BS7" s="380"/>
      <c r="BT7" s="187">
        <v>27</v>
      </c>
      <c r="BU7" s="57">
        <v>129</v>
      </c>
      <c r="BV7" s="41"/>
      <c r="BW7" s="390"/>
      <c r="BX7" s="55"/>
      <c r="BY7" s="380"/>
      <c r="BZ7" s="228">
        <v>60</v>
      </c>
      <c r="CA7" s="230">
        <v>122</v>
      </c>
      <c r="CB7" s="41"/>
      <c r="CC7" s="390"/>
      <c r="CD7" s="40"/>
      <c r="CE7" s="391"/>
      <c r="CF7" s="143">
        <f t="shared" si="3"/>
        <v>98</v>
      </c>
      <c r="CG7" s="114">
        <f t="shared" si="3"/>
        <v>270</v>
      </c>
      <c r="CH7" s="60"/>
      <c r="CI7" s="396"/>
      <c r="CJ7" s="60"/>
      <c r="CK7" s="41"/>
      <c r="CL7" s="391"/>
      <c r="CM7" s="50"/>
      <c r="CN7" s="380"/>
      <c r="CO7" s="187"/>
      <c r="CP7" s="57"/>
    </row>
    <row r="8" spans="1:94" ht="15.75" thickBot="1" x14ac:dyDescent="0.3">
      <c r="A8" s="48">
        <v>46085</v>
      </c>
      <c r="B8" s="466" t="s">
        <v>16</v>
      </c>
      <c r="C8" s="50"/>
      <c r="D8" s="51"/>
      <c r="E8" s="51"/>
      <c r="F8" s="380">
        <v>41</v>
      </c>
      <c r="G8" s="50"/>
      <c r="H8" s="381"/>
      <c r="I8" s="50"/>
      <c r="J8" s="51"/>
      <c r="K8" s="51"/>
      <c r="L8" s="380"/>
      <c r="M8" s="407"/>
      <c r="N8" s="408"/>
      <c r="O8" s="50"/>
      <c r="P8" s="383"/>
      <c r="Q8" s="384"/>
      <c r="R8" s="385"/>
      <c r="S8" s="386"/>
      <c r="T8" s="387"/>
      <c r="U8" s="388">
        <f t="shared" si="0"/>
        <v>0</v>
      </c>
      <c r="V8" s="31">
        <f t="shared" si="0"/>
        <v>41</v>
      </c>
      <c r="W8" s="502"/>
      <c r="X8" s="50"/>
      <c r="Y8" s="51"/>
      <c r="Z8" s="51"/>
      <c r="AA8" s="380"/>
      <c r="AB8" s="50"/>
      <c r="AC8" s="381"/>
      <c r="AD8" s="50"/>
      <c r="AE8" s="51"/>
      <c r="AF8" s="51"/>
      <c r="AG8" s="65"/>
      <c r="AH8" s="389"/>
      <c r="AI8" s="380"/>
      <c r="AJ8" s="50"/>
      <c r="AK8" s="65"/>
      <c r="AL8" s="51"/>
      <c r="AM8" s="380"/>
      <c r="AN8" s="50"/>
      <c r="AO8" s="381"/>
      <c r="AP8" s="124">
        <f t="shared" si="1"/>
        <v>0</v>
      </c>
      <c r="AQ8" s="127">
        <f t="shared" si="1"/>
        <v>0</v>
      </c>
      <c r="AR8" s="6"/>
      <c r="AS8" s="40"/>
      <c r="AT8" s="41"/>
      <c r="AU8" s="41"/>
      <c r="AV8" s="391"/>
      <c r="AW8" s="124"/>
      <c r="AX8" s="391"/>
      <c r="AY8" s="124"/>
      <c r="AZ8" s="41"/>
      <c r="BA8" s="41"/>
      <c r="BB8" s="42"/>
      <c r="BC8" s="392"/>
      <c r="BD8" s="391"/>
      <c r="BE8" s="124"/>
      <c r="BF8" s="42"/>
      <c r="BG8" s="41"/>
      <c r="BH8" s="391"/>
      <c r="BI8" s="124"/>
      <c r="BJ8" s="391"/>
      <c r="BK8" s="393">
        <f t="shared" si="2"/>
        <v>0</v>
      </c>
      <c r="BL8" s="394">
        <f t="shared" si="2"/>
        <v>0</v>
      </c>
      <c r="BM8" s="6"/>
      <c r="BN8" s="56">
        <v>11</v>
      </c>
      <c r="BO8" s="518">
        <v>19</v>
      </c>
      <c r="BP8" s="124"/>
      <c r="BQ8" s="390"/>
      <c r="BR8" s="55"/>
      <c r="BS8" s="380"/>
      <c r="BT8" s="187">
        <v>27</v>
      </c>
      <c r="BU8" s="57">
        <v>129</v>
      </c>
      <c r="BV8" s="41"/>
      <c r="BW8" s="390"/>
      <c r="BX8" s="55"/>
      <c r="BY8" s="380"/>
      <c r="BZ8" s="393">
        <v>60</v>
      </c>
      <c r="CA8" s="395">
        <v>122</v>
      </c>
      <c r="CB8" s="41"/>
      <c r="CC8" s="390"/>
      <c r="CD8" s="40"/>
      <c r="CE8" s="391"/>
      <c r="CF8" s="393">
        <f t="shared" si="3"/>
        <v>98</v>
      </c>
      <c r="CG8" s="395">
        <f t="shared" si="3"/>
        <v>270</v>
      </c>
      <c r="CH8" s="60"/>
      <c r="CI8" s="396"/>
      <c r="CJ8" s="60"/>
      <c r="CK8" s="41"/>
      <c r="CL8" s="391"/>
      <c r="CM8" s="50"/>
      <c r="CN8" s="380"/>
      <c r="CO8" s="187"/>
      <c r="CP8" s="57"/>
    </row>
    <row r="9" spans="1:94" ht="15.75" thickBot="1" x14ac:dyDescent="0.3">
      <c r="A9" s="48">
        <v>46086</v>
      </c>
      <c r="B9" s="467" t="s">
        <v>17</v>
      </c>
      <c r="C9" s="99">
        <v>97</v>
      </c>
      <c r="D9" s="74">
        <v>213</v>
      </c>
      <c r="E9" s="74"/>
      <c r="F9" s="292"/>
      <c r="G9" s="99"/>
      <c r="H9" s="293"/>
      <c r="I9" s="99">
        <v>35</v>
      </c>
      <c r="J9" s="74">
        <v>149</v>
      </c>
      <c r="K9" s="74"/>
      <c r="L9" s="292"/>
      <c r="M9" s="125"/>
      <c r="N9" s="294"/>
      <c r="O9" s="99">
        <v>105</v>
      </c>
      <c r="P9" s="100">
        <v>146</v>
      </c>
      <c r="Q9" s="296"/>
      <c r="R9" s="297"/>
      <c r="S9" s="298"/>
      <c r="T9" s="299"/>
      <c r="U9" s="211">
        <f t="shared" si="0"/>
        <v>237</v>
      </c>
      <c r="V9" s="212">
        <f t="shared" si="0"/>
        <v>508</v>
      </c>
      <c r="W9" s="502"/>
      <c r="X9" s="99">
        <v>73</v>
      </c>
      <c r="Y9" s="74">
        <v>148</v>
      </c>
      <c r="Z9" s="74"/>
      <c r="AA9" s="292"/>
      <c r="AB9" s="99"/>
      <c r="AC9" s="293"/>
      <c r="AD9" s="99">
        <v>281</v>
      </c>
      <c r="AE9" s="74">
        <v>1662</v>
      </c>
      <c r="AF9" s="74"/>
      <c r="AG9" s="75"/>
      <c r="AH9" s="301"/>
      <c r="AI9" s="292"/>
      <c r="AJ9" s="99">
        <v>552</v>
      </c>
      <c r="AK9" s="75">
        <v>1725</v>
      </c>
      <c r="AL9" s="74"/>
      <c r="AM9" s="292"/>
      <c r="AN9" s="99"/>
      <c r="AO9" s="293"/>
      <c r="AP9" s="125">
        <f t="shared" si="1"/>
        <v>906</v>
      </c>
      <c r="AQ9" s="210">
        <f t="shared" si="1"/>
        <v>3535</v>
      </c>
      <c r="AR9" s="300"/>
      <c r="AS9" s="76">
        <v>794</v>
      </c>
      <c r="AT9" s="77">
        <v>1574</v>
      </c>
      <c r="AU9" s="77"/>
      <c r="AV9" s="302"/>
      <c r="AW9" s="125"/>
      <c r="AX9" s="302"/>
      <c r="AY9" s="125">
        <v>105</v>
      </c>
      <c r="AZ9" s="77">
        <v>823</v>
      </c>
      <c r="BA9" s="77"/>
      <c r="BB9" s="78"/>
      <c r="BC9" s="303"/>
      <c r="BD9" s="302"/>
      <c r="BE9" s="125">
        <v>161</v>
      </c>
      <c r="BF9" s="78">
        <v>429</v>
      </c>
      <c r="BG9" s="77"/>
      <c r="BH9" s="302"/>
      <c r="BI9" s="125"/>
      <c r="BJ9" s="302"/>
      <c r="BK9" s="69">
        <f t="shared" si="2"/>
        <v>1060</v>
      </c>
      <c r="BL9" s="209">
        <f t="shared" si="2"/>
        <v>2826</v>
      </c>
      <c r="BM9" s="300"/>
      <c r="BN9" s="80">
        <v>11</v>
      </c>
      <c r="BO9" s="514">
        <v>19</v>
      </c>
      <c r="BP9" s="125"/>
      <c r="BQ9" s="210"/>
      <c r="BR9" s="100"/>
      <c r="BS9" s="292"/>
      <c r="BT9" s="188">
        <v>27</v>
      </c>
      <c r="BU9" s="81">
        <v>129</v>
      </c>
      <c r="BV9" s="77"/>
      <c r="BW9" s="210"/>
      <c r="BX9" s="100"/>
      <c r="BY9" s="292"/>
      <c r="BZ9" s="69">
        <v>60</v>
      </c>
      <c r="CA9" s="213">
        <v>122</v>
      </c>
      <c r="CB9" s="77"/>
      <c r="CC9" s="210"/>
      <c r="CD9" s="76"/>
      <c r="CE9" s="302"/>
      <c r="CF9" s="69">
        <f t="shared" si="3"/>
        <v>98</v>
      </c>
      <c r="CG9" s="213">
        <f t="shared" si="3"/>
        <v>270</v>
      </c>
      <c r="CH9" s="304"/>
      <c r="CI9" s="379"/>
      <c r="CJ9" s="304"/>
      <c r="CK9" s="77"/>
      <c r="CL9" s="302"/>
      <c r="CM9" s="99"/>
      <c r="CN9" s="292"/>
      <c r="CO9" s="188">
        <v>3</v>
      </c>
      <c r="CP9" s="81">
        <v>5</v>
      </c>
    </row>
    <row r="10" spans="1:94" ht="15.75" thickBot="1" x14ac:dyDescent="0.3">
      <c r="A10" s="48">
        <v>46087</v>
      </c>
      <c r="B10" s="466" t="s">
        <v>18</v>
      </c>
      <c r="C10" s="236"/>
      <c r="D10" s="237"/>
      <c r="E10" s="237"/>
      <c r="F10" s="314"/>
      <c r="G10" s="236"/>
      <c r="H10" s="315"/>
      <c r="I10" s="236"/>
      <c r="J10" s="237"/>
      <c r="K10" s="237"/>
      <c r="L10" s="314"/>
      <c r="M10" s="243"/>
      <c r="N10" s="316"/>
      <c r="O10" s="236"/>
      <c r="P10" s="240"/>
      <c r="Q10" s="340"/>
      <c r="R10" s="341"/>
      <c r="S10" s="342"/>
      <c r="T10" s="343"/>
      <c r="U10" s="388">
        <f t="shared" si="0"/>
        <v>0</v>
      </c>
      <c r="V10" s="31">
        <f t="shared" si="0"/>
        <v>0</v>
      </c>
      <c r="W10" s="502"/>
      <c r="X10" s="236"/>
      <c r="Y10" s="237"/>
      <c r="Z10" s="237"/>
      <c r="AA10" s="314"/>
      <c r="AB10" s="236"/>
      <c r="AC10" s="315"/>
      <c r="AD10" s="236"/>
      <c r="AE10" s="237"/>
      <c r="AF10" s="237"/>
      <c r="AG10" s="324"/>
      <c r="AH10" s="325"/>
      <c r="AI10" s="314"/>
      <c r="AJ10" s="236"/>
      <c r="AK10" s="324"/>
      <c r="AL10" s="237"/>
      <c r="AM10" s="314"/>
      <c r="AN10" s="236"/>
      <c r="AO10" s="315"/>
      <c r="AP10" s="162">
        <f t="shared" si="1"/>
        <v>0</v>
      </c>
      <c r="AQ10" s="127">
        <f t="shared" si="1"/>
        <v>0</v>
      </c>
      <c r="AR10" s="322"/>
      <c r="AS10" s="327"/>
      <c r="AT10" s="317"/>
      <c r="AU10" s="317"/>
      <c r="AV10" s="318"/>
      <c r="AW10" s="243"/>
      <c r="AX10" s="318"/>
      <c r="AY10" s="243"/>
      <c r="AZ10" s="317"/>
      <c r="BA10" s="317"/>
      <c r="BB10" s="242"/>
      <c r="BC10" s="328"/>
      <c r="BD10" s="318"/>
      <c r="BE10" s="243"/>
      <c r="BF10" s="242"/>
      <c r="BG10" s="317"/>
      <c r="BH10" s="318"/>
      <c r="BI10" s="243"/>
      <c r="BJ10" s="318"/>
      <c r="BK10" s="393">
        <f t="shared" si="2"/>
        <v>0</v>
      </c>
      <c r="BL10" s="394">
        <f t="shared" si="2"/>
        <v>0</v>
      </c>
      <c r="BM10" s="322"/>
      <c r="BN10" s="330">
        <v>11</v>
      </c>
      <c r="BO10" s="515">
        <v>19</v>
      </c>
      <c r="BP10" s="243"/>
      <c r="BQ10" s="326"/>
      <c r="BR10" s="241"/>
      <c r="BS10" s="314"/>
      <c r="BT10" s="332">
        <v>27</v>
      </c>
      <c r="BU10" s="331">
        <v>129</v>
      </c>
      <c r="BV10" s="317"/>
      <c r="BW10" s="326"/>
      <c r="BX10" s="241"/>
      <c r="BY10" s="314"/>
      <c r="BZ10" s="332">
        <v>60</v>
      </c>
      <c r="CA10" s="335">
        <v>122</v>
      </c>
      <c r="CB10" s="317"/>
      <c r="CC10" s="326"/>
      <c r="CD10" s="327"/>
      <c r="CE10" s="318"/>
      <c r="CF10" s="393">
        <f t="shared" si="3"/>
        <v>98</v>
      </c>
      <c r="CG10" s="395">
        <f t="shared" si="3"/>
        <v>270</v>
      </c>
      <c r="CH10" s="337"/>
      <c r="CI10" s="356"/>
      <c r="CJ10" s="337"/>
      <c r="CK10" s="317"/>
      <c r="CL10" s="318"/>
      <c r="CM10" s="236"/>
      <c r="CN10" s="314"/>
      <c r="CO10" s="332"/>
      <c r="CP10" s="333"/>
    </row>
    <row r="11" spans="1:94" ht="15.75" thickBot="1" x14ac:dyDescent="0.3">
      <c r="A11" s="488">
        <v>46088</v>
      </c>
      <c r="B11" s="489" t="s">
        <v>19</v>
      </c>
      <c r="C11" s="138"/>
      <c r="D11" s="120"/>
      <c r="E11" s="120"/>
      <c r="F11" s="167"/>
      <c r="G11" s="138"/>
      <c r="H11" s="148"/>
      <c r="I11" s="138"/>
      <c r="J11" s="120"/>
      <c r="K11" s="120"/>
      <c r="L11" s="167"/>
      <c r="M11" s="162"/>
      <c r="N11" s="157"/>
      <c r="O11" s="138"/>
      <c r="P11" s="140"/>
      <c r="Q11" s="117"/>
      <c r="R11" s="170"/>
      <c r="S11" s="137"/>
      <c r="T11" s="174"/>
      <c r="U11" s="388">
        <f t="shared" si="0"/>
        <v>0</v>
      </c>
      <c r="V11" s="31">
        <f t="shared" si="0"/>
        <v>0</v>
      </c>
      <c r="W11" s="502"/>
      <c r="X11" s="138"/>
      <c r="Y11" s="120"/>
      <c r="Z11" s="120"/>
      <c r="AA11" s="167"/>
      <c r="AB11" s="138"/>
      <c r="AC11" s="148"/>
      <c r="AD11" s="138"/>
      <c r="AE11" s="120"/>
      <c r="AF11" s="120"/>
      <c r="AG11" s="121"/>
      <c r="AH11" s="132"/>
      <c r="AI11" s="167"/>
      <c r="AJ11" s="138"/>
      <c r="AK11" s="121"/>
      <c r="AL11" s="120"/>
      <c r="AM11" s="167"/>
      <c r="AN11" s="138"/>
      <c r="AO11" s="148"/>
      <c r="AP11" s="124">
        <f t="shared" si="1"/>
        <v>0</v>
      </c>
      <c r="AQ11" s="127">
        <f t="shared" si="1"/>
        <v>0</v>
      </c>
      <c r="AR11" s="479"/>
      <c r="AS11" s="152"/>
      <c r="AT11" s="117"/>
      <c r="AU11" s="117"/>
      <c r="AV11" s="170"/>
      <c r="AW11" s="162"/>
      <c r="AX11" s="170"/>
      <c r="AY11" s="162"/>
      <c r="AZ11" s="117"/>
      <c r="BA11" s="117"/>
      <c r="BB11" s="141"/>
      <c r="BC11" s="179"/>
      <c r="BD11" s="170"/>
      <c r="BE11" s="162"/>
      <c r="BF11" s="141"/>
      <c r="BG11" s="117"/>
      <c r="BH11" s="170"/>
      <c r="BI11" s="162"/>
      <c r="BJ11" s="170"/>
      <c r="BK11" s="143">
        <f t="shared" si="2"/>
        <v>0</v>
      </c>
      <c r="BL11" s="481">
        <f t="shared" si="2"/>
        <v>0</v>
      </c>
      <c r="BM11" s="479"/>
      <c r="BN11" s="482">
        <v>11</v>
      </c>
      <c r="BO11" s="519">
        <v>19</v>
      </c>
      <c r="BP11" s="162"/>
      <c r="BQ11" s="127"/>
      <c r="BR11" s="140"/>
      <c r="BS11" s="167"/>
      <c r="BT11" s="207">
        <v>27</v>
      </c>
      <c r="BU11" s="483">
        <v>129</v>
      </c>
      <c r="BV11" s="117"/>
      <c r="BW11" s="127"/>
      <c r="BX11" s="141"/>
      <c r="BY11" s="170"/>
      <c r="BZ11" s="484">
        <v>60</v>
      </c>
      <c r="CA11" s="485">
        <v>122</v>
      </c>
      <c r="CB11" s="117"/>
      <c r="CC11" s="127"/>
      <c r="CD11" s="152"/>
      <c r="CE11" s="170"/>
      <c r="CF11" s="143">
        <f t="shared" si="3"/>
        <v>98</v>
      </c>
      <c r="CG11" s="114">
        <f t="shared" si="3"/>
        <v>270</v>
      </c>
      <c r="CH11" s="486"/>
      <c r="CI11" s="487"/>
      <c r="CJ11" s="486"/>
      <c r="CK11" s="117"/>
      <c r="CL11" s="170"/>
      <c r="CM11" s="138"/>
      <c r="CN11" s="167"/>
      <c r="CO11" s="207"/>
      <c r="CP11" s="483"/>
    </row>
    <row r="12" spans="1:94" ht="15.75" thickBot="1" x14ac:dyDescent="0.3">
      <c r="A12" s="87">
        <v>46089</v>
      </c>
      <c r="B12" s="489" t="s">
        <v>20</v>
      </c>
      <c r="C12" s="138"/>
      <c r="D12" s="120"/>
      <c r="E12" s="120"/>
      <c r="F12" s="167"/>
      <c r="G12" s="138"/>
      <c r="H12" s="148"/>
      <c r="I12" s="138"/>
      <c r="J12" s="120"/>
      <c r="K12" s="120"/>
      <c r="L12" s="167"/>
      <c r="M12" s="162"/>
      <c r="N12" s="157"/>
      <c r="O12" s="138"/>
      <c r="P12" s="141"/>
      <c r="Q12" s="117"/>
      <c r="R12" s="170"/>
      <c r="S12" s="137"/>
      <c r="T12" s="174"/>
      <c r="U12" s="388">
        <f t="shared" si="0"/>
        <v>0</v>
      </c>
      <c r="V12" s="31">
        <f t="shared" si="0"/>
        <v>0</v>
      </c>
      <c r="W12" s="502"/>
      <c r="X12" s="138"/>
      <c r="Y12" s="120"/>
      <c r="Z12" s="120"/>
      <c r="AA12" s="167"/>
      <c r="AB12" s="138"/>
      <c r="AC12" s="148"/>
      <c r="AD12" s="138"/>
      <c r="AE12" s="120"/>
      <c r="AF12" s="120"/>
      <c r="AG12" s="121"/>
      <c r="AH12" s="132"/>
      <c r="AI12" s="167"/>
      <c r="AJ12" s="138"/>
      <c r="AK12" s="121"/>
      <c r="AL12" s="120"/>
      <c r="AM12" s="167"/>
      <c r="AN12" s="138"/>
      <c r="AO12" s="148"/>
      <c r="AP12" s="162">
        <f t="shared" si="1"/>
        <v>0</v>
      </c>
      <c r="AQ12" s="127">
        <f t="shared" si="1"/>
        <v>0</v>
      </c>
      <c r="AR12" s="479"/>
      <c r="AS12" s="152"/>
      <c r="AT12" s="117"/>
      <c r="AU12" s="117"/>
      <c r="AV12" s="170"/>
      <c r="AW12" s="162"/>
      <c r="AX12" s="170"/>
      <c r="AY12" s="162"/>
      <c r="AZ12" s="117"/>
      <c r="BA12" s="117"/>
      <c r="BB12" s="141"/>
      <c r="BC12" s="179"/>
      <c r="BD12" s="170"/>
      <c r="BE12" s="162"/>
      <c r="BF12" s="141"/>
      <c r="BG12" s="117"/>
      <c r="BH12" s="170"/>
      <c r="BI12" s="162"/>
      <c r="BJ12" s="170"/>
      <c r="BK12" s="393">
        <f t="shared" si="2"/>
        <v>0</v>
      </c>
      <c r="BL12" s="394">
        <f t="shared" si="2"/>
        <v>0</v>
      </c>
      <c r="BM12" s="479"/>
      <c r="BN12" s="482">
        <v>11</v>
      </c>
      <c r="BO12" s="519">
        <v>19</v>
      </c>
      <c r="BP12" s="162"/>
      <c r="BQ12" s="127"/>
      <c r="BR12" s="140"/>
      <c r="BS12" s="167"/>
      <c r="BT12" s="207">
        <v>27</v>
      </c>
      <c r="BU12" s="483">
        <v>129</v>
      </c>
      <c r="BV12" s="117"/>
      <c r="BW12" s="127"/>
      <c r="BX12" s="141"/>
      <c r="BY12" s="170"/>
      <c r="BZ12" s="484">
        <v>60</v>
      </c>
      <c r="CA12" s="485">
        <v>122</v>
      </c>
      <c r="CB12" s="117"/>
      <c r="CC12" s="127"/>
      <c r="CD12" s="152"/>
      <c r="CE12" s="170"/>
      <c r="CF12" s="393">
        <f t="shared" si="3"/>
        <v>98</v>
      </c>
      <c r="CG12" s="395">
        <f t="shared" si="3"/>
        <v>270</v>
      </c>
      <c r="CH12" s="486"/>
      <c r="CI12" s="487"/>
      <c r="CJ12" s="486"/>
      <c r="CK12" s="117"/>
      <c r="CL12" s="170"/>
      <c r="CM12" s="138"/>
      <c r="CN12" s="167"/>
      <c r="CO12" s="207"/>
      <c r="CP12" s="483"/>
    </row>
    <row r="13" spans="1:94" ht="15.75" thickBot="1" x14ac:dyDescent="0.3">
      <c r="A13" s="48">
        <v>46090</v>
      </c>
      <c r="B13" s="466" t="s">
        <v>14</v>
      </c>
      <c r="C13" s="50"/>
      <c r="D13" s="51"/>
      <c r="E13" s="51"/>
      <c r="F13" s="380"/>
      <c r="G13" s="50"/>
      <c r="H13" s="381"/>
      <c r="I13" s="50"/>
      <c r="J13" s="51"/>
      <c r="K13" s="51"/>
      <c r="L13" s="380"/>
      <c r="M13" s="124"/>
      <c r="N13" s="382"/>
      <c r="O13" s="50"/>
      <c r="P13" s="42"/>
      <c r="Q13" s="41"/>
      <c r="R13" s="391"/>
      <c r="S13" s="397"/>
      <c r="T13" s="398"/>
      <c r="U13" s="388">
        <f t="shared" si="0"/>
        <v>0</v>
      </c>
      <c r="V13" s="31">
        <f t="shared" si="0"/>
        <v>0</v>
      </c>
      <c r="W13" s="502"/>
      <c r="X13" s="50"/>
      <c r="Y13" s="51"/>
      <c r="Z13" s="51">
        <v>93</v>
      </c>
      <c r="AA13" s="380">
        <v>180</v>
      </c>
      <c r="AB13" s="50"/>
      <c r="AC13" s="381"/>
      <c r="AD13" s="50"/>
      <c r="AE13" s="51"/>
      <c r="AF13" s="51">
        <v>52</v>
      </c>
      <c r="AG13" s="65">
        <v>252</v>
      </c>
      <c r="AH13" s="389"/>
      <c r="AI13" s="380"/>
      <c r="AJ13" s="50"/>
      <c r="AK13" s="65"/>
      <c r="AL13" s="51">
        <v>138</v>
      </c>
      <c r="AM13" s="380">
        <v>290</v>
      </c>
      <c r="AN13" s="50"/>
      <c r="AO13" s="381"/>
      <c r="AP13" s="124">
        <f t="shared" si="1"/>
        <v>283</v>
      </c>
      <c r="AQ13" s="127">
        <f t="shared" si="1"/>
        <v>722</v>
      </c>
      <c r="AR13" s="6"/>
      <c r="AS13" s="40"/>
      <c r="AT13" s="41"/>
      <c r="AU13" s="41"/>
      <c r="AV13" s="391"/>
      <c r="AW13" s="124">
        <v>1</v>
      </c>
      <c r="AX13" s="391">
        <v>4</v>
      </c>
      <c r="AY13" s="124"/>
      <c r="AZ13" s="41"/>
      <c r="BA13" s="41"/>
      <c r="BB13" s="42"/>
      <c r="BC13" s="392"/>
      <c r="BD13" s="391"/>
      <c r="BE13" s="124"/>
      <c r="BF13" s="42"/>
      <c r="BG13" s="41"/>
      <c r="BH13" s="391"/>
      <c r="BI13" s="124">
        <v>1</v>
      </c>
      <c r="BJ13" s="391">
        <v>48</v>
      </c>
      <c r="BK13" s="143">
        <f t="shared" si="2"/>
        <v>2</v>
      </c>
      <c r="BL13" s="481">
        <f t="shared" si="2"/>
        <v>52</v>
      </c>
      <c r="BM13" s="6"/>
      <c r="BN13" s="56">
        <v>11</v>
      </c>
      <c r="BO13" s="518">
        <v>19</v>
      </c>
      <c r="BP13" s="124"/>
      <c r="BQ13" s="390"/>
      <c r="BR13" s="55"/>
      <c r="BS13" s="380"/>
      <c r="BT13" s="187">
        <v>27</v>
      </c>
      <c r="BU13" s="67">
        <v>129</v>
      </c>
      <c r="BV13" s="41"/>
      <c r="BW13" s="390"/>
      <c r="BX13" s="42"/>
      <c r="BY13" s="391"/>
      <c r="BZ13" s="190">
        <v>60</v>
      </c>
      <c r="CA13" s="58">
        <v>122</v>
      </c>
      <c r="CB13" s="41"/>
      <c r="CC13" s="390"/>
      <c r="CD13" s="40"/>
      <c r="CE13" s="391"/>
      <c r="CF13" s="143">
        <f t="shared" si="3"/>
        <v>98</v>
      </c>
      <c r="CG13" s="114">
        <f t="shared" si="3"/>
        <v>270</v>
      </c>
      <c r="CH13" s="60"/>
      <c r="CI13" s="396"/>
      <c r="CJ13" s="60"/>
      <c r="CK13" s="41"/>
      <c r="CL13" s="391"/>
      <c r="CM13" s="50"/>
      <c r="CN13" s="380"/>
      <c r="CO13" s="187"/>
      <c r="CP13" s="67"/>
    </row>
    <row r="14" spans="1:94" ht="15.75" thickBot="1" x14ac:dyDescent="0.3">
      <c r="A14" s="48">
        <v>46091</v>
      </c>
      <c r="B14" s="466" t="s">
        <v>15</v>
      </c>
      <c r="C14" s="50"/>
      <c r="D14" s="51"/>
      <c r="E14" s="50"/>
      <c r="F14" s="381"/>
      <c r="G14" s="50"/>
      <c r="H14" s="381"/>
      <c r="I14" s="50"/>
      <c r="J14" s="51"/>
      <c r="K14" s="51"/>
      <c r="L14" s="380"/>
      <c r="M14" s="124"/>
      <c r="N14" s="382"/>
      <c r="O14" s="50"/>
      <c r="P14" s="42"/>
      <c r="Q14" s="41"/>
      <c r="R14" s="391"/>
      <c r="S14" s="397"/>
      <c r="T14" s="398"/>
      <c r="U14" s="388">
        <f t="shared" si="0"/>
        <v>0</v>
      </c>
      <c r="V14" s="31">
        <f t="shared" si="0"/>
        <v>0</v>
      </c>
      <c r="W14" s="502"/>
      <c r="X14" s="50"/>
      <c r="Y14" s="51"/>
      <c r="Z14" s="51"/>
      <c r="AA14" s="380"/>
      <c r="AB14" s="50"/>
      <c r="AC14" s="381"/>
      <c r="AD14" s="50"/>
      <c r="AE14" s="51"/>
      <c r="AF14" s="51"/>
      <c r="AG14" s="65"/>
      <c r="AH14" s="389"/>
      <c r="AI14" s="380"/>
      <c r="AJ14" s="50"/>
      <c r="AK14" s="65"/>
      <c r="AL14" s="51"/>
      <c r="AM14" s="380"/>
      <c r="AN14" s="50"/>
      <c r="AO14" s="381"/>
      <c r="AP14" s="124">
        <f t="shared" si="1"/>
        <v>0</v>
      </c>
      <c r="AQ14" s="127">
        <f t="shared" si="1"/>
        <v>0</v>
      </c>
      <c r="AR14" s="6"/>
      <c r="AS14" s="40"/>
      <c r="AT14" s="41"/>
      <c r="AU14" s="41"/>
      <c r="AV14" s="391"/>
      <c r="AW14" s="124"/>
      <c r="AX14" s="391"/>
      <c r="AY14" s="124"/>
      <c r="AZ14" s="41"/>
      <c r="BA14" s="41"/>
      <c r="BB14" s="42"/>
      <c r="BC14" s="392"/>
      <c r="BD14" s="391"/>
      <c r="BE14" s="124"/>
      <c r="BF14" s="42"/>
      <c r="BG14" s="41"/>
      <c r="BH14" s="391"/>
      <c r="BI14" s="124"/>
      <c r="BJ14" s="391"/>
      <c r="BK14" s="393">
        <f t="shared" si="2"/>
        <v>0</v>
      </c>
      <c r="BL14" s="394">
        <f t="shared" si="2"/>
        <v>0</v>
      </c>
      <c r="BM14" s="6"/>
      <c r="BN14" s="56">
        <v>11</v>
      </c>
      <c r="BO14" s="518">
        <v>19</v>
      </c>
      <c r="BP14" s="124"/>
      <c r="BQ14" s="390"/>
      <c r="BR14" s="55"/>
      <c r="BS14" s="380"/>
      <c r="BT14" s="187">
        <v>27</v>
      </c>
      <c r="BU14" s="67">
        <v>129</v>
      </c>
      <c r="BV14" s="41"/>
      <c r="BW14" s="390"/>
      <c r="BX14" s="42"/>
      <c r="BY14" s="391"/>
      <c r="BZ14" s="190">
        <v>60</v>
      </c>
      <c r="CA14" s="58">
        <v>122</v>
      </c>
      <c r="CB14" s="41"/>
      <c r="CC14" s="390"/>
      <c r="CD14" s="40"/>
      <c r="CE14" s="391"/>
      <c r="CF14" s="393">
        <f t="shared" si="3"/>
        <v>98</v>
      </c>
      <c r="CG14" s="395">
        <f t="shared" si="3"/>
        <v>270</v>
      </c>
      <c r="CH14" s="60"/>
      <c r="CI14" s="396"/>
      <c r="CJ14" s="60"/>
      <c r="CK14" s="41"/>
      <c r="CL14" s="391"/>
      <c r="CM14" s="50"/>
      <c r="CN14" s="380"/>
      <c r="CO14" s="187"/>
      <c r="CP14" s="57"/>
    </row>
    <row r="15" spans="1:94" ht="15.75" thickBot="1" x14ac:dyDescent="0.3">
      <c r="A15" s="48">
        <v>46092</v>
      </c>
      <c r="B15" s="466" t="s">
        <v>16</v>
      </c>
      <c r="C15" s="50"/>
      <c r="D15" s="51"/>
      <c r="E15" s="51"/>
      <c r="F15" s="380"/>
      <c r="G15" s="50"/>
      <c r="H15" s="381"/>
      <c r="I15" s="50"/>
      <c r="J15" s="51"/>
      <c r="K15" s="51"/>
      <c r="L15" s="380"/>
      <c r="M15" s="124"/>
      <c r="N15" s="382"/>
      <c r="O15" s="50"/>
      <c r="P15" s="55"/>
      <c r="Q15" s="41"/>
      <c r="R15" s="391"/>
      <c r="S15" s="397"/>
      <c r="T15" s="398"/>
      <c r="U15" s="388">
        <f t="shared" si="0"/>
        <v>0</v>
      </c>
      <c r="V15" s="31">
        <f t="shared" si="0"/>
        <v>0</v>
      </c>
      <c r="W15" s="502"/>
      <c r="X15" s="50"/>
      <c r="Y15" s="51"/>
      <c r="Z15" s="51"/>
      <c r="AA15" s="380"/>
      <c r="AB15" s="50"/>
      <c r="AC15" s="381"/>
      <c r="AD15" s="50"/>
      <c r="AE15" s="51"/>
      <c r="AF15" s="51"/>
      <c r="AG15" s="65"/>
      <c r="AH15" s="389"/>
      <c r="AI15" s="380"/>
      <c r="AJ15" s="50"/>
      <c r="AK15" s="65"/>
      <c r="AL15" s="51"/>
      <c r="AM15" s="380"/>
      <c r="AN15" s="50"/>
      <c r="AO15" s="381"/>
      <c r="AP15" s="162">
        <f t="shared" si="1"/>
        <v>0</v>
      </c>
      <c r="AQ15" s="127">
        <f t="shared" si="1"/>
        <v>0</v>
      </c>
      <c r="AR15" s="6"/>
      <c r="AS15" s="40"/>
      <c r="AT15" s="41"/>
      <c r="AU15" s="41">
        <v>21</v>
      </c>
      <c r="AV15" s="391">
        <v>36</v>
      </c>
      <c r="AW15" s="124"/>
      <c r="AX15" s="391"/>
      <c r="AY15" s="124"/>
      <c r="AZ15" s="41"/>
      <c r="BA15" s="41">
        <v>19</v>
      </c>
      <c r="BB15" s="42">
        <v>108</v>
      </c>
      <c r="BC15" s="392"/>
      <c r="BD15" s="391"/>
      <c r="BE15" s="124"/>
      <c r="BF15" s="42"/>
      <c r="BG15" s="41">
        <v>80</v>
      </c>
      <c r="BH15" s="391">
        <v>158</v>
      </c>
      <c r="BI15" s="124"/>
      <c r="BJ15" s="391"/>
      <c r="BK15" s="143">
        <f t="shared" si="2"/>
        <v>120</v>
      </c>
      <c r="BL15" s="481">
        <f t="shared" si="2"/>
        <v>302</v>
      </c>
      <c r="BM15" s="6"/>
      <c r="BN15" s="56">
        <v>11</v>
      </c>
      <c r="BO15" s="518">
        <v>19</v>
      </c>
      <c r="BP15" s="124"/>
      <c r="BQ15" s="390"/>
      <c r="BR15" s="55"/>
      <c r="BS15" s="380"/>
      <c r="BT15" s="187">
        <v>27</v>
      </c>
      <c r="BU15" s="67">
        <v>129</v>
      </c>
      <c r="BV15" s="41"/>
      <c r="BW15" s="390"/>
      <c r="BX15" s="42"/>
      <c r="BY15" s="391"/>
      <c r="BZ15" s="190">
        <v>60</v>
      </c>
      <c r="CA15" s="58">
        <v>122</v>
      </c>
      <c r="CB15" s="41"/>
      <c r="CC15" s="390"/>
      <c r="CD15" s="40"/>
      <c r="CE15" s="391"/>
      <c r="CF15" s="143">
        <f t="shared" si="3"/>
        <v>98</v>
      </c>
      <c r="CG15" s="114">
        <f t="shared" si="3"/>
        <v>270</v>
      </c>
      <c r="CH15" s="60"/>
      <c r="CI15" s="396"/>
      <c r="CJ15" s="60"/>
      <c r="CK15" s="41"/>
      <c r="CL15" s="391"/>
      <c r="CM15" s="50"/>
      <c r="CN15" s="380"/>
      <c r="CO15" s="187"/>
      <c r="CP15" s="57"/>
    </row>
    <row r="16" spans="1:94" ht="15.75" thickBot="1" x14ac:dyDescent="0.3">
      <c r="A16" s="48">
        <v>46093</v>
      </c>
      <c r="B16" s="467" t="s">
        <v>17</v>
      </c>
      <c r="C16" s="99">
        <v>119</v>
      </c>
      <c r="D16" s="74">
        <v>260</v>
      </c>
      <c r="E16" s="74"/>
      <c r="F16" s="292"/>
      <c r="G16" s="99"/>
      <c r="H16" s="293"/>
      <c r="I16" s="99">
        <v>41</v>
      </c>
      <c r="J16" s="74">
        <v>186</v>
      </c>
      <c r="K16" s="74"/>
      <c r="L16" s="292"/>
      <c r="M16" s="125"/>
      <c r="N16" s="294"/>
      <c r="O16" s="99">
        <v>107</v>
      </c>
      <c r="P16" s="78">
        <v>175</v>
      </c>
      <c r="Q16" s="77"/>
      <c r="R16" s="302"/>
      <c r="S16" s="307"/>
      <c r="T16" s="308"/>
      <c r="U16" s="211">
        <f t="shared" si="0"/>
        <v>267</v>
      </c>
      <c r="V16" s="212">
        <f t="shared" si="0"/>
        <v>621</v>
      </c>
      <c r="W16" s="502"/>
      <c r="X16" s="99">
        <v>166</v>
      </c>
      <c r="Y16" s="74">
        <v>228</v>
      </c>
      <c r="Z16" s="74"/>
      <c r="AA16" s="292"/>
      <c r="AB16" s="99"/>
      <c r="AC16" s="293"/>
      <c r="AD16" s="99">
        <v>333</v>
      </c>
      <c r="AE16" s="74">
        <v>1914</v>
      </c>
      <c r="AF16" s="74"/>
      <c r="AG16" s="75"/>
      <c r="AH16" s="301"/>
      <c r="AI16" s="292"/>
      <c r="AJ16" s="99">
        <v>690</v>
      </c>
      <c r="AK16" s="75">
        <v>2015</v>
      </c>
      <c r="AL16" s="74"/>
      <c r="AM16" s="292"/>
      <c r="AN16" s="99"/>
      <c r="AO16" s="293"/>
      <c r="AP16" s="125">
        <f t="shared" si="1"/>
        <v>1189</v>
      </c>
      <c r="AQ16" s="210">
        <f t="shared" si="1"/>
        <v>4157</v>
      </c>
      <c r="AR16" s="300"/>
      <c r="AS16" s="76">
        <v>815</v>
      </c>
      <c r="AT16" s="77">
        <v>1610</v>
      </c>
      <c r="AU16" s="77"/>
      <c r="AV16" s="302"/>
      <c r="AW16" s="125"/>
      <c r="AX16" s="302"/>
      <c r="AY16" s="125">
        <v>124</v>
      </c>
      <c r="AZ16" s="77">
        <v>931</v>
      </c>
      <c r="BA16" s="77"/>
      <c r="BB16" s="78"/>
      <c r="BC16" s="303"/>
      <c r="BD16" s="302"/>
      <c r="BE16" s="125">
        <v>241</v>
      </c>
      <c r="BF16" s="78">
        <v>587</v>
      </c>
      <c r="BG16" s="77"/>
      <c r="BH16" s="302"/>
      <c r="BI16" s="125"/>
      <c r="BJ16" s="302"/>
      <c r="BK16" s="69">
        <f t="shared" si="2"/>
        <v>1180</v>
      </c>
      <c r="BL16" s="209">
        <f t="shared" si="2"/>
        <v>3128</v>
      </c>
      <c r="BM16" s="300"/>
      <c r="BN16" s="80">
        <v>11</v>
      </c>
      <c r="BO16" s="514">
        <v>19</v>
      </c>
      <c r="BP16" s="125"/>
      <c r="BQ16" s="210"/>
      <c r="BR16" s="100"/>
      <c r="BS16" s="292"/>
      <c r="BT16" s="188">
        <v>27</v>
      </c>
      <c r="BU16" s="101">
        <v>129</v>
      </c>
      <c r="BV16" s="77"/>
      <c r="BW16" s="210"/>
      <c r="BX16" s="78"/>
      <c r="BY16" s="302"/>
      <c r="BZ16" s="192">
        <v>60</v>
      </c>
      <c r="CA16" s="82">
        <v>122</v>
      </c>
      <c r="CB16" s="77"/>
      <c r="CC16" s="210"/>
      <c r="CD16" s="76"/>
      <c r="CE16" s="302"/>
      <c r="CF16" s="69">
        <f t="shared" si="3"/>
        <v>98</v>
      </c>
      <c r="CG16" s="213">
        <f t="shared" si="3"/>
        <v>270</v>
      </c>
      <c r="CH16" s="304"/>
      <c r="CI16" s="379"/>
      <c r="CJ16" s="304"/>
      <c r="CK16" s="77"/>
      <c r="CL16" s="302"/>
      <c r="CM16" s="99"/>
      <c r="CN16" s="292"/>
      <c r="CO16" s="188">
        <v>0</v>
      </c>
      <c r="CP16" s="81">
        <v>0</v>
      </c>
    </row>
    <row r="17" spans="1:94" ht="15.75" thickBot="1" x14ac:dyDescent="0.3">
      <c r="A17" s="48">
        <v>46094</v>
      </c>
      <c r="B17" s="466" t="s">
        <v>18</v>
      </c>
      <c r="C17" s="236"/>
      <c r="D17" s="237"/>
      <c r="E17" s="237"/>
      <c r="F17" s="314"/>
      <c r="G17" s="236"/>
      <c r="H17" s="315"/>
      <c r="I17" s="236"/>
      <c r="J17" s="237"/>
      <c r="K17" s="237"/>
      <c r="L17" s="314"/>
      <c r="M17" s="243"/>
      <c r="N17" s="316"/>
      <c r="O17" s="236"/>
      <c r="P17" s="242"/>
      <c r="Q17" s="317"/>
      <c r="R17" s="318"/>
      <c r="S17" s="319"/>
      <c r="T17" s="320"/>
      <c r="U17" s="388">
        <f t="shared" si="0"/>
        <v>0</v>
      </c>
      <c r="V17" s="31">
        <f t="shared" si="0"/>
        <v>0</v>
      </c>
      <c r="W17" s="502"/>
      <c r="X17" s="236"/>
      <c r="Y17" s="237"/>
      <c r="Z17" s="237"/>
      <c r="AA17" s="314"/>
      <c r="AB17" s="236"/>
      <c r="AC17" s="315"/>
      <c r="AD17" s="236"/>
      <c r="AE17" s="237"/>
      <c r="AF17" s="237"/>
      <c r="AG17" s="324"/>
      <c r="AH17" s="325"/>
      <c r="AI17" s="314"/>
      <c r="AJ17" s="236"/>
      <c r="AK17" s="324"/>
      <c r="AL17" s="237"/>
      <c r="AM17" s="314"/>
      <c r="AN17" s="236"/>
      <c r="AO17" s="315"/>
      <c r="AP17" s="162">
        <f t="shared" si="1"/>
        <v>0</v>
      </c>
      <c r="AQ17" s="127">
        <f t="shared" si="1"/>
        <v>0</v>
      </c>
      <c r="AR17" s="322"/>
      <c r="AS17" s="327">
        <v>815</v>
      </c>
      <c r="AT17" s="317">
        <v>1610</v>
      </c>
      <c r="AU17" s="317"/>
      <c r="AV17" s="318"/>
      <c r="AW17" s="243"/>
      <c r="AX17" s="318"/>
      <c r="AY17" s="243">
        <v>123</v>
      </c>
      <c r="AZ17" s="317">
        <v>927</v>
      </c>
      <c r="BA17" s="317"/>
      <c r="BB17" s="242"/>
      <c r="BC17" s="328">
        <v>1</v>
      </c>
      <c r="BD17" s="318">
        <v>4</v>
      </c>
      <c r="BE17" s="243">
        <v>241</v>
      </c>
      <c r="BF17" s="242">
        <v>587</v>
      </c>
      <c r="BG17" s="317"/>
      <c r="BH17" s="318"/>
      <c r="BI17" s="243">
        <v>2</v>
      </c>
      <c r="BJ17" s="318">
        <v>2</v>
      </c>
      <c r="BK17" s="143">
        <f t="shared" si="2"/>
        <v>1182</v>
      </c>
      <c r="BL17" s="481">
        <f t="shared" si="2"/>
        <v>3130</v>
      </c>
      <c r="BM17" s="322"/>
      <c r="BN17" s="330">
        <v>11</v>
      </c>
      <c r="BO17" s="515">
        <v>19</v>
      </c>
      <c r="BP17" s="243">
        <v>22</v>
      </c>
      <c r="BQ17" s="326">
        <v>38</v>
      </c>
      <c r="BR17" s="241"/>
      <c r="BS17" s="314"/>
      <c r="BT17" s="332">
        <v>27</v>
      </c>
      <c r="BU17" s="333">
        <v>129</v>
      </c>
      <c r="BV17" s="317">
        <v>22</v>
      </c>
      <c r="BW17" s="326">
        <v>114</v>
      </c>
      <c r="BX17" s="242"/>
      <c r="BY17" s="318"/>
      <c r="BZ17" s="334">
        <v>60</v>
      </c>
      <c r="CA17" s="335">
        <v>122</v>
      </c>
      <c r="CB17" s="317"/>
      <c r="CC17" s="326"/>
      <c r="CD17" s="327"/>
      <c r="CE17" s="318"/>
      <c r="CF17" s="393">
        <f t="shared" si="3"/>
        <v>142</v>
      </c>
      <c r="CG17" s="114">
        <f t="shared" si="3"/>
        <v>422</v>
      </c>
      <c r="CH17" s="337"/>
      <c r="CI17" s="356"/>
      <c r="CJ17" s="337"/>
      <c r="CK17" s="317">
        <v>71</v>
      </c>
      <c r="CL17" s="318">
        <v>231</v>
      </c>
      <c r="CM17" s="236"/>
      <c r="CN17" s="314"/>
      <c r="CO17" s="332"/>
      <c r="CP17" s="333"/>
    </row>
    <row r="18" spans="1:94" ht="15.75" thickBot="1" x14ac:dyDescent="0.3">
      <c r="A18" s="87">
        <v>46095</v>
      </c>
      <c r="B18" s="466" t="s">
        <v>19</v>
      </c>
      <c r="C18" s="236"/>
      <c r="D18" s="237"/>
      <c r="E18" s="237"/>
      <c r="F18" s="314"/>
      <c r="G18" s="236"/>
      <c r="H18" s="315"/>
      <c r="I18" s="236"/>
      <c r="J18" s="237"/>
      <c r="K18" s="237"/>
      <c r="L18" s="314"/>
      <c r="M18" s="243"/>
      <c r="N18" s="316"/>
      <c r="O18" s="236"/>
      <c r="P18" s="242"/>
      <c r="Q18" s="317"/>
      <c r="R18" s="318"/>
      <c r="S18" s="319"/>
      <c r="T18" s="320"/>
      <c r="U18" s="388">
        <f t="shared" si="0"/>
        <v>0</v>
      </c>
      <c r="V18" s="31">
        <f t="shared" si="0"/>
        <v>0</v>
      </c>
      <c r="W18" s="502"/>
      <c r="X18" s="236"/>
      <c r="Y18" s="237"/>
      <c r="Z18" s="237"/>
      <c r="AA18" s="314"/>
      <c r="AB18" s="236"/>
      <c r="AC18" s="315"/>
      <c r="AD18" s="236"/>
      <c r="AE18" s="237"/>
      <c r="AF18" s="237"/>
      <c r="AG18" s="324"/>
      <c r="AH18" s="325"/>
      <c r="AI18" s="314"/>
      <c r="AJ18" s="236"/>
      <c r="AK18" s="324"/>
      <c r="AL18" s="237"/>
      <c r="AM18" s="314"/>
      <c r="AN18" s="236"/>
      <c r="AO18" s="315"/>
      <c r="AP18" s="124">
        <f t="shared" si="1"/>
        <v>0</v>
      </c>
      <c r="AQ18" s="127">
        <f t="shared" si="1"/>
        <v>0</v>
      </c>
      <c r="AR18" s="322"/>
      <c r="AS18" s="327"/>
      <c r="AT18" s="317"/>
      <c r="AU18" s="317"/>
      <c r="AV18" s="318"/>
      <c r="AW18" s="243"/>
      <c r="AX18" s="318"/>
      <c r="AY18" s="243"/>
      <c r="AZ18" s="317"/>
      <c r="BA18" s="317"/>
      <c r="BB18" s="242"/>
      <c r="BC18" s="328"/>
      <c r="BD18" s="318"/>
      <c r="BE18" s="243"/>
      <c r="BF18" s="242"/>
      <c r="BG18" s="317"/>
      <c r="BH18" s="318"/>
      <c r="BI18" s="243"/>
      <c r="BJ18" s="318"/>
      <c r="BK18" s="393">
        <f t="shared" si="2"/>
        <v>0</v>
      </c>
      <c r="BL18" s="394">
        <f t="shared" si="2"/>
        <v>0</v>
      </c>
      <c r="BM18" s="322"/>
      <c r="BN18" s="330">
        <v>33</v>
      </c>
      <c r="BO18" s="515">
        <v>57</v>
      </c>
      <c r="BP18" s="243"/>
      <c r="BQ18" s="326"/>
      <c r="BR18" s="241"/>
      <c r="BS18" s="314"/>
      <c r="BT18" s="332">
        <v>49</v>
      </c>
      <c r="BU18" s="333">
        <v>243</v>
      </c>
      <c r="BV18" s="317"/>
      <c r="BW18" s="326"/>
      <c r="BX18" s="242"/>
      <c r="BY18" s="318"/>
      <c r="BZ18" s="334">
        <v>60</v>
      </c>
      <c r="CA18" s="335">
        <v>122</v>
      </c>
      <c r="CB18" s="317"/>
      <c r="CC18" s="326"/>
      <c r="CD18" s="327"/>
      <c r="CE18" s="318"/>
      <c r="CF18" s="143">
        <f t="shared" si="3"/>
        <v>142</v>
      </c>
      <c r="CG18" s="395">
        <f t="shared" si="3"/>
        <v>422</v>
      </c>
      <c r="CH18" s="337"/>
      <c r="CI18" s="356"/>
      <c r="CJ18" s="337"/>
      <c r="CK18" s="317"/>
      <c r="CL18" s="318"/>
      <c r="CM18" s="236"/>
      <c r="CN18" s="314"/>
      <c r="CO18" s="332"/>
      <c r="CP18" s="333"/>
    </row>
    <row r="19" spans="1:94" ht="15.75" thickBot="1" x14ac:dyDescent="0.3">
      <c r="A19" s="488">
        <v>46096</v>
      </c>
      <c r="B19" s="466" t="s">
        <v>20</v>
      </c>
      <c r="C19" s="50"/>
      <c r="D19" s="51"/>
      <c r="E19" s="51"/>
      <c r="F19" s="380"/>
      <c r="G19" s="50"/>
      <c r="H19" s="381"/>
      <c r="I19" s="50"/>
      <c r="J19" s="51"/>
      <c r="K19" s="51"/>
      <c r="L19" s="380"/>
      <c r="M19" s="124"/>
      <c r="N19" s="382"/>
      <c r="O19" s="50"/>
      <c r="P19" s="42"/>
      <c r="Q19" s="41"/>
      <c r="R19" s="391"/>
      <c r="S19" s="397"/>
      <c r="T19" s="398"/>
      <c r="U19" s="388">
        <f t="shared" si="0"/>
        <v>0</v>
      </c>
      <c r="V19" s="31">
        <f t="shared" si="0"/>
        <v>0</v>
      </c>
      <c r="W19" s="502"/>
      <c r="X19" s="50"/>
      <c r="Y19" s="51"/>
      <c r="Z19" s="51"/>
      <c r="AA19" s="380"/>
      <c r="AB19" s="50"/>
      <c r="AC19" s="381"/>
      <c r="AD19" s="50"/>
      <c r="AE19" s="51"/>
      <c r="AF19" s="51"/>
      <c r="AG19" s="65"/>
      <c r="AH19" s="389"/>
      <c r="AI19" s="380"/>
      <c r="AJ19" s="50"/>
      <c r="AK19" s="65"/>
      <c r="AL19" s="51"/>
      <c r="AM19" s="380"/>
      <c r="AN19" s="50"/>
      <c r="AO19" s="381"/>
      <c r="AP19" s="124">
        <f t="shared" si="1"/>
        <v>0</v>
      </c>
      <c r="AQ19" s="127">
        <f t="shared" si="1"/>
        <v>0</v>
      </c>
      <c r="AR19" s="6"/>
      <c r="AS19" s="40"/>
      <c r="AT19" s="41"/>
      <c r="AU19" s="41"/>
      <c r="AV19" s="391"/>
      <c r="AW19" s="124"/>
      <c r="AX19" s="391"/>
      <c r="AY19" s="124"/>
      <c r="AZ19" s="41"/>
      <c r="BA19" s="41"/>
      <c r="BB19" s="42"/>
      <c r="BC19" s="392"/>
      <c r="BD19" s="391"/>
      <c r="BE19" s="124"/>
      <c r="BF19" s="42"/>
      <c r="BG19" s="41"/>
      <c r="BH19" s="391"/>
      <c r="BI19" s="124"/>
      <c r="BJ19" s="391"/>
      <c r="BK19" s="143">
        <f t="shared" si="2"/>
        <v>0</v>
      </c>
      <c r="BL19" s="481">
        <f t="shared" si="2"/>
        <v>0</v>
      </c>
      <c r="BM19" s="6"/>
      <c r="BN19" s="56">
        <v>33</v>
      </c>
      <c r="BO19" s="518">
        <v>57</v>
      </c>
      <c r="BP19" s="124"/>
      <c r="BQ19" s="390"/>
      <c r="BR19" s="55"/>
      <c r="BS19" s="380"/>
      <c r="BT19" s="187">
        <v>49</v>
      </c>
      <c r="BU19" s="67">
        <v>243</v>
      </c>
      <c r="BV19" s="41"/>
      <c r="BW19" s="390"/>
      <c r="BX19" s="42"/>
      <c r="BY19" s="391"/>
      <c r="BZ19" s="190">
        <v>60</v>
      </c>
      <c r="CA19" s="58">
        <v>122</v>
      </c>
      <c r="CB19" s="41"/>
      <c r="CC19" s="390"/>
      <c r="CD19" s="40"/>
      <c r="CE19" s="391"/>
      <c r="CF19" s="393">
        <f t="shared" si="3"/>
        <v>142</v>
      </c>
      <c r="CG19" s="114">
        <f t="shared" si="3"/>
        <v>422</v>
      </c>
      <c r="CH19" s="60"/>
      <c r="CI19" s="396"/>
      <c r="CJ19" s="60"/>
      <c r="CK19" s="41"/>
      <c r="CL19" s="391"/>
      <c r="CM19" s="50"/>
      <c r="CN19" s="380"/>
      <c r="CO19" s="187"/>
      <c r="CP19" s="67"/>
    </row>
    <row r="20" spans="1:94" ht="15.75" thickBot="1" x14ac:dyDescent="0.3">
      <c r="A20" s="48">
        <v>46097</v>
      </c>
      <c r="B20" s="466" t="s">
        <v>14</v>
      </c>
      <c r="C20" s="236"/>
      <c r="D20" s="237"/>
      <c r="E20" s="237"/>
      <c r="F20" s="314"/>
      <c r="G20" s="236"/>
      <c r="H20" s="315"/>
      <c r="I20" s="236"/>
      <c r="J20" s="237"/>
      <c r="K20" s="237"/>
      <c r="L20" s="314"/>
      <c r="M20" s="243"/>
      <c r="N20" s="316"/>
      <c r="O20" s="236"/>
      <c r="P20" s="242"/>
      <c r="Q20" s="317"/>
      <c r="R20" s="318"/>
      <c r="S20" s="319"/>
      <c r="T20" s="320"/>
      <c r="U20" s="388">
        <f t="shared" ref="U20:V36" si="4">C20+E20+G20+I20+K20+M20+O20+Q20+S20</f>
        <v>0</v>
      </c>
      <c r="V20" s="31">
        <f t="shared" si="4"/>
        <v>0</v>
      </c>
      <c r="W20" s="502"/>
      <c r="X20" s="236"/>
      <c r="Y20" s="237"/>
      <c r="Z20" s="237">
        <v>101</v>
      </c>
      <c r="AA20" s="314">
        <v>225</v>
      </c>
      <c r="AB20" s="236"/>
      <c r="AC20" s="315"/>
      <c r="AD20" s="236"/>
      <c r="AE20" s="237"/>
      <c r="AF20" s="237">
        <v>39</v>
      </c>
      <c r="AG20" s="324">
        <v>419</v>
      </c>
      <c r="AH20" s="325"/>
      <c r="AI20" s="314"/>
      <c r="AJ20" s="236"/>
      <c r="AK20" s="324"/>
      <c r="AL20" s="237">
        <v>118</v>
      </c>
      <c r="AM20" s="314">
        <v>306</v>
      </c>
      <c r="AN20" s="236"/>
      <c r="AO20" s="315"/>
      <c r="AP20" s="162">
        <f t="shared" ref="AP20:AQ31" si="5">X20+Z20+AB20+AD20+AF20+AH20+AJ20+AL20+AN20</f>
        <v>258</v>
      </c>
      <c r="AQ20" s="127">
        <f t="shared" si="5"/>
        <v>950</v>
      </c>
      <c r="AR20" s="322"/>
      <c r="AS20" s="327"/>
      <c r="AT20" s="317"/>
      <c r="AU20" s="317"/>
      <c r="AV20" s="318"/>
      <c r="AW20" s="243"/>
      <c r="AX20" s="318"/>
      <c r="AY20" s="243"/>
      <c r="AZ20" s="317"/>
      <c r="BA20" s="317"/>
      <c r="BB20" s="242"/>
      <c r="BC20" s="328"/>
      <c r="BD20" s="318"/>
      <c r="BE20" s="243"/>
      <c r="BF20" s="242"/>
      <c r="BG20" s="317"/>
      <c r="BH20" s="318"/>
      <c r="BI20" s="243">
        <v>1</v>
      </c>
      <c r="BJ20" s="318">
        <v>1</v>
      </c>
      <c r="BK20" s="393">
        <f t="shared" ref="BK20" si="6">AS20+AU20+AW20+AY20+BA20+BC20+BE20+BG20+BI20</f>
        <v>1</v>
      </c>
      <c r="BL20" s="394">
        <f t="shared" si="2"/>
        <v>1</v>
      </c>
      <c r="BM20" s="322"/>
      <c r="BN20" s="330">
        <v>33</v>
      </c>
      <c r="BO20" s="515">
        <v>57</v>
      </c>
      <c r="BP20" s="243"/>
      <c r="BQ20" s="326"/>
      <c r="BR20" s="241"/>
      <c r="BS20" s="314"/>
      <c r="BT20" s="332">
        <v>49</v>
      </c>
      <c r="BU20" s="333">
        <v>243</v>
      </c>
      <c r="BV20" s="317"/>
      <c r="BW20" s="326"/>
      <c r="BX20" s="242"/>
      <c r="BY20" s="318"/>
      <c r="BZ20" s="334">
        <v>60</v>
      </c>
      <c r="CA20" s="335">
        <v>122</v>
      </c>
      <c r="CB20" s="317"/>
      <c r="CC20" s="326"/>
      <c r="CD20" s="327"/>
      <c r="CE20" s="318"/>
      <c r="CF20" s="143">
        <f t="shared" ref="CF20:CG35" si="7">BN20+BP20+BR20+BT20+BV20+BX20+BZ20+CB20+CD20</f>
        <v>142</v>
      </c>
      <c r="CG20" s="395">
        <f t="shared" si="7"/>
        <v>422</v>
      </c>
      <c r="CH20" s="337"/>
      <c r="CI20" s="356"/>
      <c r="CJ20" s="337"/>
      <c r="CK20" s="317"/>
      <c r="CL20" s="318"/>
      <c r="CM20" s="236"/>
      <c r="CN20" s="314"/>
      <c r="CO20" s="332"/>
      <c r="CP20" s="333"/>
    </row>
    <row r="21" spans="1:94" ht="15.75" thickBot="1" x14ac:dyDescent="0.3">
      <c r="A21" s="48">
        <v>46098</v>
      </c>
      <c r="B21" s="466" t="s">
        <v>15</v>
      </c>
      <c r="C21" s="50"/>
      <c r="D21" s="51"/>
      <c r="E21" s="51"/>
      <c r="F21" s="380"/>
      <c r="G21" s="50"/>
      <c r="H21" s="381"/>
      <c r="I21" s="50"/>
      <c r="J21" s="51"/>
      <c r="K21" s="51"/>
      <c r="L21" s="380"/>
      <c r="M21" s="124"/>
      <c r="N21" s="382"/>
      <c r="O21" s="50"/>
      <c r="P21" s="42"/>
      <c r="Q21" s="41"/>
      <c r="R21" s="391"/>
      <c r="S21" s="397"/>
      <c r="T21" s="398"/>
      <c r="U21" s="388">
        <f t="shared" si="4"/>
        <v>0</v>
      </c>
      <c r="V21" s="31">
        <f t="shared" si="4"/>
        <v>0</v>
      </c>
      <c r="W21" s="502"/>
      <c r="X21" s="50"/>
      <c r="Y21" s="51"/>
      <c r="Z21" s="51"/>
      <c r="AA21" s="380"/>
      <c r="AB21" s="50"/>
      <c r="AC21" s="381"/>
      <c r="AD21" s="50"/>
      <c r="AE21" s="51"/>
      <c r="AF21" s="51"/>
      <c r="AG21" s="65"/>
      <c r="AH21" s="389"/>
      <c r="AI21" s="380"/>
      <c r="AJ21" s="50"/>
      <c r="AK21" s="65"/>
      <c r="AL21" s="51"/>
      <c r="AM21" s="380"/>
      <c r="AN21" s="50"/>
      <c r="AO21" s="381"/>
      <c r="AP21" s="124">
        <f t="shared" si="5"/>
        <v>0</v>
      </c>
      <c r="AQ21" s="127">
        <f t="shared" si="5"/>
        <v>0</v>
      </c>
      <c r="AR21" s="6"/>
      <c r="AS21" s="40"/>
      <c r="AT21" s="41"/>
      <c r="AU21" s="41"/>
      <c r="AV21" s="391"/>
      <c r="AW21" s="124"/>
      <c r="AX21" s="391"/>
      <c r="AY21" s="124"/>
      <c r="AZ21" s="41"/>
      <c r="BA21" s="41"/>
      <c r="BB21" s="42"/>
      <c r="BC21" s="392"/>
      <c r="BD21" s="391"/>
      <c r="BE21" s="124"/>
      <c r="BF21" s="42"/>
      <c r="BG21" s="41"/>
      <c r="BH21" s="391"/>
      <c r="BI21" s="124">
        <v>1</v>
      </c>
      <c r="BJ21" s="391">
        <v>5</v>
      </c>
      <c r="BK21" s="393">
        <f t="shared" si="2"/>
        <v>1</v>
      </c>
      <c r="BL21" s="481">
        <f t="shared" si="2"/>
        <v>5</v>
      </c>
      <c r="BM21" s="6"/>
      <c r="BN21" s="56">
        <v>33</v>
      </c>
      <c r="BO21" s="518">
        <v>57</v>
      </c>
      <c r="BP21" s="124"/>
      <c r="BQ21" s="390"/>
      <c r="BR21" s="55"/>
      <c r="BS21" s="380"/>
      <c r="BT21" s="187">
        <v>49</v>
      </c>
      <c r="BU21" s="67">
        <v>243</v>
      </c>
      <c r="BV21" s="41"/>
      <c r="BW21" s="390"/>
      <c r="BX21" s="42"/>
      <c r="BY21" s="391"/>
      <c r="BZ21" s="190">
        <v>60</v>
      </c>
      <c r="CA21" s="58">
        <v>122</v>
      </c>
      <c r="CB21" s="41"/>
      <c r="CC21" s="390"/>
      <c r="CD21" s="40"/>
      <c r="CE21" s="391"/>
      <c r="CF21" s="393">
        <f t="shared" si="7"/>
        <v>142</v>
      </c>
      <c r="CG21" s="114">
        <f t="shared" si="7"/>
        <v>422</v>
      </c>
      <c r="CH21" s="60"/>
      <c r="CI21" s="396"/>
      <c r="CJ21" s="60"/>
      <c r="CK21" s="41"/>
      <c r="CL21" s="391"/>
      <c r="CM21" s="50"/>
      <c r="CN21" s="380"/>
      <c r="CO21" s="187"/>
      <c r="CP21" s="57"/>
    </row>
    <row r="22" spans="1:94" ht="15.75" thickBot="1" x14ac:dyDescent="0.3">
      <c r="A22" s="48">
        <v>46099</v>
      </c>
      <c r="B22" s="466" t="s">
        <v>16</v>
      </c>
      <c r="C22" s="50"/>
      <c r="D22" s="51"/>
      <c r="E22" s="51"/>
      <c r="F22" s="380"/>
      <c r="G22" s="50"/>
      <c r="H22" s="381"/>
      <c r="I22" s="50"/>
      <c r="J22" s="51"/>
      <c r="K22" s="51"/>
      <c r="L22" s="380"/>
      <c r="M22" s="124"/>
      <c r="N22" s="382"/>
      <c r="O22" s="50"/>
      <c r="P22" s="42"/>
      <c r="Q22" s="41"/>
      <c r="R22" s="391"/>
      <c r="S22" s="397"/>
      <c r="T22" s="398"/>
      <c r="U22" s="388">
        <f t="shared" si="4"/>
        <v>0</v>
      </c>
      <c r="V22" s="31">
        <f t="shared" si="4"/>
        <v>0</v>
      </c>
      <c r="W22" s="502"/>
      <c r="X22" s="50"/>
      <c r="Y22" s="51"/>
      <c r="Z22" s="51"/>
      <c r="AA22" s="380"/>
      <c r="AB22" s="50"/>
      <c r="AC22" s="381"/>
      <c r="AD22" s="50"/>
      <c r="AE22" s="51"/>
      <c r="AF22" s="51"/>
      <c r="AG22" s="65"/>
      <c r="AH22" s="389"/>
      <c r="AI22" s="380"/>
      <c r="AJ22" s="50"/>
      <c r="AK22" s="65"/>
      <c r="AL22" s="51"/>
      <c r="AM22" s="380"/>
      <c r="AN22" s="50"/>
      <c r="AO22" s="381"/>
      <c r="AP22" s="162">
        <f t="shared" si="5"/>
        <v>0</v>
      </c>
      <c r="AQ22" s="127">
        <f t="shared" si="5"/>
        <v>0</v>
      </c>
      <c r="AR22" s="6"/>
      <c r="AS22" s="40"/>
      <c r="AT22" s="41"/>
      <c r="AU22" s="41"/>
      <c r="AV22" s="391"/>
      <c r="AW22" s="124">
        <v>1</v>
      </c>
      <c r="AX22" s="391">
        <v>2</v>
      </c>
      <c r="AY22" s="124"/>
      <c r="AZ22" s="41"/>
      <c r="BA22" s="41"/>
      <c r="BB22" s="42"/>
      <c r="BC22" s="392"/>
      <c r="BD22" s="391"/>
      <c r="BE22" s="124"/>
      <c r="BF22" s="42"/>
      <c r="BG22" s="41"/>
      <c r="BH22" s="391"/>
      <c r="BI22" s="124"/>
      <c r="BJ22" s="391"/>
      <c r="BK22" s="143">
        <f t="shared" ref="BK22:BL36" si="8">AS22+AU22+AW22+AY22+BA22+BC22+BE22+BG22+BI22</f>
        <v>1</v>
      </c>
      <c r="BL22" s="394">
        <f t="shared" si="8"/>
        <v>2</v>
      </c>
      <c r="BM22" s="6"/>
      <c r="BN22" s="56">
        <v>33</v>
      </c>
      <c r="BO22" s="518">
        <v>57</v>
      </c>
      <c r="BP22" s="124"/>
      <c r="BQ22" s="390"/>
      <c r="BR22" s="55"/>
      <c r="BS22" s="380"/>
      <c r="BT22" s="187">
        <v>49</v>
      </c>
      <c r="BU22" s="67">
        <v>243</v>
      </c>
      <c r="BV22" s="41"/>
      <c r="BW22" s="390"/>
      <c r="BX22" s="42"/>
      <c r="BY22" s="391"/>
      <c r="BZ22" s="190">
        <v>60</v>
      </c>
      <c r="CA22" s="58">
        <v>122</v>
      </c>
      <c r="CB22" s="41"/>
      <c r="CC22" s="390"/>
      <c r="CD22" s="40"/>
      <c r="CE22" s="391"/>
      <c r="CF22" s="143">
        <f t="shared" si="7"/>
        <v>142</v>
      </c>
      <c r="CG22" s="395">
        <f t="shared" si="7"/>
        <v>422</v>
      </c>
      <c r="CH22" s="60"/>
      <c r="CI22" s="396"/>
      <c r="CJ22" s="60"/>
      <c r="CK22" s="41"/>
      <c r="CL22" s="391"/>
      <c r="CM22" s="50">
        <v>1</v>
      </c>
      <c r="CN22" s="380">
        <v>1</v>
      </c>
      <c r="CO22" s="187"/>
      <c r="CP22" s="57"/>
    </row>
    <row r="23" spans="1:94" ht="15.75" thickBot="1" x14ac:dyDescent="0.3">
      <c r="A23" s="48">
        <v>46100</v>
      </c>
      <c r="B23" s="467" t="s">
        <v>17</v>
      </c>
      <c r="C23" s="99">
        <v>126</v>
      </c>
      <c r="D23" s="74">
        <v>286</v>
      </c>
      <c r="E23" s="74"/>
      <c r="F23" s="292"/>
      <c r="G23" s="99"/>
      <c r="H23" s="293"/>
      <c r="I23" s="99">
        <v>49</v>
      </c>
      <c r="J23" s="74">
        <v>221</v>
      </c>
      <c r="K23" s="74"/>
      <c r="L23" s="292"/>
      <c r="M23" s="125"/>
      <c r="N23" s="294"/>
      <c r="O23" s="99">
        <v>147</v>
      </c>
      <c r="P23" s="78">
        <v>197</v>
      </c>
      <c r="Q23" s="77"/>
      <c r="R23" s="302"/>
      <c r="S23" s="307"/>
      <c r="T23" s="308"/>
      <c r="U23" s="211">
        <f t="shared" si="4"/>
        <v>322</v>
      </c>
      <c r="V23" s="212">
        <f t="shared" si="4"/>
        <v>704</v>
      </c>
      <c r="W23" s="502"/>
      <c r="X23" s="99">
        <v>267</v>
      </c>
      <c r="Y23" s="74">
        <v>453</v>
      </c>
      <c r="Z23" s="74"/>
      <c r="AA23" s="292"/>
      <c r="AB23" s="99"/>
      <c r="AC23" s="293"/>
      <c r="AD23" s="99">
        <v>372</v>
      </c>
      <c r="AE23" s="74">
        <v>2333</v>
      </c>
      <c r="AF23" s="74"/>
      <c r="AG23" s="75"/>
      <c r="AH23" s="301"/>
      <c r="AI23" s="292"/>
      <c r="AJ23" s="99">
        <v>808</v>
      </c>
      <c r="AK23" s="75">
        <v>2321</v>
      </c>
      <c r="AL23" s="74"/>
      <c r="AM23" s="292"/>
      <c r="AN23" s="99"/>
      <c r="AO23" s="293"/>
      <c r="AP23" s="125">
        <f t="shared" si="5"/>
        <v>1447</v>
      </c>
      <c r="AQ23" s="210">
        <f t="shared" si="5"/>
        <v>5107</v>
      </c>
      <c r="AR23" s="300"/>
      <c r="AS23" s="507">
        <v>815</v>
      </c>
      <c r="AT23" s="507">
        <v>1610</v>
      </c>
      <c r="AU23" s="77"/>
      <c r="AV23" s="302"/>
      <c r="AW23" s="125"/>
      <c r="AX23" s="302"/>
      <c r="AY23" s="125">
        <v>123</v>
      </c>
      <c r="AZ23" s="77">
        <v>927</v>
      </c>
      <c r="BA23" s="77"/>
      <c r="BB23" s="78"/>
      <c r="BC23" s="303"/>
      <c r="BD23" s="302"/>
      <c r="BE23" s="125">
        <v>241</v>
      </c>
      <c r="BF23" s="78">
        <v>587</v>
      </c>
      <c r="BG23" s="77"/>
      <c r="BH23" s="302"/>
      <c r="BI23" s="125"/>
      <c r="BJ23" s="302"/>
      <c r="BK23" s="69">
        <f t="shared" si="8"/>
        <v>1179</v>
      </c>
      <c r="BL23" s="209">
        <f t="shared" si="8"/>
        <v>3124</v>
      </c>
      <c r="BM23" s="300"/>
      <c r="BN23" s="80">
        <v>33</v>
      </c>
      <c r="BO23" s="520">
        <v>57</v>
      </c>
      <c r="BP23" s="125"/>
      <c r="BQ23" s="210"/>
      <c r="BR23" s="100"/>
      <c r="BS23" s="292"/>
      <c r="BT23" s="188">
        <v>49</v>
      </c>
      <c r="BU23" s="101">
        <v>243</v>
      </c>
      <c r="BV23" s="77"/>
      <c r="BW23" s="210"/>
      <c r="BX23" s="78"/>
      <c r="BY23" s="302"/>
      <c r="BZ23" s="192">
        <v>60</v>
      </c>
      <c r="CA23" s="82">
        <v>122</v>
      </c>
      <c r="CB23" s="77"/>
      <c r="CC23" s="210"/>
      <c r="CD23" s="76"/>
      <c r="CE23" s="302"/>
      <c r="CF23" s="69">
        <f t="shared" si="7"/>
        <v>142</v>
      </c>
      <c r="CG23" s="213">
        <f t="shared" si="7"/>
        <v>422</v>
      </c>
      <c r="CH23" s="304"/>
      <c r="CI23" s="379"/>
      <c r="CJ23" s="304"/>
      <c r="CK23" s="77"/>
      <c r="CL23" s="302"/>
      <c r="CM23" s="99"/>
      <c r="CN23" s="292"/>
      <c r="CO23" s="188">
        <v>3</v>
      </c>
      <c r="CP23" s="81">
        <v>14</v>
      </c>
    </row>
    <row r="24" spans="1:94" ht="15.75" thickBot="1" x14ac:dyDescent="0.3">
      <c r="A24" s="48">
        <v>46101</v>
      </c>
      <c r="B24" s="466" t="s">
        <v>18</v>
      </c>
      <c r="C24" s="236"/>
      <c r="D24" s="237"/>
      <c r="E24" s="237"/>
      <c r="F24" s="314"/>
      <c r="G24" s="236"/>
      <c r="H24" s="315"/>
      <c r="I24" s="236"/>
      <c r="J24" s="237"/>
      <c r="K24" s="237"/>
      <c r="L24" s="314"/>
      <c r="M24" s="243"/>
      <c r="N24" s="316"/>
      <c r="O24" s="236"/>
      <c r="P24" s="242"/>
      <c r="Q24" s="317"/>
      <c r="R24" s="318"/>
      <c r="S24" s="319"/>
      <c r="T24" s="320"/>
      <c r="U24" s="388">
        <f t="shared" si="4"/>
        <v>0</v>
      </c>
      <c r="V24" s="31">
        <f t="shared" si="4"/>
        <v>0</v>
      </c>
      <c r="W24" s="502"/>
      <c r="X24" s="236"/>
      <c r="Y24" s="237"/>
      <c r="Z24" s="237"/>
      <c r="AA24" s="314"/>
      <c r="AB24" s="236"/>
      <c r="AC24" s="315"/>
      <c r="AD24" s="236"/>
      <c r="AE24" s="237"/>
      <c r="AF24" s="237"/>
      <c r="AG24" s="324"/>
      <c r="AH24" s="325"/>
      <c r="AI24" s="314"/>
      <c r="AJ24" s="236"/>
      <c r="AK24" s="324"/>
      <c r="AL24" s="237"/>
      <c r="AM24" s="314"/>
      <c r="AN24" s="236"/>
      <c r="AO24" s="315"/>
      <c r="AP24" s="124">
        <f t="shared" si="5"/>
        <v>0</v>
      </c>
      <c r="AQ24" s="127">
        <f t="shared" si="5"/>
        <v>0</v>
      </c>
      <c r="AR24" s="322"/>
      <c r="AS24" s="327"/>
      <c r="AT24" s="317"/>
      <c r="AU24" s="317"/>
      <c r="AV24" s="318"/>
      <c r="AW24" s="243"/>
      <c r="AX24" s="318"/>
      <c r="AY24" s="243"/>
      <c r="AZ24" s="317"/>
      <c r="BA24" s="317"/>
      <c r="BB24" s="242"/>
      <c r="BC24" s="328"/>
      <c r="BD24" s="318"/>
      <c r="BE24" s="243"/>
      <c r="BF24" s="242"/>
      <c r="BG24" s="317"/>
      <c r="BH24" s="318"/>
      <c r="BI24" s="243"/>
      <c r="BJ24" s="318"/>
      <c r="BK24" s="143">
        <f t="shared" si="8"/>
        <v>0</v>
      </c>
      <c r="BL24" s="394">
        <f t="shared" si="8"/>
        <v>0</v>
      </c>
      <c r="BM24" s="322"/>
      <c r="BN24" s="330">
        <v>33</v>
      </c>
      <c r="BO24" s="515">
        <v>57</v>
      </c>
      <c r="BP24" s="243"/>
      <c r="BQ24" s="326"/>
      <c r="BR24" s="241"/>
      <c r="BS24" s="314"/>
      <c r="BT24" s="332">
        <v>49</v>
      </c>
      <c r="BU24" s="333">
        <v>243</v>
      </c>
      <c r="BV24" s="317"/>
      <c r="BW24" s="326"/>
      <c r="BX24" s="242"/>
      <c r="BY24" s="318"/>
      <c r="BZ24" s="334">
        <v>60</v>
      </c>
      <c r="CA24" s="335">
        <v>122</v>
      </c>
      <c r="CB24" s="317"/>
      <c r="CC24" s="326"/>
      <c r="CD24" s="327"/>
      <c r="CE24" s="318"/>
      <c r="CF24" s="143">
        <f t="shared" si="7"/>
        <v>142</v>
      </c>
      <c r="CG24" s="395">
        <f t="shared" si="7"/>
        <v>422</v>
      </c>
      <c r="CH24" s="337"/>
      <c r="CI24" s="356"/>
      <c r="CJ24" s="337"/>
      <c r="CK24" s="317"/>
      <c r="CL24" s="318"/>
      <c r="CM24" s="236"/>
      <c r="CN24" s="314"/>
      <c r="CO24" s="332"/>
      <c r="CP24" s="333"/>
    </row>
    <row r="25" spans="1:94" ht="15.75" thickBot="1" x14ac:dyDescent="0.3">
      <c r="A25" s="488">
        <v>46102</v>
      </c>
      <c r="B25" s="489" t="s">
        <v>19</v>
      </c>
      <c r="C25" s="138"/>
      <c r="D25" s="218"/>
      <c r="E25" s="120"/>
      <c r="F25" s="167"/>
      <c r="G25" s="138"/>
      <c r="H25" s="148"/>
      <c r="I25" s="138"/>
      <c r="J25" s="218"/>
      <c r="K25" s="120"/>
      <c r="L25" s="167"/>
      <c r="M25" s="162"/>
      <c r="N25" s="157"/>
      <c r="O25" s="162"/>
      <c r="P25" s="141"/>
      <c r="Q25" s="117"/>
      <c r="R25" s="170"/>
      <c r="S25" s="137"/>
      <c r="T25" s="174"/>
      <c r="U25" s="388">
        <f t="shared" si="4"/>
        <v>0</v>
      </c>
      <c r="V25" s="31">
        <f t="shared" si="4"/>
        <v>0</v>
      </c>
      <c r="W25" s="502"/>
      <c r="X25" s="138"/>
      <c r="Y25" s="120"/>
      <c r="Z25" s="120"/>
      <c r="AA25" s="167"/>
      <c r="AB25" s="138"/>
      <c r="AC25" s="148"/>
      <c r="AD25" s="138"/>
      <c r="AE25" s="120"/>
      <c r="AF25" s="120"/>
      <c r="AG25" s="121"/>
      <c r="AH25" s="132"/>
      <c r="AI25" s="167"/>
      <c r="AJ25" s="138"/>
      <c r="AK25" s="121"/>
      <c r="AL25" s="120"/>
      <c r="AM25" s="167"/>
      <c r="AN25" s="138"/>
      <c r="AO25" s="148"/>
      <c r="AP25" s="162">
        <f t="shared" si="5"/>
        <v>0</v>
      </c>
      <c r="AQ25" s="127">
        <f t="shared" si="5"/>
        <v>0</v>
      </c>
      <c r="AR25" s="479"/>
      <c r="AS25" s="152"/>
      <c r="AT25" s="117"/>
      <c r="AU25" s="117"/>
      <c r="AV25" s="170"/>
      <c r="AW25" s="162"/>
      <c r="AX25" s="170"/>
      <c r="AY25" s="162"/>
      <c r="AZ25" s="117"/>
      <c r="BA25" s="117"/>
      <c r="BB25" s="141"/>
      <c r="BC25" s="179"/>
      <c r="BD25" s="170"/>
      <c r="BE25" s="162"/>
      <c r="BF25" s="141"/>
      <c r="BG25" s="117"/>
      <c r="BH25" s="170"/>
      <c r="BI25" s="162"/>
      <c r="BJ25" s="170"/>
      <c r="BK25" s="393">
        <f t="shared" si="8"/>
        <v>0</v>
      </c>
      <c r="BL25" s="481">
        <f t="shared" si="8"/>
        <v>0</v>
      </c>
      <c r="BM25" s="479"/>
      <c r="BN25" s="482">
        <v>33</v>
      </c>
      <c r="BO25" s="519">
        <v>57</v>
      </c>
      <c r="BP25" s="162"/>
      <c r="BQ25" s="127"/>
      <c r="BR25" s="140"/>
      <c r="BS25" s="167"/>
      <c r="BT25" s="207">
        <v>49</v>
      </c>
      <c r="BU25" s="483">
        <v>243</v>
      </c>
      <c r="BV25" s="117"/>
      <c r="BW25" s="127"/>
      <c r="BX25" s="141"/>
      <c r="BY25" s="170"/>
      <c r="BZ25" s="484">
        <v>60</v>
      </c>
      <c r="CA25" s="485">
        <v>122</v>
      </c>
      <c r="CB25" s="117"/>
      <c r="CC25" s="127"/>
      <c r="CD25" s="152"/>
      <c r="CE25" s="170"/>
      <c r="CF25" s="393">
        <f t="shared" si="7"/>
        <v>142</v>
      </c>
      <c r="CG25" s="114">
        <f t="shared" si="7"/>
        <v>422</v>
      </c>
      <c r="CH25" s="486"/>
      <c r="CI25" s="487"/>
      <c r="CJ25" s="486"/>
      <c r="CK25" s="117"/>
      <c r="CL25" s="170"/>
      <c r="CM25" s="138"/>
      <c r="CN25" s="167"/>
      <c r="CO25" s="207"/>
      <c r="CP25" s="483"/>
    </row>
    <row r="26" spans="1:94" ht="15.75" thickBot="1" x14ac:dyDescent="0.3">
      <c r="A26" s="87">
        <v>46103</v>
      </c>
      <c r="B26" s="489" t="s">
        <v>20</v>
      </c>
      <c r="C26" s="140"/>
      <c r="D26" s="117"/>
      <c r="E26" s="138"/>
      <c r="F26" s="167"/>
      <c r="G26" s="138"/>
      <c r="H26" s="148"/>
      <c r="I26" s="140"/>
      <c r="J26" s="117"/>
      <c r="K26" s="138"/>
      <c r="L26" s="167"/>
      <c r="M26" s="162"/>
      <c r="N26" s="157"/>
      <c r="O26" s="138"/>
      <c r="P26" s="141"/>
      <c r="Q26" s="117"/>
      <c r="R26" s="170"/>
      <c r="S26" s="137"/>
      <c r="T26" s="174"/>
      <c r="U26" s="388">
        <f t="shared" si="4"/>
        <v>0</v>
      </c>
      <c r="V26" s="31">
        <f t="shared" si="4"/>
        <v>0</v>
      </c>
      <c r="W26" s="502"/>
      <c r="X26" s="138"/>
      <c r="Y26" s="120"/>
      <c r="Z26" s="120"/>
      <c r="AA26" s="167"/>
      <c r="AB26" s="138"/>
      <c r="AC26" s="148"/>
      <c r="AD26" s="138"/>
      <c r="AE26" s="120"/>
      <c r="AF26" s="120"/>
      <c r="AG26" s="121"/>
      <c r="AH26" s="132"/>
      <c r="AI26" s="167"/>
      <c r="AJ26" s="138"/>
      <c r="AK26" s="121"/>
      <c r="AL26" s="120"/>
      <c r="AM26" s="167"/>
      <c r="AN26" s="138"/>
      <c r="AO26" s="148"/>
      <c r="AP26" s="124">
        <f t="shared" si="5"/>
        <v>0</v>
      </c>
      <c r="AQ26" s="127">
        <f t="shared" si="5"/>
        <v>0</v>
      </c>
      <c r="AR26" s="479"/>
      <c r="AS26" s="152"/>
      <c r="AT26" s="117"/>
      <c r="AU26" s="117"/>
      <c r="AV26" s="170"/>
      <c r="AW26" s="162"/>
      <c r="AX26" s="170"/>
      <c r="AY26" s="162"/>
      <c r="AZ26" s="117"/>
      <c r="BA26" s="117"/>
      <c r="BB26" s="141"/>
      <c r="BC26" s="179"/>
      <c r="BD26" s="170"/>
      <c r="BE26" s="162"/>
      <c r="BF26" s="141"/>
      <c r="BG26" s="117"/>
      <c r="BH26" s="170"/>
      <c r="BI26" s="162"/>
      <c r="BJ26" s="170"/>
      <c r="BK26" s="143">
        <f t="shared" si="8"/>
        <v>0</v>
      </c>
      <c r="BL26" s="394">
        <f t="shared" si="8"/>
        <v>0</v>
      </c>
      <c r="BM26" s="479"/>
      <c r="BN26" s="482">
        <v>33</v>
      </c>
      <c r="BO26" s="519">
        <v>57</v>
      </c>
      <c r="BP26" s="162"/>
      <c r="BQ26" s="127"/>
      <c r="BR26" s="140"/>
      <c r="BS26" s="167"/>
      <c r="BT26" s="207">
        <v>49</v>
      </c>
      <c r="BU26" s="483">
        <v>243</v>
      </c>
      <c r="BV26" s="117"/>
      <c r="BW26" s="127"/>
      <c r="BX26" s="141"/>
      <c r="BY26" s="170"/>
      <c r="BZ26" s="484">
        <v>60</v>
      </c>
      <c r="CA26" s="485">
        <v>122</v>
      </c>
      <c r="CB26" s="117"/>
      <c r="CC26" s="127"/>
      <c r="CD26" s="152"/>
      <c r="CE26" s="170"/>
      <c r="CF26" s="143">
        <f t="shared" si="7"/>
        <v>142</v>
      </c>
      <c r="CG26" s="395">
        <f t="shared" si="7"/>
        <v>422</v>
      </c>
      <c r="CH26" s="486"/>
      <c r="CI26" s="487"/>
      <c r="CJ26" s="486"/>
      <c r="CK26" s="117"/>
      <c r="CL26" s="170"/>
      <c r="CM26" s="138"/>
      <c r="CN26" s="167"/>
      <c r="CO26" s="207"/>
      <c r="CP26" s="483"/>
    </row>
    <row r="27" spans="1:94" ht="15.75" thickBot="1" x14ac:dyDescent="0.3">
      <c r="A27" s="48">
        <v>46104</v>
      </c>
      <c r="B27" s="466" t="s">
        <v>14</v>
      </c>
      <c r="C27" s="50"/>
      <c r="D27" s="51"/>
      <c r="E27" s="51"/>
      <c r="F27" s="380"/>
      <c r="G27" s="50"/>
      <c r="H27" s="381"/>
      <c r="I27" s="50"/>
      <c r="J27" s="51"/>
      <c r="K27" s="51"/>
      <c r="L27" s="380"/>
      <c r="M27" s="124"/>
      <c r="N27" s="382"/>
      <c r="O27" s="50"/>
      <c r="P27" s="42"/>
      <c r="Q27" s="41"/>
      <c r="R27" s="391"/>
      <c r="S27" s="397"/>
      <c r="T27" s="398"/>
      <c r="U27" s="388">
        <f t="shared" si="4"/>
        <v>0</v>
      </c>
      <c r="V27" s="31">
        <f t="shared" si="4"/>
        <v>0</v>
      </c>
      <c r="W27" s="502"/>
      <c r="X27" s="236"/>
      <c r="Y27" s="237"/>
      <c r="Z27" s="237">
        <v>84</v>
      </c>
      <c r="AA27" s="314">
        <v>161</v>
      </c>
      <c r="AB27" s="236"/>
      <c r="AC27" s="315"/>
      <c r="AD27" s="236"/>
      <c r="AE27" s="237"/>
      <c r="AF27" s="237">
        <v>115</v>
      </c>
      <c r="AG27" s="324">
        <v>518</v>
      </c>
      <c r="AH27" s="325"/>
      <c r="AI27" s="314"/>
      <c r="AJ27" s="236"/>
      <c r="AK27" s="324"/>
      <c r="AL27" s="237">
        <v>145</v>
      </c>
      <c r="AM27" s="314">
        <v>308</v>
      </c>
      <c r="AN27" s="236"/>
      <c r="AO27" s="315"/>
      <c r="AP27" s="162">
        <f t="shared" si="5"/>
        <v>344</v>
      </c>
      <c r="AQ27" s="127">
        <f t="shared" si="5"/>
        <v>987</v>
      </c>
      <c r="AR27" s="322"/>
      <c r="AS27" s="327"/>
      <c r="AT27" s="317"/>
      <c r="AU27" s="317"/>
      <c r="AV27" s="318"/>
      <c r="AW27" s="243"/>
      <c r="AX27" s="318"/>
      <c r="AY27" s="243"/>
      <c r="AZ27" s="317"/>
      <c r="BA27" s="317"/>
      <c r="BB27" s="242"/>
      <c r="BC27" s="328"/>
      <c r="BD27" s="318"/>
      <c r="BE27" s="243"/>
      <c r="BF27" s="242"/>
      <c r="BG27" s="317"/>
      <c r="BH27" s="318"/>
      <c r="BI27" s="243"/>
      <c r="BJ27" s="318"/>
      <c r="BK27" s="393">
        <f t="shared" si="8"/>
        <v>0</v>
      </c>
      <c r="BL27" s="481">
        <f t="shared" si="8"/>
        <v>0</v>
      </c>
      <c r="BM27" s="322"/>
      <c r="BN27" s="330">
        <v>33</v>
      </c>
      <c r="BO27" s="515">
        <v>57</v>
      </c>
      <c r="BP27" s="243">
        <v>15</v>
      </c>
      <c r="BQ27" s="326">
        <v>36</v>
      </c>
      <c r="BR27" s="241"/>
      <c r="BS27" s="314"/>
      <c r="BT27" s="332">
        <v>49</v>
      </c>
      <c r="BU27" s="333">
        <v>243</v>
      </c>
      <c r="BV27" s="317"/>
      <c r="BW27" s="326"/>
      <c r="BX27" s="242"/>
      <c r="BY27" s="318"/>
      <c r="BZ27" s="334">
        <v>60</v>
      </c>
      <c r="CA27" s="335">
        <v>122</v>
      </c>
      <c r="CB27" s="317">
        <v>92</v>
      </c>
      <c r="CC27" s="326">
        <v>200</v>
      </c>
      <c r="CD27" s="327"/>
      <c r="CE27" s="318"/>
      <c r="CF27" s="143">
        <f t="shared" si="7"/>
        <v>249</v>
      </c>
      <c r="CG27" s="114">
        <f t="shared" si="7"/>
        <v>658</v>
      </c>
      <c r="CH27" s="337"/>
      <c r="CI27" s="356"/>
      <c r="CJ27" s="337"/>
      <c r="CK27" s="317"/>
      <c r="CL27" s="318"/>
      <c r="CM27" s="236"/>
      <c r="CN27" s="314"/>
      <c r="CO27" s="332"/>
      <c r="CP27" s="333"/>
    </row>
    <row r="28" spans="1:94" ht="15.75" thickBot="1" x14ac:dyDescent="0.3">
      <c r="A28" s="48">
        <v>46105</v>
      </c>
      <c r="B28" s="466" t="s">
        <v>15</v>
      </c>
      <c r="C28" s="50"/>
      <c r="D28" s="51"/>
      <c r="E28" s="51"/>
      <c r="F28" s="380"/>
      <c r="G28" s="50"/>
      <c r="H28" s="381"/>
      <c r="I28" s="50"/>
      <c r="J28" s="51"/>
      <c r="K28" s="51"/>
      <c r="L28" s="380"/>
      <c r="M28" s="124"/>
      <c r="N28" s="382"/>
      <c r="O28" s="50"/>
      <c r="P28" s="42"/>
      <c r="Q28" s="41"/>
      <c r="R28" s="391"/>
      <c r="S28" s="397"/>
      <c r="T28" s="398"/>
      <c r="U28" s="388">
        <f t="shared" si="4"/>
        <v>0</v>
      </c>
      <c r="V28" s="31">
        <f t="shared" si="4"/>
        <v>0</v>
      </c>
      <c r="W28" s="502"/>
      <c r="X28" s="420"/>
      <c r="Y28" s="421"/>
      <c r="Z28" s="421"/>
      <c r="AA28" s="422"/>
      <c r="AB28" s="420"/>
      <c r="AC28" s="423"/>
      <c r="AD28" s="420"/>
      <c r="AE28" s="421"/>
      <c r="AF28" s="421"/>
      <c r="AG28" s="434"/>
      <c r="AH28" s="435"/>
      <c r="AI28" s="422"/>
      <c r="AJ28" s="420"/>
      <c r="AK28" s="434"/>
      <c r="AL28" s="421"/>
      <c r="AM28" s="422"/>
      <c r="AN28" s="420"/>
      <c r="AO28" s="423"/>
      <c r="AP28" s="124">
        <f t="shared" si="5"/>
        <v>0</v>
      </c>
      <c r="AQ28" s="127">
        <f t="shared" si="5"/>
        <v>0</v>
      </c>
      <c r="AR28" s="432"/>
      <c r="AS28" s="438"/>
      <c r="AT28" s="439"/>
      <c r="AU28" s="439">
        <v>7</v>
      </c>
      <c r="AV28" s="440">
        <v>14</v>
      </c>
      <c r="AW28" s="436"/>
      <c r="AX28" s="440"/>
      <c r="AY28" s="436"/>
      <c r="AZ28" s="439"/>
      <c r="BA28" s="439"/>
      <c r="BB28" s="441"/>
      <c r="BC28" s="442"/>
      <c r="BD28" s="440"/>
      <c r="BE28" s="436"/>
      <c r="BF28" s="441"/>
      <c r="BG28" s="439">
        <v>138</v>
      </c>
      <c r="BH28" s="440">
        <v>379</v>
      </c>
      <c r="BI28" s="436"/>
      <c r="BJ28" s="440"/>
      <c r="BK28" s="143">
        <f t="shared" si="8"/>
        <v>145</v>
      </c>
      <c r="BL28" s="394">
        <f t="shared" si="8"/>
        <v>393</v>
      </c>
      <c r="BM28" s="432"/>
      <c r="BN28" s="460">
        <v>48</v>
      </c>
      <c r="BO28" s="460">
        <v>93</v>
      </c>
      <c r="BP28" s="436"/>
      <c r="BQ28" s="437"/>
      <c r="BR28" s="426"/>
      <c r="BS28" s="422"/>
      <c r="BT28" s="445">
        <v>49</v>
      </c>
      <c r="BU28" s="460">
        <v>243</v>
      </c>
      <c r="BV28" s="439"/>
      <c r="BW28" s="437"/>
      <c r="BX28" s="441"/>
      <c r="BY28" s="440"/>
      <c r="BZ28" s="461">
        <v>152</v>
      </c>
      <c r="CA28" s="462">
        <v>322</v>
      </c>
      <c r="CB28" s="439"/>
      <c r="CC28" s="437"/>
      <c r="CD28" s="438"/>
      <c r="CE28" s="440"/>
      <c r="CF28" s="143">
        <f t="shared" si="7"/>
        <v>249</v>
      </c>
      <c r="CG28" s="395">
        <f t="shared" si="7"/>
        <v>658</v>
      </c>
      <c r="CH28" s="446"/>
      <c r="CI28" s="447"/>
      <c r="CJ28" s="446"/>
      <c r="CK28" s="439"/>
      <c r="CL28" s="440"/>
      <c r="CM28" s="420"/>
      <c r="CN28" s="422"/>
      <c r="CO28" s="445"/>
      <c r="CP28" s="460"/>
    </row>
    <row r="29" spans="1:94" ht="15.75" thickBot="1" x14ac:dyDescent="0.3">
      <c r="A29" s="48">
        <v>46106</v>
      </c>
      <c r="B29" s="466" t="s">
        <v>16</v>
      </c>
      <c r="C29" s="50"/>
      <c r="D29" s="51"/>
      <c r="E29" s="51"/>
      <c r="F29" s="380"/>
      <c r="G29" s="50"/>
      <c r="H29" s="381"/>
      <c r="I29" s="50"/>
      <c r="J29" s="51"/>
      <c r="K29" s="51"/>
      <c r="L29" s="380"/>
      <c r="M29" s="124"/>
      <c r="N29" s="382"/>
      <c r="O29" s="50"/>
      <c r="P29" s="55"/>
      <c r="Q29" s="41"/>
      <c r="R29" s="391"/>
      <c r="S29" s="397"/>
      <c r="T29" s="398"/>
      <c r="U29" s="388">
        <f t="shared" si="4"/>
        <v>0</v>
      </c>
      <c r="V29" s="31">
        <f t="shared" si="4"/>
        <v>0</v>
      </c>
      <c r="W29" s="502"/>
      <c r="X29" s="420"/>
      <c r="Y29" s="421"/>
      <c r="Z29" s="421"/>
      <c r="AA29" s="422"/>
      <c r="AB29" s="420"/>
      <c r="AC29" s="423"/>
      <c r="AD29" s="420"/>
      <c r="AE29" s="421"/>
      <c r="AF29" s="421"/>
      <c r="AG29" s="434"/>
      <c r="AH29" s="435"/>
      <c r="AI29" s="422"/>
      <c r="AJ29" s="420"/>
      <c r="AK29" s="434"/>
      <c r="AL29" s="421"/>
      <c r="AM29" s="422"/>
      <c r="AN29" s="420"/>
      <c r="AO29" s="423"/>
      <c r="AP29" s="124">
        <f t="shared" si="5"/>
        <v>0</v>
      </c>
      <c r="AQ29" s="127">
        <f t="shared" si="5"/>
        <v>0</v>
      </c>
      <c r="AR29" s="432"/>
      <c r="AS29" s="438"/>
      <c r="AT29" s="439"/>
      <c r="AU29" s="439"/>
      <c r="AV29" s="440"/>
      <c r="AW29" s="436"/>
      <c r="AX29" s="440"/>
      <c r="AY29" s="436"/>
      <c r="AZ29" s="439"/>
      <c r="BA29" s="439">
        <v>9</v>
      </c>
      <c r="BB29" s="441">
        <v>51</v>
      </c>
      <c r="BC29" s="442"/>
      <c r="BD29" s="440"/>
      <c r="BE29" s="436"/>
      <c r="BF29" s="441"/>
      <c r="BG29" s="439"/>
      <c r="BH29" s="440"/>
      <c r="BI29" s="436"/>
      <c r="BJ29" s="440"/>
      <c r="BK29" s="393">
        <f t="shared" si="8"/>
        <v>9</v>
      </c>
      <c r="BL29" s="481">
        <f t="shared" si="8"/>
        <v>51</v>
      </c>
      <c r="BM29" s="432"/>
      <c r="BN29" s="460">
        <v>48</v>
      </c>
      <c r="BO29" s="460">
        <v>93</v>
      </c>
      <c r="BP29" s="436"/>
      <c r="BQ29" s="437"/>
      <c r="BR29" s="426"/>
      <c r="BS29" s="422"/>
      <c r="BT29" s="445">
        <v>49</v>
      </c>
      <c r="BU29" s="460">
        <v>243</v>
      </c>
      <c r="BV29" s="439"/>
      <c r="BW29" s="437"/>
      <c r="BX29" s="441"/>
      <c r="BY29" s="440"/>
      <c r="BZ29" s="461">
        <v>152</v>
      </c>
      <c r="CA29" s="462">
        <v>322</v>
      </c>
      <c r="CB29" s="439"/>
      <c r="CC29" s="437"/>
      <c r="CD29" s="438"/>
      <c r="CE29" s="440"/>
      <c r="CF29" s="143">
        <f t="shared" si="7"/>
        <v>249</v>
      </c>
      <c r="CG29" s="114">
        <f t="shared" si="7"/>
        <v>658</v>
      </c>
      <c r="CH29" s="446"/>
      <c r="CI29" s="447"/>
      <c r="CJ29" s="446"/>
      <c r="CK29" s="439"/>
      <c r="CL29" s="440"/>
      <c r="CM29" s="420"/>
      <c r="CN29" s="422"/>
      <c r="CO29" s="445"/>
      <c r="CP29" s="460"/>
    </row>
    <row r="30" spans="1:94" ht="15.75" thickBot="1" x14ac:dyDescent="0.3">
      <c r="A30" s="48">
        <v>46107</v>
      </c>
      <c r="B30" s="366" t="s">
        <v>17</v>
      </c>
      <c r="C30" s="99">
        <v>130</v>
      </c>
      <c r="D30" s="74">
        <v>317</v>
      </c>
      <c r="E30" s="74"/>
      <c r="F30" s="292"/>
      <c r="G30" s="99"/>
      <c r="H30" s="293"/>
      <c r="I30" s="99">
        <v>59</v>
      </c>
      <c r="J30" s="74">
        <v>129</v>
      </c>
      <c r="K30" s="74"/>
      <c r="L30" s="292"/>
      <c r="M30" s="125"/>
      <c r="N30" s="294"/>
      <c r="O30" s="99">
        <v>171</v>
      </c>
      <c r="P30" s="78">
        <v>251</v>
      </c>
      <c r="Q30" s="77"/>
      <c r="R30" s="302"/>
      <c r="S30" s="307"/>
      <c r="T30" s="308"/>
      <c r="U30" s="211">
        <f t="shared" si="4"/>
        <v>360</v>
      </c>
      <c r="V30" s="212">
        <f t="shared" si="4"/>
        <v>697</v>
      </c>
      <c r="W30" s="502"/>
      <c r="X30" s="99">
        <v>351</v>
      </c>
      <c r="Y30" s="74">
        <v>614</v>
      </c>
      <c r="Z30" s="74"/>
      <c r="AA30" s="292"/>
      <c r="AB30" s="99"/>
      <c r="AC30" s="293"/>
      <c r="AD30" s="99">
        <v>429</v>
      </c>
      <c r="AE30" s="74">
        <v>2467</v>
      </c>
      <c r="AF30" s="74"/>
      <c r="AG30" s="75"/>
      <c r="AH30" s="301"/>
      <c r="AI30" s="292"/>
      <c r="AJ30" s="99">
        <v>766</v>
      </c>
      <c r="AK30" s="75">
        <v>2149</v>
      </c>
      <c r="AL30" s="74"/>
      <c r="AM30" s="292"/>
      <c r="AN30" s="99"/>
      <c r="AO30" s="293"/>
      <c r="AP30" s="125">
        <f t="shared" si="5"/>
        <v>1546</v>
      </c>
      <c r="AQ30" s="210">
        <f t="shared" si="5"/>
        <v>5230</v>
      </c>
      <c r="AR30" s="300"/>
      <c r="AS30" s="76">
        <v>764</v>
      </c>
      <c r="AT30" s="77">
        <v>1415</v>
      </c>
      <c r="AU30" s="77"/>
      <c r="AV30" s="302"/>
      <c r="AW30" s="125"/>
      <c r="AX30" s="302"/>
      <c r="AY30" s="125">
        <v>155</v>
      </c>
      <c r="AZ30" s="77">
        <v>1093</v>
      </c>
      <c r="BA30" s="77"/>
      <c r="BB30" s="78"/>
      <c r="BC30" s="303"/>
      <c r="BD30" s="302"/>
      <c r="BE30" s="125">
        <v>379</v>
      </c>
      <c r="BF30" s="78">
        <v>966</v>
      </c>
      <c r="BG30" s="77"/>
      <c r="BH30" s="302"/>
      <c r="BI30" s="125"/>
      <c r="BJ30" s="302"/>
      <c r="BK30" s="69">
        <f t="shared" si="8"/>
        <v>1298</v>
      </c>
      <c r="BL30" s="209">
        <f t="shared" si="8"/>
        <v>3474</v>
      </c>
      <c r="BM30" s="300"/>
      <c r="BN30" s="101">
        <v>48</v>
      </c>
      <c r="BO30" s="101">
        <v>93</v>
      </c>
      <c r="BP30" s="125"/>
      <c r="BQ30" s="210"/>
      <c r="BR30" s="100"/>
      <c r="BS30" s="292"/>
      <c r="BT30" s="188">
        <v>49</v>
      </c>
      <c r="BU30" s="101">
        <v>243</v>
      </c>
      <c r="BV30" s="77"/>
      <c r="BW30" s="210"/>
      <c r="BX30" s="78"/>
      <c r="BY30" s="302"/>
      <c r="BZ30" s="192">
        <v>152</v>
      </c>
      <c r="CA30" s="82">
        <v>322</v>
      </c>
      <c r="CB30" s="77"/>
      <c r="CC30" s="210"/>
      <c r="CD30" s="76"/>
      <c r="CE30" s="302"/>
      <c r="CF30" s="143">
        <f t="shared" si="7"/>
        <v>249</v>
      </c>
      <c r="CG30" s="395">
        <f t="shared" si="7"/>
        <v>658</v>
      </c>
      <c r="CH30" s="304"/>
      <c r="CI30" s="473"/>
      <c r="CJ30" s="304"/>
      <c r="CK30" s="77"/>
      <c r="CL30" s="302"/>
      <c r="CM30" s="99"/>
      <c r="CN30" s="292"/>
      <c r="CO30" s="188">
        <v>0</v>
      </c>
      <c r="CP30" s="101">
        <v>0</v>
      </c>
    </row>
    <row r="31" spans="1:94" ht="15.75" thickBot="1" x14ac:dyDescent="0.3">
      <c r="A31" s="48">
        <v>46108</v>
      </c>
      <c r="B31" s="466" t="s">
        <v>18</v>
      </c>
      <c r="C31" s="236"/>
      <c r="D31" s="237"/>
      <c r="E31" s="310"/>
      <c r="F31" s="310"/>
      <c r="G31" s="317"/>
      <c r="H31" s="315"/>
      <c r="I31" s="236"/>
      <c r="J31" s="237"/>
      <c r="K31" s="237"/>
      <c r="L31" s="314"/>
      <c r="M31" s="243"/>
      <c r="N31" s="316"/>
      <c r="O31" s="236"/>
      <c r="P31" s="242"/>
      <c r="Q31" s="317"/>
      <c r="R31" s="318"/>
      <c r="S31" s="319"/>
      <c r="T31" s="320"/>
      <c r="U31" s="211">
        <f t="shared" si="4"/>
        <v>0</v>
      </c>
      <c r="V31" s="212">
        <f t="shared" si="4"/>
        <v>0</v>
      </c>
      <c r="W31" s="502"/>
      <c r="X31" s="236"/>
      <c r="Y31" s="237"/>
      <c r="Z31" s="237"/>
      <c r="AA31" s="314"/>
      <c r="AB31" s="236"/>
      <c r="AC31" s="315"/>
      <c r="AD31" s="236"/>
      <c r="AE31" s="237"/>
      <c r="AF31" s="237"/>
      <c r="AG31" s="324"/>
      <c r="AH31" s="325"/>
      <c r="AI31" s="314"/>
      <c r="AJ31" s="236"/>
      <c r="AK31" s="324"/>
      <c r="AL31" s="237"/>
      <c r="AM31" s="314"/>
      <c r="AN31" s="236"/>
      <c r="AO31" s="315"/>
      <c r="AP31" s="124">
        <f t="shared" si="5"/>
        <v>0</v>
      </c>
      <c r="AQ31" s="127">
        <f t="shared" si="5"/>
        <v>0</v>
      </c>
      <c r="AR31" s="322"/>
      <c r="AS31" s="327">
        <v>725</v>
      </c>
      <c r="AT31" s="317">
        <v>1444</v>
      </c>
      <c r="AU31" s="317"/>
      <c r="AV31" s="318"/>
      <c r="AW31" s="243"/>
      <c r="AX31" s="318"/>
      <c r="AY31" s="243">
        <v>138</v>
      </c>
      <c r="AZ31" s="317">
        <v>1023</v>
      </c>
      <c r="BA31" s="317"/>
      <c r="BB31" s="242"/>
      <c r="BC31" s="328"/>
      <c r="BD31" s="318"/>
      <c r="BE31" s="243">
        <v>379</v>
      </c>
      <c r="BF31" s="242">
        <v>966</v>
      </c>
      <c r="BG31" s="317"/>
      <c r="BH31" s="318"/>
      <c r="BI31" s="243"/>
      <c r="BJ31" s="318"/>
      <c r="BK31" s="393">
        <f t="shared" si="8"/>
        <v>1242</v>
      </c>
      <c r="BL31" s="481">
        <f t="shared" si="8"/>
        <v>3433</v>
      </c>
      <c r="BM31" s="322"/>
      <c r="BN31" s="333">
        <v>48</v>
      </c>
      <c r="BO31" s="333">
        <v>93</v>
      </c>
      <c r="BP31" s="243"/>
      <c r="BQ31" s="326"/>
      <c r="BR31" s="241"/>
      <c r="BS31" s="314"/>
      <c r="BT31" s="332">
        <v>49</v>
      </c>
      <c r="BU31" s="333">
        <v>243</v>
      </c>
      <c r="BV31" s="317"/>
      <c r="BW31" s="326"/>
      <c r="BX31" s="242"/>
      <c r="BY31" s="318"/>
      <c r="BZ31" s="334">
        <v>152</v>
      </c>
      <c r="CA31" s="335">
        <v>322</v>
      </c>
      <c r="CB31" s="317"/>
      <c r="CC31" s="326"/>
      <c r="CD31" s="327"/>
      <c r="CE31" s="318"/>
      <c r="CF31" s="143">
        <f t="shared" si="7"/>
        <v>249</v>
      </c>
      <c r="CG31" s="114">
        <f t="shared" si="7"/>
        <v>658</v>
      </c>
      <c r="CH31" s="337"/>
      <c r="CI31" s="356"/>
      <c r="CJ31" s="337"/>
      <c r="CK31" s="317"/>
      <c r="CL31" s="318"/>
      <c r="CM31" s="236"/>
      <c r="CN31" s="314"/>
      <c r="CO31" s="332"/>
      <c r="CP31" s="333"/>
    </row>
    <row r="32" spans="1:94" ht="15.75" thickBot="1" x14ac:dyDescent="0.3">
      <c r="A32" s="488">
        <v>46109</v>
      </c>
      <c r="B32" s="466" t="s">
        <v>19</v>
      </c>
      <c r="C32" s="236"/>
      <c r="D32" s="237"/>
      <c r="E32" s="509"/>
      <c r="F32" s="510"/>
      <c r="G32" s="236"/>
      <c r="H32" s="315"/>
      <c r="I32" s="236"/>
      <c r="J32" s="237"/>
      <c r="K32" s="237"/>
      <c r="L32" s="314"/>
      <c r="M32" s="243"/>
      <c r="N32" s="316"/>
      <c r="O32" s="236"/>
      <c r="P32" s="242"/>
      <c r="Q32" s="317"/>
      <c r="R32" s="318"/>
      <c r="S32" s="319"/>
      <c r="T32" s="320"/>
      <c r="U32" s="211">
        <f t="shared" si="4"/>
        <v>0</v>
      </c>
      <c r="V32" s="212">
        <f t="shared" si="4"/>
        <v>0</v>
      </c>
      <c r="W32" s="502"/>
      <c r="X32" s="236"/>
      <c r="Y32" s="237"/>
      <c r="Z32" s="237"/>
      <c r="AA32" s="314"/>
      <c r="AB32" s="236"/>
      <c r="AC32" s="315"/>
      <c r="AD32" s="236"/>
      <c r="AE32" s="237"/>
      <c r="AF32" s="237"/>
      <c r="AG32" s="324"/>
      <c r="AH32" s="325"/>
      <c r="AI32" s="314"/>
      <c r="AJ32" s="236"/>
      <c r="AK32" s="324"/>
      <c r="AL32" s="237"/>
      <c r="AM32" s="314"/>
      <c r="AN32" s="236"/>
      <c r="AO32" s="315"/>
      <c r="AP32" s="124"/>
      <c r="AQ32" s="127"/>
      <c r="AR32" s="322"/>
      <c r="AS32" s="327"/>
      <c r="AT32" s="317"/>
      <c r="AU32" s="317"/>
      <c r="AV32" s="318"/>
      <c r="AW32" s="243"/>
      <c r="AX32" s="318"/>
      <c r="AY32" s="243"/>
      <c r="AZ32" s="317"/>
      <c r="BA32" s="317"/>
      <c r="BB32" s="242"/>
      <c r="BC32" s="328"/>
      <c r="BD32" s="318"/>
      <c r="BE32" s="243"/>
      <c r="BF32" s="242"/>
      <c r="BG32" s="317"/>
      <c r="BH32" s="318"/>
      <c r="BI32" s="243"/>
      <c r="BJ32" s="318"/>
      <c r="BK32" s="69">
        <f t="shared" si="8"/>
        <v>0</v>
      </c>
      <c r="BL32" s="209">
        <f t="shared" si="8"/>
        <v>0</v>
      </c>
      <c r="BM32" s="322"/>
      <c r="BN32" s="333">
        <v>48</v>
      </c>
      <c r="BO32" s="333">
        <v>93</v>
      </c>
      <c r="BP32" s="243"/>
      <c r="BQ32" s="326"/>
      <c r="BR32" s="241"/>
      <c r="BS32" s="314"/>
      <c r="BT32" s="332">
        <v>49</v>
      </c>
      <c r="BU32" s="333">
        <v>243</v>
      </c>
      <c r="BV32" s="317"/>
      <c r="BW32" s="326"/>
      <c r="BX32" s="242"/>
      <c r="BY32" s="318"/>
      <c r="BZ32" s="334">
        <v>152</v>
      </c>
      <c r="CA32" s="335">
        <v>322</v>
      </c>
      <c r="CB32" s="317"/>
      <c r="CC32" s="326"/>
      <c r="CD32" s="327"/>
      <c r="CE32" s="318"/>
      <c r="CF32" s="143">
        <f t="shared" si="7"/>
        <v>249</v>
      </c>
      <c r="CG32" s="395">
        <f t="shared" si="7"/>
        <v>658</v>
      </c>
      <c r="CH32" s="337"/>
      <c r="CI32" s="356"/>
      <c r="CJ32" s="337"/>
      <c r="CK32" s="317"/>
      <c r="CL32" s="318"/>
      <c r="CM32" s="236"/>
      <c r="CN32" s="314"/>
      <c r="CO32" s="332"/>
      <c r="CP32" s="333"/>
    </row>
    <row r="33" spans="1:94" ht="15.75" thickBot="1" x14ac:dyDescent="0.3">
      <c r="A33" s="87">
        <v>46110</v>
      </c>
      <c r="B33" s="538" t="s">
        <v>20</v>
      </c>
      <c r="C33" s="220"/>
      <c r="D33" s="218"/>
      <c r="E33" s="218"/>
      <c r="F33" s="219"/>
      <c r="G33" s="220"/>
      <c r="H33" s="221"/>
      <c r="I33" s="220"/>
      <c r="J33" s="218"/>
      <c r="K33" s="218"/>
      <c r="L33" s="219"/>
      <c r="M33" s="137"/>
      <c r="N33" s="174"/>
      <c r="O33" s="220"/>
      <c r="P33" s="530"/>
      <c r="Q33" s="528"/>
      <c r="R33" s="529"/>
      <c r="S33" s="137"/>
      <c r="T33" s="174"/>
      <c r="U33" s="211">
        <f t="shared" si="4"/>
        <v>0</v>
      </c>
      <c r="V33" s="212">
        <f t="shared" si="4"/>
        <v>0</v>
      </c>
      <c r="W33" s="502"/>
      <c r="X33" s="220"/>
      <c r="Y33" s="120"/>
      <c r="Z33" s="120"/>
      <c r="AA33" s="167"/>
      <c r="AB33" s="220"/>
      <c r="AC33" s="221"/>
      <c r="AD33" s="220"/>
      <c r="AE33" s="218"/>
      <c r="AF33" s="218"/>
      <c r="AG33" s="226"/>
      <c r="AH33" s="223"/>
      <c r="AI33" s="219"/>
      <c r="AJ33" s="220"/>
      <c r="AK33" s="226"/>
      <c r="AL33" s="218"/>
      <c r="AM33" s="219"/>
      <c r="AN33" s="220"/>
      <c r="AO33" s="221"/>
      <c r="AP33" s="137">
        <f>X33+Z33+AB33+AD33+AF33+AH33+AJ33+AL33+AN33</f>
        <v>0</v>
      </c>
      <c r="AQ33" s="526">
        <f>Y33+AA33+AC33+AE33+AG33+AI33+AK33+AM33+AO33</f>
        <v>0</v>
      </c>
      <c r="AR33" s="479"/>
      <c r="AS33" s="527"/>
      <c r="AT33" s="528"/>
      <c r="AU33" s="528"/>
      <c r="AV33" s="529"/>
      <c r="AW33" s="137"/>
      <c r="AX33" s="529"/>
      <c r="AY33" s="137"/>
      <c r="AZ33" s="528"/>
      <c r="BA33" s="528"/>
      <c r="BB33" s="530"/>
      <c r="BC33" s="531"/>
      <c r="BD33" s="529"/>
      <c r="BE33" s="137"/>
      <c r="BF33" s="530"/>
      <c r="BG33" s="528"/>
      <c r="BH33" s="529"/>
      <c r="BI33" s="137"/>
      <c r="BJ33" s="529"/>
      <c r="BK33" s="393">
        <f t="shared" si="8"/>
        <v>0</v>
      </c>
      <c r="BL33" s="481">
        <f t="shared" si="8"/>
        <v>0</v>
      </c>
      <c r="BM33" s="479"/>
      <c r="BN33" s="548">
        <v>48</v>
      </c>
      <c r="BO33" s="548">
        <v>93</v>
      </c>
      <c r="BP33" s="137"/>
      <c r="BQ33" s="528"/>
      <c r="BR33" s="528"/>
      <c r="BS33" s="528"/>
      <c r="BT33" s="548">
        <v>49</v>
      </c>
      <c r="BU33" s="483">
        <v>243</v>
      </c>
      <c r="BV33" s="117"/>
      <c r="BW33" s="117"/>
      <c r="BX33" s="117"/>
      <c r="BY33" s="117"/>
      <c r="BZ33" s="483">
        <v>152</v>
      </c>
      <c r="CA33" s="483">
        <v>322</v>
      </c>
      <c r="CB33" s="117"/>
      <c r="CC33" s="117"/>
      <c r="CD33" s="117"/>
      <c r="CE33" s="117"/>
      <c r="CF33" s="143">
        <f t="shared" si="7"/>
        <v>249</v>
      </c>
      <c r="CG33" s="114">
        <f t="shared" si="7"/>
        <v>658</v>
      </c>
      <c r="CH33" s="486"/>
      <c r="CI33" s="554"/>
      <c r="CJ33" s="486"/>
      <c r="CK33" s="528"/>
      <c r="CL33" s="529"/>
      <c r="CM33" s="220"/>
      <c r="CN33" s="219"/>
      <c r="CO33" s="555"/>
      <c r="CP33" s="548"/>
    </row>
    <row r="34" spans="1:94" ht="15.75" thickBot="1" x14ac:dyDescent="0.3">
      <c r="A34" s="474">
        <v>46111</v>
      </c>
      <c r="B34" s="543" t="s">
        <v>14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211">
        <f t="shared" si="4"/>
        <v>0</v>
      </c>
      <c r="V34" s="212">
        <f t="shared" si="4"/>
        <v>0</v>
      </c>
      <c r="W34" s="545"/>
      <c r="X34" s="117"/>
      <c r="Y34" s="120"/>
      <c r="Z34" s="120">
        <v>82</v>
      </c>
      <c r="AA34" s="140">
        <v>179</v>
      </c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37">
        <f t="shared" ref="AP34:AP36" si="9">X34+Z34+AB34+AD34+AF34+AH34+AJ34+AL34+AN34</f>
        <v>82</v>
      </c>
      <c r="AQ34" s="526">
        <f t="shared" ref="AQ34:AQ36" si="10">Y34+AA34+AC34+AE34+AG34+AI34+AK34+AM34+AO34</f>
        <v>179</v>
      </c>
      <c r="AR34" s="53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69">
        <f t="shared" si="8"/>
        <v>0</v>
      </c>
      <c r="BL34" s="209">
        <f t="shared" si="8"/>
        <v>0</v>
      </c>
      <c r="BM34" s="537"/>
      <c r="BN34" s="483">
        <v>48</v>
      </c>
      <c r="BO34" s="483">
        <v>93</v>
      </c>
      <c r="BP34" s="117"/>
      <c r="BQ34" s="117"/>
      <c r="BR34" s="117"/>
      <c r="BS34" s="117"/>
      <c r="BT34" s="483">
        <v>49</v>
      </c>
      <c r="BU34" s="483">
        <v>243</v>
      </c>
      <c r="BV34" s="117"/>
      <c r="BW34" s="117"/>
      <c r="BX34" s="117"/>
      <c r="BY34" s="117"/>
      <c r="BZ34" s="483">
        <v>152</v>
      </c>
      <c r="CA34" s="483">
        <v>322</v>
      </c>
      <c r="CB34" s="117"/>
      <c r="CC34" s="117"/>
      <c r="CD34" s="117"/>
      <c r="CE34" s="117"/>
      <c r="CF34" s="143">
        <f t="shared" si="7"/>
        <v>249</v>
      </c>
      <c r="CG34" s="395">
        <f t="shared" si="7"/>
        <v>658</v>
      </c>
      <c r="CH34" s="558"/>
      <c r="CI34" s="116"/>
      <c r="CJ34" s="558"/>
      <c r="CK34" s="117"/>
      <c r="CL34" s="117"/>
      <c r="CM34" s="117"/>
      <c r="CN34" s="117"/>
      <c r="CO34" s="483"/>
      <c r="CP34" s="483"/>
    </row>
    <row r="35" spans="1:94" ht="15.75" thickBot="1" x14ac:dyDescent="0.3">
      <c r="A35" s="48">
        <v>46112</v>
      </c>
      <c r="B35" s="310" t="s">
        <v>15</v>
      </c>
      <c r="C35" s="310">
        <v>130</v>
      </c>
      <c r="D35" s="310">
        <v>317</v>
      </c>
      <c r="E35" s="310"/>
      <c r="F35" s="310"/>
      <c r="G35" s="310"/>
      <c r="H35" s="310"/>
      <c r="I35" s="310">
        <v>59</v>
      </c>
      <c r="J35" s="310">
        <v>129</v>
      </c>
      <c r="K35" s="310"/>
      <c r="L35" s="310"/>
      <c r="M35" s="310"/>
      <c r="N35" s="310"/>
      <c r="O35" s="310">
        <v>171</v>
      </c>
      <c r="P35" s="310">
        <v>251</v>
      </c>
      <c r="Q35" s="310"/>
      <c r="R35" s="310"/>
      <c r="S35" s="310"/>
      <c r="T35" s="310"/>
      <c r="U35" s="211">
        <f t="shared" si="4"/>
        <v>360</v>
      </c>
      <c r="V35" s="212">
        <f t="shared" si="4"/>
        <v>697</v>
      </c>
      <c r="W35" s="310"/>
      <c r="X35" s="117">
        <v>360</v>
      </c>
      <c r="Y35" s="120">
        <v>745</v>
      </c>
      <c r="Z35" s="120"/>
      <c r="AA35" s="140"/>
      <c r="AB35" s="310"/>
      <c r="AC35" s="310"/>
      <c r="AD35" s="310"/>
      <c r="AE35" s="310"/>
      <c r="AF35" s="310"/>
      <c r="AG35" s="310"/>
      <c r="AH35" s="310"/>
      <c r="AI35" s="310"/>
      <c r="AJ35" s="310"/>
      <c r="AK35" s="310"/>
      <c r="AL35" s="310"/>
      <c r="AM35" s="310"/>
      <c r="AN35" s="310"/>
      <c r="AO35" s="310"/>
      <c r="AP35" s="137">
        <f t="shared" si="9"/>
        <v>360</v>
      </c>
      <c r="AQ35" s="526">
        <f t="shared" si="10"/>
        <v>745</v>
      </c>
      <c r="AR35" s="310"/>
      <c r="AS35" s="310">
        <v>725</v>
      </c>
      <c r="AT35" s="310">
        <v>1444</v>
      </c>
      <c r="AU35" s="310"/>
      <c r="AV35" s="310"/>
      <c r="AW35" s="310"/>
      <c r="AX35" s="310"/>
      <c r="AY35" s="310"/>
      <c r="AZ35" s="310"/>
      <c r="BA35" s="310"/>
      <c r="BB35" s="310"/>
      <c r="BC35" s="310"/>
      <c r="BD35" s="310"/>
      <c r="BE35" s="532">
        <v>379</v>
      </c>
      <c r="BF35" s="534">
        <v>966</v>
      </c>
      <c r="BG35" s="310"/>
      <c r="BH35" s="310"/>
      <c r="BI35" s="310"/>
      <c r="BJ35" s="310"/>
      <c r="BK35" s="393">
        <f t="shared" si="8"/>
        <v>1104</v>
      </c>
      <c r="BL35" s="481">
        <f t="shared" si="8"/>
        <v>2410</v>
      </c>
      <c r="BM35" s="310"/>
      <c r="BN35" s="570">
        <v>48</v>
      </c>
      <c r="BO35" s="570">
        <v>93</v>
      </c>
      <c r="BP35" s="310">
        <v>5</v>
      </c>
      <c r="BQ35" s="310">
        <v>7</v>
      </c>
      <c r="BR35" s="310"/>
      <c r="BS35" s="310"/>
      <c r="BT35" s="570">
        <v>49</v>
      </c>
      <c r="BU35" s="571">
        <v>243</v>
      </c>
      <c r="BV35" s="511"/>
      <c r="BW35" s="511"/>
      <c r="BX35" s="511"/>
      <c r="BY35" s="511"/>
      <c r="BZ35" s="571">
        <v>152</v>
      </c>
      <c r="CA35" s="571">
        <v>322</v>
      </c>
      <c r="CB35" s="511"/>
      <c r="CC35" s="511"/>
      <c r="CD35" s="511"/>
      <c r="CE35" s="511"/>
      <c r="CF35" s="143">
        <f t="shared" si="7"/>
        <v>254</v>
      </c>
      <c r="CG35" s="114">
        <f t="shared" si="7"/>
        <v>665</v>
      </c>
      <c r="CH35" s="310"/>
      <c r="CI35" s="310"/>
      <c r="CJ35" s="310"/>
      <c r="CK35" s="310"/>
      <c r="CL35" s="310"/>
      <c r="CM35" s="310"/>
      <c r="CN35" s="310"/>
      <c r="CO35" s="310"/>
      <c r="CP35" s="310"/>
    </row>
    <row r="36" spans="1:94" ht="15.75" thickBot="1" x14ac:dyDescent="0.3">
      <c r="A36" s="368" t="s">
        <v>21</v>
      </c>
      <c r="B36" s="346"/>
      <c r="C36" s="310">
        <v>130</v>
      </c>
      <c r="D36" s="310">
        <v>317</v>
      </c>
      <c r="E36" s="310"/>
      <c r="F36" s="310"/>
      <c r="G36" s="310"/>
      <c r="H36" s="310"/>
      <c r="I36" s="310">
        <v>59</v>
      </c>
      <c r="J36" s="310">
        <v>129</v>
      </c>
      <c r="K36" s="310"/>
      <c r="L36" s="310"/>
      <c r="M36" s="310"/>
      <c r="N36" s="310"/>
      <c r="O36" s="310">
        <v>171</v>
      </c>
      <c r="P36" s="310">
        <v>251</v>
      </c>
      <c r="Q36" s="310"/>
      <c r="R36" s="310"/>
      <c r="S36" s="310"/>
      <c r="T36" s="310"/>
      <c r="U36" s="211">
        <f t="shared" si="4"/>
        <v>360</v>
      </c>
      <c r="V36" s="212">
        <f t="shared" si="4"/>
        <v>697</v>
      </c>
      <c r="W36" s="503"/>
      <c r="X36" s="532">
        <v>360</v>
      </c>
      <c r="Y36" s="347">
        <v>745</v>
      </c>
      <c r="Z36" s="347"/>
      <c r="AA36" s="348"/>
      <c r="AB36" s="532"/>
      <c r="AC36" s="351"/>
      <c r="AD36" s="532"/>
      <c r="AE36" s="533"/>
      <c r="AF36" s="533"/>
      <c r="AG36" s="534"/>
      <c r="AH36" s="350"/>
      <c r="AI36" s="535"/>
      <c r="AJ36" s="532"/>
      <c r="AK36" s="534"/>
      <c r="AL36" s="533"/>
      <c r="AM36" s="535"/>
      <c r="AN36" s="236"/>
      <c r="AO36" s="314"/>
      <c r="AP36" s="137">
        <f t="shared" si="9"/>
        <v>360</v>
      </c>
      <c r="AQ36" s="526">
        <f t="shared" si="10"/>
        <v>745</v>
      </c>
      <c r="AR36" s="353"/>
      <c r="AS36" s="536">
        <v>725</v>
      </c>
      <c r="AT36" s="533">
        <v>1444</v>
      </c>
      <c r="AU36" s="533"/>
      <c r="AV36" s="535"/>
      <c r="AW36" s="532"/>
      <c r="AX36" s="351"/>
      <c r="AY36" s="532"/>
      <c r="AZ36" s="533"/>
      <c r="BA36" s="533"/>
      <c r="BB36" s="534"/>
      <c r="BC36" s="350"/>
      <c r="BD36" s="535"/>
      <c r="BE36" s="532">
        <v>379</v>
      </c>
      <c r="BF36" s="534">
        <v>966</v>
      </c>
      <c r="BG36" s="533"/>
      <c r="BH36" s="535"/>
      <c r="BI36" s="536"/>
      <c r="BJ36" s="533"/>
      <c r="BK36" s="69">
        <f t="shared" si="8"/>
        <v>1104</v>
      </c>
      <c r="BL36" s="209">
        <f t="shared" si="8"/>
        <v>2410</v>
      </c>
      <c r="BM36" s="353"/>
      <c r="BN36" s="550">
        <v>53</v>
      </c>
      <c r="BO36" s="551">
        <v>100</v>
      </c>
      <c r="BP36" s="552"/>
      <c r="BQ36" s="553"/>
      <c r="BR36" s="553"/>
      <c r="BS36" s="553"/>
      <c r="BT36" s="533">
        <v>49</v>
      </c>
      <c r="BU36" s="347">
        <v>243</v>
      </c>
      <c r="BV36" s="512"/>
      <c r="BW36" s="512"/>
      <c r="BX36" s="512"/>
      <c r="BY36" s="512"/>
      <c r="BZ36" s="347">
        <v>152</v>
      </c>
      <c r="CA36" s="347">
        <v>322</v>
      </c>
      <c r="CB36" s="512"/>
      <c r="CC36" s="512"/>
      <c r="CD36" s="512"/>
      <c r="CE36" s="513"/>
      <c r="CF36" s="143">
        <f t="shared" ref="CF36:CG36" si="11">BN36+BP36+BR36+BT36+BV36+BX36+BZ36+CB36+CD36</f>
        <v>254</v>
      </c>
      <c r="CG36" s="395">
        <f t="shared" si="11"/>
        <v>665</v>
      </c>
      <c r="CH36" s="129"/>
      <c r="CI36" s="556"/>
      <c r="CJ36" s="129"/>
      <c r="CK36" s="237"/>
      <c r="CL36" s="314"/>
      <c r="CM36" s="237"/>
      <c r="CN36" s="314"/>
      <c r="CO36" s="532"/>
      <c r="CP36" s="557"/>
    </row>
    <row r="38" spans="1:94" x14ac:dyDescent="0.25">
      <c r="F38" s="504" t="s">
        <v>30</v>
      </c>
      <c r="G38" s="203" t="s">
        <v>31</v>
      </c>
      <c r="H38" s="203" t="s">
        <v>32</v>
      </c>
    </row>
    <row r="39" spans="1:94" x14ac:dyDescent="0.25">
      <c r="F39" s="505">
        <v>46086</v>
      </c>
      <c r="G39" s="310">
        <f>U9+AP9+BK9+CF9</f>
        <v>2301</v>
      </c>
      <c r="H39" s="310">
        <f>V9+AQ9+BL9+CG9</f>
        <v>7139</v>
      </c>
    </row>
    <row r="40" spans="1:94" x14ac:dyDescent="0.25">
      <c r="F40" s="505">
        <v>46093</v>
      </c>
      <c r="G40" s="310">
        <f>U16+AP16+BK16+CF16</f>
        <v>2734</v>
      </c>
      <c r="H40" s="310">
        <f>V16+AQ16+BL16+CG16</f>
        <v>8176</v>
      </c>
    </row>
    <row r="41" spans="1:94" x14ac:dyDescent="0.25">
      <c r="F41" s="505">
        <v>46099</v>
      </c>
      <c r="G41" s="310">
        <f>U23+AP23+BK23+CF23</f>
        <v>3090</v>
      </c>
      <c r="H41" s="310">
        <f>V23+AQ23+BL23+CG23</f>
        <v>9357</v>
      </c>
    </row>
    <row r="42" spans="1:94" x14ac:dyDescent="0.25">
      <c r="F42" s="505">
        <v>46107</v>
      </c>
      <c r="G42" s="310">
        <f>U30+AP30+BK30+CF30</f>
        <v>3453</v>
      </c>
      <c r="H42" s="310">
        <f>V30+AQ30+BL30+CG30</f>
        <v>10059</v>
      </c>
    </row>
  </sheetData>
  <mergeCells count="17">
    <mergeCell ref="AS1:BL1"/>
    <mergeCell ref="BN1:CG1"/>
    <mergeCell ref="CK1:CP2"/>
    <mergeCell ref="C2:H2"/>
    <mergeCell ref="I2:N2"/>
    <mergeCell ref="O2:T2"/>
    <mergeCell ref="X2:AC2"/>
    <mergeCell ref="AD2:AI2"/>
    <mergeCell ref="BZ2:CE2"/>
    <mergeCell ref="AJ2:AO2"/>
    <mergeCell ref="AS2:AX2"/>
    <mergeCell ref="AY2:BD2"/>
    <mergeCell ref="BE2:BJ2"/>
    <mergeCell ref="BN2:BS2"/>
    <mergeCell ref="BT2:BY2"/>
    <mergeCell ref="C1:V1"/>
    <mergeCell ref="X1:A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DD499-80EC-47CF-B613-93D0C877FB88}">
  <dimension ref="A1:CP62"/>
  <sheetViews>
    <sheetView tabSelected="1" topLeftCell="A13" workbookViewId="0">
      <pane xSplit="1" topLeftCell="AW1" activePane="topRight" state="frozen"/>
      <selection pane="topRight" activeCell="BH56" sqref="BH56"/>
    </sheetView>
  </sheetViews>
  <sheetFormatPr defaultRowHeight="15" x14ac:dyDescent="0.25"/>
  <cols>
    <col min="4" max="4" width="10.140625" bestFit="1" customWidth="1"/>
  </cols>
  <sheetData>
    <row r="1" spans="1:94" ht="26.25" thickBot="1" x14ac:dyDescent="0.35">
      <c r="A1" s="1" t="s">
        <v>38</v>
      </c>
      <c r="B1" s="2"/>
      <c r="C1" s="590" t="s">
        <v>1</v>
      </c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33"/>
      <c r="X1" s="596" t="s">
        <v>2</v>
      </c>
      <c r="Y1" s="594"/>
      <c r="Z1" s="594"/>
      <c r="AA1" s="594"/>
      <c r="AB1" s="594"/>
      <c r="AC1" s="594"/>
      <c r="AD1" s="594"/>
      <c r="AE1" s="594"/>
      <c r="AF1" s="594"/>
      <c r="AG1" s="594"/>
      <c r="AH1" s="594"/>
      <c r="AI1" s="594"/>
      <c r="AJ1" s="594"/>
      <c r="AK1" s="594"/>
      <c r="AL1" s="594"/>
      <c r="AM1" s="594"/>
      <c r="AN1" s="594"/>
      <c r="AO1" s="594"/>
      <c r="AP1" s="594"/>
      <c r="AQ1" s="594"/>
      <c r="AR1" s="3"/>
      <c r="AS1" s="593" t="s">
        <v>3</v>
      </c>
      <c r="AT1" s="596"/>
      <c r="AU1" s="596"/>
      <c r="AV1" s="596"/>
      <c r="AW1" s="596"/>
      <c r="AX1" s="596"/>
      <c r="AY1" s="596"/>
      <c r="AZ1" s="596"/>
      <c r="BA1" s="596"/>
      <c r="BB1" s="596"/>
      <c r="BC1" s="596"/>
      <c r="BD1" s="596"/>
      <c r="BE1" s="596"/>
      <c r="BF1" s="596"/>
      <c r="BG1" s="596"/>
      <c r="BH1" s="596"/>
      <c r="BI1" s="596"/>
      <c r="BJ1" s="596"/>
      <c r="BK1" s="596"/>
      <c r="BL1" s="596"/>
      <c r="BM1" s="3"/>
      <c r="BN1" s="593" t="s">
        <v>4</v>
      </c>
      <c r="BO1" s="596"/>
      <c r="BP1" s="596"/>
      <c r="BQ1" s="596"/>
      <c r="BR1" s="596"/>
      <c r="BS1" s="596"/>
      <c r="BT1" s="596"/>
      <c r="BU1" s="596"/>
      <c r="BV1" s="596"/>
      <c r="BW1" s="596"/>
      <c r="BX1" s="596"/>
      <c r="BY1" s="596"/>
      <c r="BZ1" s="596"/>
      <c r="CA1" s="596"/>
      <c r="CB1" s="596"/>
      <c r="CC1" s="596"/>
      <c r="CD1" s="596"/>
      <c r="CE1" s="596"/>
      <c r="CF1" s="596"/>
      <c r="CG1" s="596"/>
      <c r="CH1" s="3"/>
      <c r="CI1" s="4" t="s">
        <v>5</v>
      </c>
      <c r="CJ1" s="3"/>
      <c r="CK1" s="578" t="s">
        <v>29</v>
      </c>
      <c r="CL1" s="579"/>
      <c r="CM1" s="579"/>
      <c r="CN1" s="579"/>
      <c r="CO1" s="579"/>
      <c r="CP1" s="579"/>
    </row>
    <row r="2" spans="1:94" ht="16.5" thickTop="1" thickBot="1" x14ac:dyDescent="0.3">
      <c r="A2" s="5"/>
      <c r="B2" s="6"/>
      <c r="C2" s="598" t="s">
        <v>22</v>
      </c>
      <c r="D2" s="599"/>
      <c r="E2" s="599"/>
      <c r="F2" s="599"/>
      <c r="G2" s="599"/>
      <c r="H2" s="600"/>
      <c r="I2" s="601" t="s">
        <v>7</v>
      </c>
      <c r="J2" s="599"/>
      <c r="K2" s="599"/>
      <c r="L2" s="599"/>
      <c r="M2" s="599"/>
      <c r="N2" s="600"/>
      <c r="O2" s="601" t="s">
        <v>8</v>
      </c>
      <c r="P2" s="599"/>
      <c r="Q2" s="599"/>
      <c r="R2" s="599"/>
      <c r="S2" s="599"/>
      <c r="T2" s="600"/>
      <c r="U2" s="525"/>
      <c r="V2" s="8"/>
      <c r="W2" s="501"/>
      <c r="X2" s="599" t="s">
        <v>6</v>
      </c>
      <c r="Y2" s="599"/>
      <c r="Z2" s="599"/>
      <c r="AA2" s="599"/>
      <c r="AB2" s="599"/>
      <c r="AC2" s="600"/>
      <c r="AD2" s="601" t="s">
        <v>7</v>
      </c>
      <c r="AE2" s="599"/>
      <c r="AF2" s="599"/>
      <c r="AG2" s="599"/>
      <c r="AH2" s="599"/>
      <c r="AI2" s="600"/>
      <c r="AJ2" s="601" t="s">
        <v>9</v>
      </c>
      <c r="AK2" s="599"/>
      <c r="AL2" s="599"/>
      <c r="AM2" s="599"/>
      <c r="AN2" s="599"/>
      <c r="AO2" s="600"/>
      <c r="AP2" s="525"/>
      <c r="AQ2" s="8"/>
      <c r="AR2" s="3"/>
      <c r="AS2" s="598" t="s">
        <v>6</v>
      </c>
      <c r="AT2" s="599"/>
      <c r="AU2" s="599"/>
      <c r="AV2" s="599"/>
      <c r="AW2" s="599"/>
      <c r="AX2" s="600"/>
      <c r="AY2" s="599" t="s">
        <v>7</v>
      </c>
      <c r="AZ2" s="599"/>
      <c r="BA2" s="599"/>
      <c r="BB2" s="599"/>
      <c r="BC2" s="599"/>
      <c r="BD2" s="600"/>
      <c r="BE2" s="587" t="s">
        <v>9</v>
      </c>
      <c r="BF2" s="588"/>
      <c r="BG2" s="588"/>
      <c r="BH2" s="588"/>
      <c r="BI2" s="588"/>
      <c r="BJ2" s="589"/>
      <c r="BK2" s="128"/>
      <c r="BL2" s="10"/>
      <c r="BM2" s="3"/>
      <c r="BN2" s="586" t="s">
        <v>6</v>
      </c>
      <c r="BO2" s="584"/>
      <c r="BP2" s="584"/>
      <c r="BQ2" s="584"/>
      <c r="BR2" s="584"/>
      <c r="BS2" s="585"/>
      <c r="BT2" s="583" t="s">
        <v>7</v>
      </c>
      <c r="BU2" s="584"/>
      <c r="BV2" s="584"/>
      <c r="BW2" s="584"/>
      <c r="BX2" s="584"/>
      <c r="BY2" s="585"/>
      <c r="BZ2" s="580" t="s">
        <v>9</v>
      </c>
      <c r="CA2" s="581"/>
      <c r="CB2" s="581"/>
      <c r="CC2" s="581"/>
      <c r="CD2" s="581"/>
      <c r="CE2" s="582"/>
      <c r="CF2" s="128"/>
      <c r="CG2" s="11"/>
      <c r="CH2" s="3"/>
      <c r="CI2" s="12"/>
      <c r="CJ2" s="3"/>
      <c r="CK2" s="579"/>
      <c r="CL2" s="579"/>
      <c r="CM2" s="579"/>
      <c r="CN2" s="579"/>
      <c r="CO2" s="579"/>
      <c r="CP2" s="579"/>
    </row>
    <row r="3" spans="1:94" ht="39" thickBot="1" x14ac:dyDescent="0.3">
      <c r="A3" s="13"/>
      <c r="B3" s="14"/>
      <c r="C3" s="15" t="s">
        <v>23</v>
      </c>
      <c r="D3" s="16" t="s">
        <v>24</v>
      </c>
      <c r="E3" s="111" t="s">
        <v>25</v>
      </c>
      <c r="F3" s="165" t="s">
        <v>26</v>
      </c>
      <c r="G3" s="123" t="s">
        <v>27</v>
      </c>
      <c r="H3" s="146" t="s">
        <v>28</v>
      </c>
      <c r="I3" s="107" t="s">
        <v>23</v>
      </c>
      <c r="J3" s="16" t="s">
        <v>24</v>
      </c>
      <c r="K3" s="111" t="s">
        <v>25</v>
      </c>
      <c r="L3" s="165" t="s">
        <v>26</v>
      </c>
      <c r="M3" s="160" t="s">
        <v>27</v>
      </c>
      <c r="N3" s="155" t="s">
        <v>28</v>
      </c>
      <c r="O3" s="107" t="s">
        <v>23</v>
      </c>
      <c r="P3" s="16" t="s">
        <v>24</v>
      </c>
      <c r="Q3" s="111" t="s">
        <v>25</v>
      </c>
      <c r="R3" s="165" t="s">
        <v>26</v>
      </c>
      <c r="S3" s="123" t="s">
        <v>27</v>
      </c>
      <c r="T3" s="146" t="s">
        <v>28</v>
      </c>
      <c r="U3" s="17" t="s">
        <v>10</v>
      </c>
      <c r="V3" s="18" t="s">
        <v>11</v>
      </c>
      <c r="W3" s="501"/>
      <c r="X3" s="107" t="s">
        <v>23</v>
      </c>
      <c r="Y3" s="16" t="s">
        <v>24</v>
      </c>
      <c r="Z3" s="111" t="s">
        <v>25</v>
      </c>
      <c r="AA3" s="165" t="s">
        <v>26</v>
      </c>
      <c r="AB3" s="123" t="s">
        <v>27</v>
      </c>
      <c r="AC3" s="146" t="s">
        <v>28</v>
      </c>
      <c r="AD3" s="107" t="s">
        <v>23</v>
      </c>
      <c r="AE3" s="16" t="s">
        <v>24</v>
      </c>
      <c r="AF3" s="111" t="s">
        <v>25</v>
      </c>
      <c r="AG3" s="112" t="s">
        <v>26</v>
      </c>
      <c r="AH3" s="142" t="s">
        <v>27</v>
      </c>
      <c r="AI3" s="165" t="s">
        <v>28</v>
      </c>
      <c r="AJ3" s="107" t="s">
        <v>23</v>
      </c>
      <c r="AK3" s="16" t="s">
        <v>24</v>
      </c>
      <c r="AL3" s="111" t="s">
        <v>25</v>
      </c>
      <c r="AM3" s="177" t="s">
        <v>26</v>
      </c>
      <c r="AN3" s="123" t="s">
        <v>27</v>
      </c>
      <c r="AO3" s="177" t="s">
        <v>28</v>
      </c>
      <c r="AP3" s="20" t="s">
        <v>10</v>
      </c>
      <c r="AQ3" s="21" t="s">
        <v>11</v>
      </c>
      <c r="AR3" s="3"/>
      <c r="AS3" s="15" t="s">
        <v>23</v>
      </c>
      <c r="AT3" s="16" t="s">
        <v>24</v>
      </c>
      <c r="AU3" s="111" t="s">
        <v>25</v>
      </c>
      <c r="AV3" s="177" t="s">
        <v>26</v>
      </c>
      <c r="AW3" s="160" t="s">
        <v>27</v>
      </c>
      <c r="AX3" s="183" t="s">
        <v>28</v>
      </c>
      <c r="AY3" s="107" t="s">
        <v>23</v>
      </c>
      <c r="AZ3" s="16" t="s">
        <v>24</v>
      </c>
      <c r="BA3" s="111" t="s">
        <v>25</v>
      </c>
      <c r="BB3" s="139" t="s">
        <v>26</v>
      </c>
      <c r="BC3" s="178" t="s">
        <v>27</v>
      </c>
      <c r="BD3" s="165" t="s">
        <v>28</v>
      </c>
      <c r="BE3" s="107" t="s">
        <v>23</v>
      </c>
      <c r="BF3" s="16" t="s">
        <v>24</v>
      </c>
      <c r="BG3" s="111" t="s">
        <v>25</v>
      </c>
      <c r="BH3" s="177" t="s">
        <v>26</v>
      </c>
      <c r="BI3" s="160" t="s">
        <v>27</v>
      </c>
      <c r="BJ3" s="183" t="s">
        <v>28</v>
      </c>
      <c r="BK3" s="23" t="s">
        <v>10</v>
      </c>
      <c r="BL3" s="24" t="s">
        <v>11</v>
      </c>
      <c r="BM3" s="3"/>
      <c r="BN3" s="517" t="s">
        <v>23</v>
      </c>
      <c r="BO3" s="22" t="s">
        <v>24</v>
      </c>
      <c r="BP3" s="516" t="s">
        <v>25</v>
      </c>
      <c r="BQ3" s="370" t="s">
        <v>26</v>
      </c>
      <c r="BR3" s="372" t="s">
        <v>27</v>
      </c>
      <c r="BS3" s="373" t="s">
        <v>28</v>
      </c>
      <c r="BT3" s="107" t="s">
        <v>23</v>
      </c>
      <c r="BU3" s="16" t="s">
        <v>24</v>
      </c>
      <c r="BV3" s="369" t="s">
        <v>25</v>
      </c>
      <c r="BW3" s="370" t="s">
        <v>26</v>
      </c>
      <c r="BX3" s="372" t="s">
        <v>27</v>
      </c>
      <c r="BY3" s="373" t="s">
        <v>28</v>
      </c>
      <c r="BZ3" s="107" t="s">
        <v>23</v>
      </c>
      <c r="CA3" s="16" t="s">
        <v>24</v>
      </c>
      <c r="CB3" s="369" t="s">
        <v>25</v>
      </c>
      <c r="CC3" s="370" t="s">
        <v>26</v>
      </c>
      <c r="CD3" s="151" t="s">
        <v>27</v>
      </c>
      <c r="CE3" s="183" t="s">
        <v>28</v>
      </c>
      <c r="CF3" s="193" t="s">
        <v>10</v>
      </c>
      <c r="CG3" s="22" t="s">
        <v>11</v>
      </c>
      <c r="CH3" s="3"/>
      <c r="CI3" s="25"/>
      <c r="CJ3" s="3"/>
      <c r="CK3" s="111" t="s">
        <v>25</v>
      </c>
      <c r="CL3" s="177" t="s">
        <v>26</v>
      </c>
      <c r="CM3" s="123" t="s">
        <v>27</v>
      </c>
      <c r="CN3" s="146" t="s">
        <v>28</v>
      </c>
      <c r="CO3" s="107" t="s">
        <v>23</v>
      </c>
      <c r="CP3" s="16" t="s">
        <v>24</v>
      </c>
    </row>
    <row r="4" spans="1:94" ht="15.75" thickBot="1" x14ac:dyDescent="0.3">
      <c r="A4" s="48"/>
      <c r="B4" s="366" t="s">
        <v>13</v>
      </c>
      <c r="C4" s="310">
        <v>130</v>
      </c>
      <c r="D4" s="310">
        <v>317</v>
      </c>
      <c r="E4" s="310"/>
      <c r="F4" s="310"/>
      <c r="G4" s="310"/>
      <c r="H4" s="310"/>
      <c r="I4" s="310">
        <v>59</v>
      </c>
      <c r="J4" s="310">
        <v>129</v>
      </c>
      <c r="K4" s="310"/>
      <c r="L4" s="310"/>
      <c r="M4" s="310"/>
      <c r="N4" s="310"/>
      <c r="O4" s="310">
        <v>171</v>
      </c>
      <c r="P4" s="310">
        <v>251</v>
      </c>
      <c r="Q4" s="310"/>
      <c r="R4" s="310"/>
      <c r="S4" s="310"/>
      <c r="T4" s="310"/>
      <c r="U4" s="388">
        <f t="shared" ref="U4:V19" si="0">C4+E4+G4+I4+K4+M4+O4+Q4+S4</f>
        <v>360</v>
      </c>
      <c r="V4" s="31">
        <f t="shared" si="0"/>
        <v>697</v>
      </c>
      <c r="W4" s="6"/>
      <c r="X4" s="532">
        <v>360</v>
      </c>
      <c r="Y4" s="347">
        <v>745</v>
      </c>
      <c r="Z4" s="51"/>
      <c r="AA4" s="380"/>
      <c r="AB4" s="50"/>
      <c r="AC4" s="381"/>
      <c r="AD4" s="50">
        <v>0</v>
      </c>
      <c r="AE4" s="51">
        <v>0</v>
      </c>
      <c r="AF4" s="51"/>
      <c r="AG4" s="65"/>
      <c r="AH4" s="389"/>
      <c r="AI4" s="380"/>
      <c r="AJ4" s="50">
        <v>0</v>
      </c>
      <c r="AK4" s="65">
        <v>0</v>
      </c>
      <c r="AL4" s="51"/>
      <c r="AM4" s="380"/>
      <c r="AN4" s="50"/>
      <c r="AO4" s="381">
        <v>0</v>
      </c>
      <c r="AP4" s="124">
        <f t="shared" ref="AP4:AQ19" si="1">X4+Z4+AB4+AD4+AF4+AH4+AJ4+AL4+AN4</f>
        <v>360</v>
      </c>
      <c r="AQ4" s="390">
        <v>0</v>
      </c>
      <c r="AR4" s="6"/>
      <c r="AS4" s="536">
        <v>725</v>
      </c>
      <c r="AT4" s="533">
        <v>1444</v>
      </c>
      <c r="AU4" s="533">
        <v>4</v>
      </c>
      <c r="AV4" s="535">
        <v>10</v>
      </c>
      <c r="AW4" s="532"/>
      <c r="AX4" s="351"/>
      <c r="AY4" s="532">
        <v>138</v>
      </c>
      <c r="AZ4" s="533">
        <v>1023</v>
      </c>
      <c r="BA4" s="533">
        <v>4</v>
      </c>
      <c r="BB4" s="534">
        <v>13</v>
      </c>
      <c r="BC4" s="350"/>
      <c r="BD4" s="535"/>
      <c r="BE4" s="532">
        <v>379</v>
      </c>
      <c r="BF4" s="534">
        <v>966</v>
      </c>
      <c r="BG4" s="533">
        <v>17</v>
      </c>
      <c r="BH4" s="535">
        <v>40</v>
      </c>
      <c r="BI4" s="536"/>
      <c r="BJ4" s="533"/>
      <c r="BK4" s="393">
        <f t="shared" ref="BK4:BL21" si="2">AS4+AU4+AW4+AY4+BA4+BC4+BE4+BG4+BI4</f>
        <v>1267</v>
      </c>
      <c r="BL4" s="394">
        <f t="shared" si="2"/>
        <v>3496</v>
      </c>
      <c r="BM4" s="6"/>
      <c r="BN4" s="56">
        <v>53</v>
      </c>
      <c r="BO4" s="518">
        <v>100</v>
      </c>
      <c r="BP4" s="124"/>
      <c r="BQ4" s="390"/>
      <c r="BR4" s="42"/>
      <c r="BS4" s="391"/>
      <c r="BT4" s="190">
        <v>49</v>
      </c>
      <c r="BU4" s="67">
        <v>243</v>
      </c>
      <c r="BV4" s="41"/>
      <c r="BW4" s="390"/>
      <c r="BX4" s="42"/>
      <c r="BY4" s="391"/>
      <c r="BZ4" s="190">
        <v>152</v>
      </c>
      <c r="CA4" s="67">
        <v>322</v>
      </c>
      <c r="CB4" s="41"/>
      <c r="CC4" s="390"/>
      <c r="CD4" s="40"/>
      <c r="CE4" s="391"/>
      <c r="CF4" s="393">
        <f t="shared" ref="CF4:CG19" si="3">BN4+BP4+BR4+BT4+BV4+BX4+BZ4+CB4+CD4</f>
        <v>254</v>
      </c>
      <c r="CG4" s="395">
        <f t="shared" si="3"/>
        <v>665</v>
      </c>
      <c r="CH4" s="60"/>
      <c r="CI4" s="396"/>
      <c r="CJ4" s="60"/>
      <c r="CK4" s="41"/>
      <c r="CL4" s="391"/>
      <c r="CM4" s="50"/>
      <c r="CN4" s="380"/>
      <c r="CO4" s="187">
        <v>0</v>
      </c>
      <c r="CP4" s="67">
        <v>0</v>
      </c>
    </row>
    <row r="5" spans="1:94" ht="15.75" thickBot="1" x14ac:dyDescent="0.3">
      <c r="A5" s="559">
        <v>46113</v>
      </c>
      <c r="B5" s="560" t="s">
        <v>16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490"/>
      <c r="Q5" s="115"/>
      <c r="R5" s="168"/>
      <c r="S5" s="135"/>
      <c r="T5" s="172"/>
      <c r="U5" s="476">
        <v>0</v>
      </c>
      <c r="V5" s="477">
        <v>0</v>
      </c>
      <c r="W5" s="502"/>
      <c r="X5" s="138"/>
      <c r="Y5" s="120"/>
      <c r="Z5" s="120"/>
      <c r="AA5" s="167"/>
      <c r="AB5" s="138"/>
      <c r="AC5" s="148"/>
      <c r="AD5" s="138"/>
      <c r="AE5" s="120"/>
      <c r="AF5" s="120"/>
      <c r="AG5" s="121"/>
      <c r="AH5" s="132"/>
      <c r="AI5" s="167"/>
      <c r="AJ5" s="138"/>
      <c r="AK5" s="121"/>
      <c r="AL5" s="120"/>
      <c r="AM5" s="167"/>
      <c r="AN5" s="138"/>
      <c r="AO5" s="148"/>
      <c r="AP5" s="162">
        <f t="shared" si="1"/>
        <v>0</v>
      </c>
      <c r="AQ5" s="127">
        <f t="shared" si="1"/>
        <v>0</v>
      </c>
      <c r="AR5" s="479"/>
      <c r="AS5" s="480">
        <v>429</v>
      </c>
      <c r="AT5" s="120">
        <v>1464</v>
      </c>
      <c r="AU5" s="120"/>
      <c r="AV5" s="167"/>
      <c r="AW5" s="162"/>
      <c r="AX5" s="170"/>
      <c r="AY5" s="138">
        <v>142</v>
      </c>
      <c r="AZ5" s="120">
        <v>1036</v>
      </c>
      <c r="BA5" s="120"/>
      <c r="BB5" s="140"/>
      <c r="BC5" s="180"/>
      <c r="BD5" s="167"/>
      <c r="BE5" s="138">
        <v>396</v>
      </c>
      <c r="BF5" s="140">
        <v>1006</v>
      </c>
      <c r="BG5" s="120"/>
      <c r="BH5" s="167"/>
      <c r="BI5" s="162"/>
      <c r="BJ5" s="170"/>
      <c r="BK5" s="143">
        <f t="shared" si="2"/>
        <v>967</v>
      </c>
      <c r="BL5" s="481">
        <f t="shared" si="2"/>
        <v>3506</v>
      </c>
      <c r="BM5" s="479"/>
      <c r="BN5" s="492">
        <v>53</v>
      </c>
      <c r="BO5" s="114">
        <v>100</v>
      </c>
      <c r="BP5" s="138"/>
      <c r="BQ5" s="121"/>
      <c r="BR5" s="140"/>
      <c r="BS5" s="167"/>
      <c r="BT5" s="143">
        <v>49</v>
      </c>
      <c r="BU5" s="113">
        <v>243</v>
      </c>
      <c r="BV5" s="120"/>
      <c r="BW5" s="121"/>
      <c r="BX5" s="152"/>
      <c r="BY5" s="170"/>
      <c r="BZ5" s="143">
        <v>152</v>
      </c>
      <c r="CA5" s="114">
        <v>322</v>
      </c>
      <c r="CB5" s="120"/>
      <c r="CC5" s="121"/>
      <c r="CD5" s="152"/>
      <c r="CE5" s="170"/>
      <c r="CF5" s="143">
        <f t="shared" si="3"/>
        <v>254</v>
      </c>
      <c r="CG5" s="114">
        <f t="shared" si="3"/>
        <v>665</v>
      </c>
      <c r="CH5" s="486"/>
      <c r="CI5" s="487"/>
      <c r="CJ5" s="486"/>
      <c r="CK5" s="152">
        <v>0</v>
      </c>
      <c r="CL5" s="170">
        <v>0</v>
      </c>
      <c r="CM5" s="152">
        <v>0</v>
      </c>
      <c r="CN5" s="170">
        <v>0</v>
      </c>
      <c r="CO5" s="207">
        <v>0</v>
      </c>
      <c r="CP5" s="208">
        <v>0</v>
      </c>
    </row>
    <row r="6" spans="1:94" s="306" customFormat="1" ht="15.75" thickBot="1" x14ac:dyDescent="0.3">
      <c r="A6" s="290">
        <v>46114</v>
      </c>
      <c r="B6" s="467" t="s">
        <v>17</v>
      </c>
      <c r="C6" s="99">
        <v>130</v>
      </c>
      <c r="D6" s="74">
        <v>317</v>
      </c>
      <c r="E6" s="74"/>
      <c r="F6" s="292"/>
      <c r="G6" s="99"/>
      <c r="H6" s="293"/>
      <c r="I6" s="99">
        <v>59</v>
      </c>
      <c r="J6" s="74">
        <v>129</v>
      </c>
      <c r="K6" s="74"/>
      <c r="L6" s="292"/>
      <c r="M6" s="99"/>
      <c r="N6" s="293"/>
      <c r="O6" s="99">
        <v>171</v>
      </c>
      <c r="P6" s="295">
        <v>251</v>
      </c>
      <c r="Q6" s="296"/>
      <c r="R6" s="297"/>
      <c r="S6" s="298"/>
      <c r="T6" s="299"/>
      <c r="U6" s="211">
        <f t="shared" si="0"/>
        <v>360</v>
      </c>
      <c r="V6" s="212">
        <f t="shared" si="0"/>
        <v>697</v>
      </c>
      <c r="W6" s="569"/>
      <c r="X6" s="99">
        <v>360</v>
      </c>
      <c r="Y6" s="74">
        <v>745</v>
      </c>
      <c r="Z6" s="74"/>
      <c r="AA6" s="292"/>
      <c r="AB6" s="99"/>
      <c r="AC6" s="293"/>
      <c r="AD6" s="99">
        <v>400</v>
      </c>
      <c r="AE6" s="74">
        <v>2226</v>
      </c>
      <c r="AF6" s="74"/>
      <c r="AG6" s="75"/>
      <c r="AH6" s="301"/>
      <c r="AI6" s="292"/>
      <c r="AJ6" s="99">
        <v>723</v>
      </c>
      <c r="AK6" s="75">
        <v>1647</v>
      </c>
      <c r="AL6" s="74"/>
      <c r="AM6" s="292"/>
      <c r="AN6" s="99"/>
      <c r="AO6" s="293"/>
      <c r="AP6" s="125">
        <f t="shared" si="1"/>
        <v>1483</v>
      </c>
      <c r="AQ6" s="210">
        <f t="shared" si="1"/>
        <v>4618</v>
      </c>
      <c r="AR6" s="300"/>
      <c r="AS6" s="76">
        <v>429</v>
      </c>
      <c r="AT6" s="77">
        <v>1454</v>
      </c>
      <c r="AU6" s="77"/>
      <c r="AV6" s="302"/>
      <c r="AW6" s="125"/>
      <c r="AX6" s="302"/>
      <c r="AY6" s="125">
        <v>142</v>
      </c>
      <c r="AZ6" s="77">
        <v>1036</v>
      </c>
      <c r="BA6" s="77"/>
      <c r="BB6" s="78"/>
      <c r="BC6" s="303"/>
      <c r="BD6" s="302"/>
      <c r="BE6" s="99">
        <v>353</v>
      </c>
      <c r="BF6" s="100">
        <v>925</v>
      </c>
      <c r="BG6" s="77"/>
      <c r="BH6" s="302"/>
      <c r="BI6" s="125"/>
      <c r="BJ6" s="302"/>
      <c r="BK6" s="69">
        <f t="shared" si="2"/>
        <v>924</v>
      </c>
      <c r="BL6" s="209">
        <f t="shared" si="2"/>
        <v>3415</v>
      </c>
      <c r="BM6" s="300"/>
      <c r="BN6" s="309">
        <v>53</v>
      </c>
      <c r="BO6" s="213">
        <v>100</v>
      </c>
      <c r="BP6" s="125"/>
      <c r="BQ6" s="210"/>
      <c r="BR6" s="100"/>
      <c r="BS6" s="292"/>
      <c r="BT6" s="69">
        <v>49</v>
      </c>
      <c r="BU6" s="70">
        <v>243</v>
      </c>
      <c r="BV6" s="77"/>
      <c r="BW6" s="210"/>
      <c r="BX6" s="100"/>
      <c r="BY6" s="292"/>
      <c r="BZ6" s="69">
        <v>152</v>
      </c>
      <c r="CA6" s="213">
        <v>322</v>
      </c>
      <c r="CB6" s="77"/>
      <c r="CC6" s="210"/>
      <c r="CD6" s="76"/>
      <c r="CE6" s="302"/>
      <c r="CF6" s="69">
        <f t="shared" si="3"/>
        <v>254</v>
      </c>
      <c r="CG6" s="213">
        <f t="shared" si="3"/>
        <v>665</v>
      </c>
      <c r="CH6" s="304"/>
      <c r="CI6" s="379"/>
      <c r="CJ6" s="304"/>
      <c r="CK6" s="77">
        <v>72</v>
      </c>
      <c r="CL6" s="302">
        <v>219</v>
      </c>
      <c r="CM6" s="99"/>
      <c r="CN6" s="292"/>
      <c r="CO6" s="188">
        <v>72</v>
      </c>
      <c r="CP6" s="101">
        <v>219</v>
      </c>
    </row>
    <row r="7" spans="1:94" s="119" customFormat="1" ht="15.75" thickBot="1" x14ac:dyDescent="0.3">
      <c r="A7" s="488">
        <v>46115</v>
      </c>
      <c r="B7" s="506" t="s">
        <v>18</v>
      </c>
      <c r="C7" s="138"/>
      <c r="D7" s="120"/>
      <c r="E7" s="120"/>
      <c r="F7" s="167"/>
      <c r="G7" s="138"/>
      <c r="H7" s="148"/>
      <c r="I7" s="138"/>
      <c r="J7" s="120"/>
      <c r="K7" s="120"/>
      <c r="L7" s="167"/>
      <c r="M7" s="161"/>
      <c r="N7" s="156"/>
      <c r="O7" s="138"/>
      <c r="P7" s="140">
        <v>282</v>
      </c>
      <c r="Q7" s="116"/>
      <c r="R7" s="169"/>
      <c r="S7" s="136"/>
      <c r="T7" s="173"/>
      <c r="U7" s="476">
        <f t="shared" si="0"/>
        <v>0</v>
      </c>
      <c r="V7" s="477">
        <f t="shared" si="0"/>
        <v>282</v>
      </c>
      <c r="W7" s="575"/>
      <c r="X7" s="138"/>
      <c r="Y7" s="120"/>
      <c r="Z7" s="120"/>
      <c r="AA7" s="167"/>
      <c r="AB7" s="138"/>
      <c r="AC7" s="148"/>
      <c r="AD7" s="138"/>
      <c r="AE7" s="120"/>
      <c r="AF7" s="120"/>
      <c r="AG7" s="121"/>
      <c r="AH7" s="132"/>
      <c r="AI7" s="167"/>
      <c r="AJ7" s="138"/>
      <c r="AK7" s="121"/>
      <c r="AL7" s="120"/>
      <c r="AM7" s="167"/>
      <c r="AN7" s="138"/>
      <c r="AO7" s="148"/>
      <c r="AP7" s="162">
        <f t="shared" si="1"/>
        <v>0</v>
      </c>
      <c r="AQ7" s="127">
        <f t="shared" si="1"/>
        <v>0</v>
      </c>
      <c r="AR7" s="479"/>
      <c r="AS7" s="152">
        <v>429</v>
      </c>
      <c r="AT7" s="117">
        <v>1454</v>
      </c>
      <c r="AU7" s="117"/>
      <c r="AV7" s="170"/>
      <c r="AW7" s="162"/>
      <c r="AX7" s="170"/>
      <c r="AY7" s="162">
        <v>142</v>
      </c>
      <c r="AZ7" s="117">
        <v>1036</v>
      </c>
      <c r="BA7" s="117"/>
      <c r="BB7" s="141"/>
      <c r="BC7" s="179"/>
      <c r="BD7" s="170"/>
      <c r="BE7" s="162">
        <v>328</v>
      </c>
      <c r="BF7" s="141">
        <v>867</v>
      </c>
      <c r="BG7" s="117"/>
      <c r="BH7" s="170"/>
      <c r="BI7" s="162"/>
      <c r="BJ7" s="170"/>
      <c r="BK7" s="143">
        <f t="shared" si="2"/>
        <v>899</v>
      </c>
      <c r="BL7" s="481">
        <f t="shared" si="2"/>
        <v>3357</v>
      </c>
      <c r="BM7" s="479"/>
      <c r="BN7" s="482">
        <v>53</v>
      </c>
      <c r="BO7" s="519">
        <v>100</v>
      </c>
      <c r="BP7" s="162"/>
      <c r="BQ7" s="127"/>
      <c r="BR7" s="140"/>
      <c r="BS7" s="167"/>
      <c r="BT7" s="207">
        <v>49</v>
      </c>
      <c r="BU7" s="208">
        <v>243</v>
      </c>
      <c r="BV7" s="117"/>
      <c r="BW7" s="127"/>
      <c r="BX7" s="140"/>
      <c r="BY7" s="167"/>
      <c r="BZ7" s="555">
        <v>152</v>
      </c>
      <c r="CA7" s="576">
        <v>322</v>
      </c>
      <c r="CB7" s="117"/>
      <c r="CC7" s="127"/>
      <c r="CD7" s="152"/>
      <c r="CE7" s="170"/>
      <c r="CF7" s="143">
        <f t="shared" si="3"/>
        <v>254</v>
      </c>
      <c r="CG7" s="114">
        <f t="shared" si="3"/>
        <v>665</v>
      </c>
      <c r="CH7" s="486"/>
      <c r="CI7" s="487"/>
      <c r="CJ7" s="486"/>
      <c r="CK7" s="117"/>
      <c r="CL7" s="170"/>
      <c r="CM7" s="138"/>
      <c r="CN7" s="167"/>
      <c r="CO7" s="207"/>
      <c r="CP7" s="208"/>
    </row>
    <row r="8" spans="1:94" s="119" customFormat="1" ht="15.75" thickBot="1" x14ac:dyDescent="0.3">
      <c r="A8" s="488">
        <v>46116</v>
      </c>
      <c r="B8" s="489" t="s">
        <v>19</v>
      </c>
      <c r="C8" s="138"/>
      <c r="D8" s="120"/>
      <c r="E8" s="120"/>
      <c r="F8" s="167"/>
      <c r="G8" s="138"/>
      <c r="H8" s="148"/>
      <c r="I8" s="138"/>
      <c r="J8" s="120"/>
      <c r="K8" s="120"/>
      <c r="L8" s="167"/>
      <c r="M8" s="161"/>
      <c r="N8" s="156"/>
      <c r="O8" s="138"/>
      <c r="P8" s="577"/>
      <c r="Q8" s="116"/>
      <c r="R8" s="169"/>
      <c r="S8" s="136"/>
      <c r="T8" s="173"/>
      <c r="U8" s="476">
        <f t="shared" si="0"/>
        <v>0</v>
      </c>
      <c r="V8" s="477">
        <f t="shared" si="0"/>
        <v>0</v>
      </c>
      <c r="W8" s="575"/>
      <c r="X8" s="138"/>
      <c r="Y8" s="120"/>
      <c r="Z8" s="120"/>
      <c r="AA8" s="167"/>
      <c r="AB8" s="138"/>
      <c r="AC8" s="148"/>
      <c r="AD8" s="138"/>
      <c r="AE8" s="120"/>
      <c r="AF8" s="120"/>
      <c r="AG8" s="121"/>
      <c r="AH8" s="132"/>
      <c r="AI8" s="167"/>
      <c r="AJ8" s="138"/>
      <c r="AK8" s="121"/>
      <c r="AL8" s="120"/>
      <c r="AM8" s="167"/>
      <c r="AN8" s="138"/>
      <c r="AO8" s="148"/>
      <c r="AP8" s="162">
        <f t="shared" si="1"/>
        <v>0</v>
      </c>
      <c r="AQ8" s="127">
        <f t="shared" si="1"/>
        <v>0</v>
      </c>
      <c r="AR8" s="479"/>
      <c r="AS8" s="152">
        <v>429</v>
      </c>
      <c r="AT8" s="117">
        <v>1454</v>
      </c>
      <c r="AU8" s="117"/>
      <c r="AV8" s="170"/>
      <c r="AW8" s="162"/>
      <c r="AX8" s="170"/>
      <c r="AY8" s="162">
        <v>142</v>
      </c>
      <c r="AZ8" s="117">
        <v>1036</v>
      </c>
      <c r="BA8" s="117"/>
      <c r="BB8" s="141"/>
      <c r="BC8" s="179"/>
      <c r="BD8" s="170"/>
      <c r="BE8" s="162">
        <v>328</v>
      </c>
      <c r="BF8" s="141">
        <v>867</v>
      </c>
      <c r="BG8" s="117"/>
      <c r="BH8" s="170"/>
      <c r="BI8" s="162"/>
      <c r="BJ8" s="170"/>
      <c r="BK8" s="143">
        <f t="shared" si="2"/>
        <v>899</v>
      </c>
      <c r="BL8" s="481">
        <f t="shared" si="2"/>
        <v>3357</v>
      </c>
      <c r="BM8" s="479"/>
      <c r="BN8" s="482">
        <v>53</v>
      </c>
      <c r="BO8" s="519">
        <v>100</v>
      </c>
      <c r="BP8" s="162"/>
      <c r="BQ8" s="127"/>
      <c r="BR8" s="140"/>
      <c r="BS8" s="167"/>
      <c r="BT8" s="207">
        <v>49</v>
      </c>
      <c r="BU8" s="208">
        <v>243</v>
      </c>
      <c r="BV8" s="117"/>
      <c r="BW8" s="127"/>
      <c r="BX8" s="140"/>
      <c r="BY8" s="167"/>
      <c r="BZ8" s="143">
        <v>152</v>
      </c>
      <c r="CA8" s="114">
        <v>322</v>
      </c>
      <c r="CB8" s="117"/>
      <c r="CC8" s="127"/>
      <c r="CD8" s="152"/>
      <c r="CE8" s="170"/>
      <c r="CF8" s="143">
        <f t="shared" si="3"/>
        <v>254</v>
      </c>
      <c r="CG8" s="114">
        <f t="shared" si="3"/>
        <v>665</v>
      </c>
      <c r="CH8" s="486"/>
      <c r="CI8" s="487"/>
      <c r="CJ8" s="486"/>
      <c r="CK8" s="117"/>
      <c r="CL8" s="170"/>
      <c r="CM8" s="138"/>
      <c r="CN8" s="167"/>
      <c r="CO8" s="207"/>
      <c r="CP8" s="208"/>
    </row>
    <row r="9" spans="1:94" s="119" customFormat="1" ht="15.75" thickBot="1" x14ac:dyDescent="0.3">
      <c r="A9" s="488">
        <v>46117</v>
      </c>
      <c r="B9" s="506" t="s">
        <v>20</v>
      </c>
      <c r="C9" s="138"/>
      <c r="D9" s="120"/>
      <c r="E9" s="120"/>
      <c r="F9" s="167"/>
      <c r="G9" s="138"/>
      <c r="H9" s="148"/>
      <c r="I9" s="138"/>
      <c r="J9" s="120"/>
      <c r="K9" s="120"/>
      <c r="L9" s="167"/>
      <c r="M9" s="162"/>
      <c r="N9" s="157"/>
      <c r="O9" s="138"/>
      <c r="P9" s="140"/>
      <c r="Q9" s="116"/>
      <c r="R9" s="169"/>
      <c r="S9" s="136"/>
      <c r="T9" s="173"/>
      <c r="U9" s="476">
        <f t="shared" si="0"/>
        <v>0</v>
      </c>
      <c r="V9" s="477">
        <f t="shared" si="0"/>
        <v>0</v>
      </c>
      <c r="W9" s="575"/>
      <c r="X9" s="138"/>
      <c r="Y9" s="120"/>
      <c r="Z9" s="120"/>
      <c r="AA9" s="167"/>
      <c r="AB9" s="138"/>
      <c r="AC9" s="148"/>
      <c r="AD9" s="138"/>
      <c r="AE9" s="120"/>
      <c r="AF9" s="120"/>
      <c r="AG9" s="121"/>
      <c r="AH9" s="132"/>
      <c r="AI9" s="167"/>
      <c r="AJ9" s="138"/>
      <c r="AK9" s="121"/>
      <c r="AL9" s="120"/>
      <c r="AM9" s="167"/>
      <c r="AN9" s="138"/>
      <c r="AO9" s="148"/>
      <c r="AP9" s="162">
        <f t="shared" si="1"/>
        <v>0</v>
      </c>
      <c r="AQ9" s="127">
        <f t="shared" si="1"/>
        <v>0</v>
      </c>
      <c r="AR9" s="479"/>
      <c r="AS9" s="152">
        <v>429</v>
      </c>
      <c r="AT9" s="117">
        <v>1454</v>
      </c>
      <c r="AU9" s="117"/>
      <c r="AV9" s="170"/>
      <c r="AW9" s="162"/>
      <c r="AX9" s="170"/>
      <c r="AY9" s="162">
        <v>142</v>
      </c>
      <c r="AZ9" s="117">
        <v>1036</v>
      </c>
      <c r="BA9" s="117"/>
      <c r="BB9" s="141"/>
      <c r="BC9" s="179"/>
      <c r="BD9" s="170"/>
      <c r="BE9" s="162">
        <v>328</v>
      </c>
      <c r="BF9" s="141">
        <v>867</v>
      </c>
      <c r="BG9" s="117"/>
      <c r="BH9" s="170"/>
      <c r="BI9" s="162"/>
      <c r="BJ9" s="170"/>
      <c r="BK9" s="143">
        <f t="shared" si="2"/>
        <v>899</v>
      </c>
      <c r="BL9" s="481">
        <f t="shared" si="2"/>
        <v>3357</v>
      </c>
      <c r="BM9" s="479"/>
      <c r="BN9" s="482">
        <v>53</v>
      </c>
      <c r="BO9" s="519">
        <v>100</v>
      </c>
      <c r="BP9" s="162"/>
      <c r="BQ9" s="127"/>
      <c r="BR9" s="140"/>
      <c r="BS9" s="167"/>
      <c r="BT9" s="207">
        <v>49</v>
      </c>
      <c r="BU9" s="208">
        <v>243</v>
      </c>
      <c r="BV9" s="117"/>
      <c r="BW9" s="127"/>
      <c r="BX9" s="140"/>
      <c r="BY9" s="167"/>
      <c r="BZ9" s="143">
        <v>152</v>
      </c>
      <c r="CA9" s="114">
        <v>322</v>
      </c>
      <c r="CB9" s="117"/>
      <c r="CC9" s="127"/>
      <c r="CD9" s="152"/>
      <c r="CE9" s="170"/>
      <c r="CF9" s="143">
        <f t="shared" si="3"/>
        <v>254</v>
      </c>
      <c r="CG9" s="114">
        <f t="shared" si="3"/>
        <v>665</v>
      </c>
      <c r="CH9" s="486"/>
      <c r="CI9" s="487"/>
      <c r="CJ9" s="486"/>
      <c r="CK9" s="117"/>
      <c r="CL9" s="170"/>
      <c r="CM9" s="138"/>
      <c r="CN9" s="167"/>
      <c r="CO9" s="207"/>
      <c r="CP9" s="208"/>
    </row>
    <row r="10" spans="1:94" s="119" customFormat="1" ht="15.75" thickBot="1" x14ac:dyDescent="0.3">
      <c r="A10" s="488">
        <v>46118</v>
      </c>
      <c r="B10" s="489" t="s">
        <v>14</v>
      </c>
      <c r="C10" s="138"/>
      <c r="D10" s="120"/>
      <c r="E10" s="120"/>
      <c r="F10" s="167"/>
      <c r="G10" s="138"/>
      <c r="H10" s="148"/>
      <c r="I10" s="138"/>
      <c r="J10" s="120"/>
      <c r="K10" s="120"/>
      <c r="L10" s="167"/>
      <c r="M10" s="162"/>
      <c r="N10" s="157"/>
      <c r="O10" s="138"/>
      <c r="P10" s="577"/>
      <c r="Q10" s="116"/>
      <c r="R10" s="169"/>
      <c r="S10" s="136"/>
      <c r="T10" s="173"/>
      <c r="U10" s="476">
        <f t="shared" si="0"/>
        <v>0</v>
      </c>
      <c r="V10" s="477">
        <f t="shared" si="0"/>
        <v>0</v>
      </c>
      <c r="W10" s="575"/>
      <c r="X10" s="138"/>
      <c r="Y10" s="120"/>
      <c r="Z10" s="120"/>
      <c r="AA10" s="167"/>
      <c r="AB10" s="138"/>
      <c r="AC10" s="148"/>
      <c r="AD10" s="138"/>
      <c r="AE10" s="120"/>
      <c r="AF10" s="120"/>
      <c r="AG10" s="121"/>
      <c r="AH10" s="132"/>
      <c r="AI10" s="167"/>
      <c r="AJ10" s="138"/>
      <c r="AK10" s="121"/>
      <c r="AL10" s="120"/>
      <c r="AM10" s="167"/>
      <c r="AN10" s="138"/>
      <c r="AO10" s="148"/>
      <c r="AP10" s="162">
        <f t="shared" si="1"/>
        <v>0</v>
      </c>
      <c r="AQ10" s="127">
        <f t="shared" si="1"/>
        <v>0</v>
      </c>
      <c r="AR10" s="479"/>
      <c r="AS10" s="152">
        <v>429</v>
      </c>
      <c r="AT10" s="117">
        <v>1454</v>
      </c>
      <c r="AU10" s="117"/>
      <c r="AV10" s="170"/>
      <c r="AW10" s="162"/>
      <c r="AX10" s="170"/>
      <c r="AY10" s="162">
        <v>142</v>
      </c>
      <c r="AZ10" s="117">
        <v>1036</v>
      </c>
      <c r="BA10" s="117"/>
      <c r="BB10" s="141"/>
      <c r="BC10" s="179"/>
      <c r="BD10" s="170"/>
      <c r="BE10" s="162">
        <v>328</v>
      </c>
      <c r="BF10" s="141">
        <v>867</v>
      </c>
      <c r="BG10" s="117"/>
      <c r="BH10" s="170"/>
      <c r="BI10" s="162"/>
      <c r="BJ10" s="170"/>
      <c r="BK10" s="143">
        <f t="shared" si="2"/>
        <v>899</v>
      </c>
      <c r="BL10" s="481">
        <f t="shared" si="2"/>
        <v>3357</v>
      </c>
      <c r="BM10" s="479"/>
      <c r="BN10" s="482">
        <v>53</v>
      </c>
      <c r="BO10" s="519">
        <v>100</v>
      </c>
      <c r="BP10" s="162"/>
      <c r="BQ10" s="127"/>
      <c r="BR10" s="140"/>
      <c r="BS10" s="167"/>
      <c r="BT10" s="207">
        <v>49</v>
      </c>
      <c r="BU10" s="208">
        <v>243</v>
      </c>
      <c r="BV10" s="117"/>
      <c r="BW10" s="127"/>
      <c r="BX10" s="140"/>
      <c r="BY10" s="167"/>
      <c r="BZ10" s="207">
        <v>152</v>
      </c>
      <c r="CA10" s="485">
        <v>322</v>
      </c>
      <c r="CB10" s="117"/>
      <c r="CC10" s="127"/>
      <c r="CD10" s="152"/>
      <c r="CE10" s="170"/>
      <c r="CF10" s="143">
        <f t="shared" si="3"/>
        <v>254</v>
      </c>
      <c r="CG10" s="114">
        <f t="shared" si="3"/>
        <v>665</v>
      </c>
      <c r="CH10" s="486"/>
      <c r="CI10" s="487"/>
      <c r="CJ10" s="486"/>
      <c r="CK10" s="117"/>
      <c r="CL10" s="170"/>
      <c r="CM10" s="138"/>
      <c r="CN10" s="167"/>
      <c r="CO10" s="207"/>
      <c r="CP10" s="483"/>
    </row>
    <row r="11" spans="1:94" s="129" customFormat="1" ht="15.75" thickBot="1" x14ac:dyDescent="0.3">
      <c r="A11" s="572">
        <v>46119</v>
      </c>
      <c r="B11" s="573" t="s">
        <v>15</v>
      </c>
      <c r="C11" s="236"/>
      <c r="D11" s="237"/>
      <c r="E11" s="237">
        <v>44</v>
      </c>
      <c r="F11" s="314">
        <v>98</v>
      </c>
      <c r="G11" s="236"/>
      <c r="H11" s="315"/>
      <c r="I11" s="236"/>
      <c r="J11" s="237"/>
      <c r="K11" s="237">
        <v>8</v>
      </c>
      <c r="L11" s="314">
        <v>36</v>
      </c>
      <c r="M11" s="243"/>
      <c r="N11" s="316"/>
      <c r="O11" s="236"/>
      <c r="P11" s="241"/>
      <c r="Q11" s="317"/>
      <c r="R11" s="318"/>
      <c r="S11" s="319"/>
      <c r="T11" s="320"/>
      <c r="U11" s="416">
        <f t="shared" si="0"/>
        <v>52</v>
      </c>
      <c r="V11" s="417">
        <f t="shared" si="0"/>
        <v>134</v>
      </c>
      <c r="W11" s="561"/>
      <c r="X11" s="236"/>
      <c r="Y11" s="237"/>
      <c r="Z11" s="237"/>
      <c r="AA11" s="314"/>
      <c r="AB11" s="236"/>
      <c r="AC11" s="315"/>
      <c r="AD11" s="236"/>
      <c r="AE11" s="237"/>
      <c r="AF11" s="237">
        <v>58</v>
      </c>
      <c r="AG11" s="324">
        <v>235</v>
      </c>
      <c r="AH11" s="325"/>
      <c r="AI11" s="314"/>
      <c r="AJ11" s="236"/>
      <c r="AK11" s="324"/>
      <c r="AL11" s="237">
        <v>154</v>
      </c>
      <c r="AM11" s="314">
        <v>301</v>
      </c>
      <c r="AN11" s="236"/>
      <c r="AO11" s="315"/>
      <c r="AP11" s="243">
        <f t="shared" si="1"/>
        <v>212</v>
      </c>
      <c r="AQ11" s="326">
        <f t="shared" si="1"/>
        <v>536</v>
      </c>
      <c r="AR11" s="322"/>
      <c r="AS11" s="327"/>
      <c r="AT11" s="317"/>
      <c r="AU11" s="317"/>
      <c r="AV11" s="318"/>
      <c r="AW11" s="243"/>
      <c r="AX11" s="318"/>
      <c r="AY11" s="243">
        <v>135</v>
      </c>
      <c r="AZ11" s="317">
        <v>909</v>
      </c>
      <c r="BA11" s="317"/>
      <c r="BB11" s="242"/>
      <c r="BC11" s="328"/>
      <c r="BD11" s="318"/>
      <c r="BE11" s="243">
        <v>328</v>
      </c>
      <c r="BF11" s="242">
        <v>867</v>
      </c>
      <c r="BG11" s="317"/>
      <c r="BH11" s="318"/>
      <c r="BI11" s="243"/>
      <c r="BJ11" s="318"/>
      <c r="BK11" s="329">
        <f t="shared" si="2"/>
        <v>463</v>
      </c>
      <c r="BL11" s="418">
        <f t="shared" si="2"/>
        <v>1776</v>
      </c>
      <c r="BM11" s="322"/>
      <c r="BN11" s="330">
        <v>53</v>
      </c>
      <c r="BO11" s="515">
        <v>100</v>
      </c>
      <c r="BP11" s="243"/>
      <c r="BQ11" s="326"/>
      <c r="BR11" s="241"/>
      <c r="BS11" s="314"/>
      <c r="BT11" s="332">
        <v>49</v>
      </c>
      <c r="BU11" s="333">
        <v>243</v>
      </c>
      <c r="BV11" s="317"/>
      <c r="BW11" s="326"/>
      <c r="BX11" s="242"/>
      <c r="BY11" s="318"/>
      <c r="BZ11" s="334">
        <v>152</v>
      </c>
      <c r="CA11" s="335">
        <v>322</v>
      </c>
      <c r="CB11" s="317"/>
      <c r="CC11" s="326"/>
      <c r="CD11" s="327"/>
      <c r="CE11" s="318"/>
      <c r="CF11" s="329">
        <f t="shared" si="3"/>
        <v>254</v>
      </c>
      <c r="CG11" s="336">
        <f t="shared" si="3"/>
        <v>665</v>
      </c>
      <c r="CH11" s="337"/>
      <c r="CI11" s="356"/>
      <c r="CJ11" s="337"/>
      <c r="CK11" s="317"/>
      <c r="CL11" s="318"/>
      <c r="CM11" s="236"/>
      <c r="CN11" s="314"/>
      <c r="CO11" s="332"/>
      <c r="CP11" s="333"/>
    </row>
    <row r="12" spans="1:94" s="129" customFormat="1" ht="15.75" thickBot="1" x14ac:dyDescent="0.3">
      <c r="A12" s="313">
        <v>46120</v>
      </c>
      <c r="B12" s="574" t="s">
        <v>16</v>
      </c>
      <c r="C12" s="236">
        <v>174</v>
      </c>
      <c r="D12" s="237">
        <v>415</v>
      </c>
      <c r="E12" s="237"/>
      <c r="F12" s="314"/>
      <c r="G12" s="236"/>
      <c r="H12" s="315"/>
      <c r="I12" s="236">
        <v>67</v>
      </c>
      <c r="J12" s="237">
        <v>165</v>
      </c>
      <c r="K12" s="237"/>
      <c r="L12" s="314"/>
      <c r="M12" s="243"/>
      <c r="N12" s="316"/>
      <c r="O12" s="236"/>
      <c r="P12" s="242"/>
      <c r="Q12" s="317"/>
      <c r="R12" s="318"/>
      <c r="S12" s="319"/>
      <c r="T12" s="320"/>
      <c r="U12" s="416">
        <f t="shared" si="0"/>
        <v>241</v>
      </c>
      <c r="V12" s="417">
        <f t="shared" si="0"/>
        <v>580</v>
      </c>
      <c r="W12" s="561"/>
      <c r="X12" s="236"/>
      <c r="Y12" s="237"/>
      <c r="Z12" s="237"/>
      <c r="AA12" s="314"/>
      <c r="AB12" s="236"/>
      <c r="AC12" s="315"/>
      <c r="AD12" s="236"/>
      <c r="AE12" s="237"/>
      <c r="AF12" s="237"/>
      <c r="AG12" s="324"/>
      <c r="AH12" s="325"/>
      <c r="AI12" s="314"/>
      <c r="AJ12" s="236"/>
      <c r="AK12" s="324"/>
      <c r="AL12" s="237"/>
      <c r="AM12" s="314"/>
      <c r="AN12" s="236"/>
      <c r="AO12" s="315"/>
      <c r="AP12" s="243">
        <f t="shared" si="1"/>
        <v>0</v>
      </c>
      <c r="AQ12" s="326">
        <f t="shared" si="1"/>
        <v>0</v>
      </c>
      <c r="AR12" s="322"/>
      <c r="AS12" s="327"/>
      <c r="AT12" s="317"/>
      <c r="AU12" s="317">
        <v>9</v>
      </c>
      <c r="AV12" s="318">
        <v>17</v>
      </c>
      <c r="AW12" s="243">
        <v>1</v>
      </c>
      <c r="AX12" s="318">
        <v>43</v>
      </c>
      <c r="AY12" s="243"/>
      <c r="AZ12" s="317"/>
      <c r="BA12" s="317">
        <v>8</v>
      </c>
      <c r="BB12" s="242">
        <v>34</v>
      </c>
      <c r="BC12" s="328"/>
      <c r="BD12" s="318"/>
      <c r="BE12" s="243"/>
      <c r="BF12" s="242"/>
      <c r="BG12" s="317">
        <v>6</v>
      </c>
      <c r="BH12" s="318">
        <v>14</v>
      </c>
      <c r="BI12" s="243"/>
      <c r="BJ12" s="318"/>
      <c r="BK12" s="329">
        <f t="shared" si="2"/>
        <v>24</v>
      </c>
      <c r="BL12" s="418">
        <f t="shared" si="2"/>
        <v>108</v>
      </c>
      <c r="BM12" s="322"/>
      <c r="BN12" s="330">
        <v>53</v>
      </c>
      <c r="BO12" s="515">
        <v>100</v>
      </c>
      <c r="BP12" s="243">
        <v>18</v>
      </c>
      <c r="BQ12" s="326">
        <v>38</v>
      </c>
      <c r="BR12" s="241"/>
      <c r="BS12" s="314"/>
      <c r="BT12" s="332">
        <v>49</v>
      </c>
      <c r="BU12" s="333">
        <v>243</v>
      </c>
      <c r="BV12" s="317">
        <v>23</v>
      </c>
      <c r="BW12" s="326">
        <v>112</v>
      </c>
      <c r="BX12" s="242"/>
      <c r="BY12" s="318"/>
      <c r="BZ12" s="334">
        <v>152</v>
      </c>
      <c r="CA12" s="335">
        <v>322</v>
      </c>
      <c r="CB12" s="317">
        <v>92</v>
      </c>
      <c r="CC12" s="326">
        <v>160</v>
      </c>
      <c r="CD12" s="327"/>
      <c r="CE12" s="318"/>
      <c r="CF12" s="329">
        <f t="shared" si="3"/>
        <v>387</v>
      </c>
      <c r="CG12" s="336">
        <f t="shared" si="3"/>
        <v>975</v>
      </c>
      <c r="CH12" s="337"/>
      <c r="CI12" s="356"/>
      <c r="CJ12" s="337"/>
      <c r="CK12" s="317"/>
      <c r="CL12" s="318"/>
      <c r="CM12" s="236"/>
      <c r="CN12" s="314"/>
      <c r="CO12" s="332"/>
      <c r="CP12" s="333"/>
    </row>
    <row r="13" spans="1:94" ht="15.75" thickBot="1" x14ac:dyDescent="0.3">
      <c r="A13" s="559">
        <v>46121</v>
      </c>
      <c r="B13" s="560" t="s">
        <v>17</v>
      </c>
      <c r="C13" s="50">
        <v>174</v>
      </c>
      <c r="D13" s="51">
        <v>415</v>
      </c>
      <c r="E13" s="51"/>
      <c r="F13" s="380"/>
      <c r="G13" s="50"/>
      <c r="H13" s="381"/>
      <c r="I13" s="50">
        <v>67</v>
      </c>
      <c r="J13" s="51">
        <v>165</v>
      </c>
      <c r="K13" s="51"/>
      <c r="L13" s="380"/>
      <c r="M13" s="124"/>
      <c r="N13" s="382"/>
      <c r="O13" s="50">
        <v>171</v>
      </c>
      <c r="P13" s="42">
        <v>251</v>
      </c>
      <c r="Q13" s="41"/>
      <c r="R13" s="391"/>
      <c r="S13" s="397"/>
      <c r="T13" s="398"/>
      <c r="U13" s="388">
        <f t="shared" si="0"/>
        <v>412</v>
      </c>
      <c r="V13" s="31">
        <f t="shared" si="0"/>
        <v>831</v>
      </c>
      <c r="W13" s="502"/>
      <c r="X13" s="50">
        <v>360</v>
      </c>
      <c r="Y13" s="51">
        <v>745</v>
      </c>
      <c r="Z13" s="51"/>
      <c r="AA13" s="380"/>
      <c r="AB13" s="50"/>
      <c r="AC13" s="381"/>
      <c r="AD13" s="50">
        <v>400</v>
      </c>
      <c r="AE13" s="51">
        <v>2181</v>
      </c>
      <c r="AF13" s="51"/>
      <c r="AG13" s="65"/>
      <c r="AH13" s="389"/>
      <c r="AI13" s="380"/>
      <c r="AJ13" s="50">
        <v>740</v>
      </c>
      <c r="AK13" s="65">
        <v>1614</v>
      </c>
      <c r="AL13" s="51"/>
      <c r="AM13" s="380"/>
      <c r="AN13" s="50"/>
      <c r="AO13" s="381"/>
      <c r="AP13" s="124">
        <f t="shared" si="1"/>
        <v>1500</v>
      </c>
      <c r="AQ13" s="127">
        <f t="shared" si="1"/>
        <v>4540</v>
      </c>
      <c r="AR13" s="6"/>
      <c r="AS13" s="40">
        <v>693</v>
      </c>
      <c r="AT13" s="41">
        <v>1389</v>
      </c>
      <c r="AU13" s="41"/>
      <c r="AV13" s="391"/>
      <c r="AW13" s="124"/>
      <c r="AX13" s="391"/>
      <c r="AY13" s="124">
        <v>115</v>
      </c>
      <c r="AZ13" s="41">
        <v>747</v>
      </c>
      <c r="BA13" s="41"/>
      <c r="BB13" s="42"/>
      <c r="BC13" s="392"/>
      <c r="BD13" s="391"/>
      <c r="BE13" s="124">
        <v>312</v>
      </c>
      <c r="BF13" s="42">
        <v>798</v>
      </c>
      <c r="BG13" s="41"/>
      <c r="BH13" s="391"/>
      <c r="BI13" s="124"/>
      <c r="BJ13" s="391"/>
      <c r="BK13" s="143">
        <f t="shared" si="2"/>
        <v>1120</v>
      </c>
      <c r="BL13" s="481">
        <f t="shared" si="2"/>
        <v>2934</v>
      </c>
      <c r="BM13" s="6"/>
      <c r="BN13" s="56">
        <v>71</v>
      </c>
      <c r="BO13" s="518">
        <v>138</v>
      </c>
      <c r="BP13" s="124"/>
      <c r="BQ13" s="390"/>
      <c r="BR13" s="55"/>
      <c r="BS13" s="380"/>
      <c r="BT13" s="187">
        <v>72</v>
      </c>
      <c r="BU13" s="67">
        <v>355</v>
      </c>
      <c r="BV13" s="41"/>
      <c r="BW13" s="390"/>
      <c r="BX13" s="42"/>
      <c r="BY13" s="391"/>
      <c r="BZ13" s="190">
        <v>244</v>
      </c>
      <c r="CA13" s="58">
        <v>482</v>
      </c>
      <c r="CB13" s="41"/>
      <c r="CC13" s="390"/>
      <c r="CD13" s="40"/>
      <c r="CE13" s="391"/>
      <c r="CF13" s="143">
        <f t="shared" si="3"/>
        <v>387</v>
      </c>
      <c r="CG13" s="114">
        <f t="shared" si="3"/>
        <v>975</v>
      </c>
      <c r="CH13" s="60"/>
      <c r="CI13" s="396"/>
      <c r="CJ13" s="60"/>
      <c r="CK13" s="41"/>
      <c r="CL13" s="391"/>
      <c r="CM13" s="50"/>
      <c r="CN13" s="380"/>
      <c r="CO13" s="187">
        <v>29</v>
      </c>
      <c r="CP13" s="67">
        <v>114</v>
      </c>
    </row>
    <row r="14" spans="1:94" ht="15.75" thickBot="1" x14ac:dyDescent="0.3">
      <c r="A14" s="48">
        <v>46122</v>
      </c>
      <c r="B14" s="466" t="s">
        <v>18</v>
      </c>
      <c r="C14" s="50"/>
      <c r="D14" s="51"/>
      <c r="E14" s="50"/>
      <c r="F14" s="381"/>
      <c r="G14" s="50"/>
      <c r="H14" s="381"/>
      <c r="I14" s="50"/>
      <c r="J14" s="51"/>
      <c r="K14" s="51"/>
      <c r="L14" s="380"/>
      <c r="M14" s="124"/>
      <c r="N14" s="382"/>
      <c r="O14" s="50"/>
      <c r="P14" s="42"/>
      <c r="Q14" s="41"/>
      <c r="R14" s="391"/>
      <c r="S14" s="397"/>
      <c r="T14" s="398"/>
      <c r="U14" s="388">
        <f t="shared" si="0"/>
        <v>0</v>
      </c>
      <c r="V14" s="31">
        <f t="shared" si="0"/>
        <v>0</v>
      </c>
      <c r="W14" s="502"/>
      <c r="X14" s="50"/>
      <c r="Y14" s="51"/>
      <c r="Z14" s="51"/>
      <c r="AA14" s="380"/>
      <c r="AB14" s="50"/>
      <c r="AC14" s="381"/>
      <c r="AD14" s="50"/>
      <c r="AE14" s="51"/>
      <c r="AF14" s="51"/>
      <c r="AG14" s="65"/>
      <c r="AH14" s="389"/>
      <c r="AI14" s="380"/>
      <c r="AJ14" s="50"/>
      <c r="AK14" s="65"/>
      <c r="AL14" s="51"/>
      <c r="AM14" s="380"/>
      <c r="AN14" s="50"/>
      <c r="AO14" s="381"/>
      <c r="AP14" s="124">
        <f t="shared" si="1"/>
        <v>0</v>
      </c>
      <c r="AQ14" s="127">
        <f t="shared" si="1"/>
        <v>0</v>
      </c>
      <c r="AR14" s="6"/>
      <c r="AS14" s="40"/>
      <c r="AT14" s="41"/>
      <c r="AU14" s="41"/>
      <c r="AV14" s="391"/>
      <c r="AW14" s="124"/>
      <c r="AX14" s="391"/>
      <c r="AY14" s="124"/>
      <c r="AZ14" s="41"/>
      <c r="BA14" s="41"/>
      <c r="BB14" s="42"/>
      <c r="BC14" s="392"/>
      <c r="BD14" s="391"/>
      <c r="BE14" s="124"/>
      <c r="BF14" s="42"/>
      <c r="BG14" s="41"/>
      <c r="BH14" s="391"/>
      <c r="BI14" s="124"/>
      <c r="BJ14" s="391"/>
      <c r="BK14" s="393">
        <f t="shared" si="2"/>
        <v>0</v>
      </c>
      <c r="BL14" s="394">
        <f t="shared" si="2"/>
        <v>0</v>
      </c>
      <c r="BM14" s="6"/>
      <c r="BN14" s="56">
        <v>71</v>
      </c>
      <c r="BO14" s="518">
        <v>138</v>
      </c>
      <c r="BP14" s="124"/>
      <c r="BQ14" s="390"/>
      <c r="BR14" s="55"/>
      <c r="BS14" s="380"/>
      <c r="BT14" s="187">
        <v>72</v>
      </c>
      <c r="BU14" s="67">
        <v>355</v>
      </c>
      <c r="BV14" s="41"/>
      <c r="BW14" s="390"/>
      <c r="BX14" s="42"/>
      <c r="BY14" s="391"/>
      <c r="BZ14" s="190">
        <v>244</v>
      </c>
      <c r="CA14" s="58">
        <v>482</v>
      </c>
      <c r="CB14" s="41"/>
      <c r="CC14" s="390"/>
      <c r="CD14" s="40"/>
      <c r="CE14" s="391"/>
      <c r="CF14" s="393">
        <f t="shared" si="3"/>
        <v>387</v>
      </c>
      <c r="CG14" s="395">
        <f t="shared" si="3"/>
        <v>975</v>
      </c>
      <c r="CH14" s="60"/>
      <c r="CI14" s="396"/>
      <c r="CJ14" s="60"/>
      <c r="CK14" s="41"/>
      <c r="CL14" s="391"/>
      <c r="CM14" s="50"/>
      <c r="CN14" s="380"/>
      <c r="CO14" s="187"/>
      <c r="CP14" s="57"/>
    </row>
    <row r="15" spans="1:94" s="119" customFormat="1" ht="15.75" thickBot="1" x14ac:dyDescent="0.3">
      <c r="A15" s="488">
        <v>46123</v>
      </c>
      <c r="B15" s="506" t="s">
        <v>19</v>
      </c>
      <c r="C15" s="138"/>
      <c r="D15" s="120"/>
      <c r="E15" s="120"/>
      <c r="F15" s="167"/>
      <c r="G15" s="138"/>
      <c r="H15" s="148"/>
      <c r="I15" s="138"/>
      <c r="J15" s="120"/>
      <c r="K15" s="120"/>
      <c r="L15" s="167"/>
      <c r="M15" s="162"/>
      <c r="N15" s="157"/>
      <c r="O15" s="138"/>
      <c r="P15" s="140"/>
      <c r="Q15" s="117"/>
      <c r="R15" s="170"/>
      <c r="S15" s="137"/>
      <c r="T15" s="174"/>
      <c r="U15" s="476">
        <f t="shared" si="0"/>
        <v>0</v>
      </c>
      <c r="V15" s="477">
        <f t="shared" si="0"/>
        <v>0</v>
      </c>
      <c r="W15" s="575"/>
      <c r="X15" s="138"/>
      <c r="Y15" s="120"/>
      <c r="Z15" s="120"/>
      <c r="AA15" s="167"/>
      <c r="AB15" s="138"/>
      <c r="AC15" s="148"/>
      <c r="AD15" s="138"/>
      <c r="AE15" s="120"/>
      <c r="AF15" s="120"/>
      <c r="AG15" s="121"/>
      <c r="AH15" s="132"/>
      <c r="AI15" s="167"/>
      <c r="AJ15" s="138"/>
      <c r="AK15" s="121"/>
      <c r="AL15" s="120"/>
      <c r="AM15" s="167"/>
      <c r="AN15" s="138"/>
      <c r="AO15" s="148"/>
      <c r="AP15" s="162">
        <f t="shared" si="1"/>
        <v>0</v>
      </c>
      <c r="AQ15" s="127">
        <f t="shared" si="1"/>
        <v>0</v>
      </c>
      <c r="AR15" s="479"/>
      <c r="AS15" s="152"/>
      <c r="AT15" s="117"/>
      <c r="AU15" s="117"/>
      <c r="AV15" s="170"/>
      <c r="AW15" s="162"/>
      <c r="AX15" s="170"/>
      <c r="AY15" s="162"/>
      <c r="AZ15" s="117"/>
      <c r="BA15" s="117"/>
      <c r="BB15" s="141"/>
      <c r="BC15" s="179"/>
      <c r="BD15" s="170"/>
      <c r="BE15" s="162"/>
      <c r="BF15" s="141"/>
      <c r="BG15" s="117"/>
      <c r="BH15" s="170"/>
      <c r="BI15" s="162"/>
      <c r="BJ15" s="170"/>
      <c r="BK15" s="143">
        <f t="shared" si="2"/>
        <v>0</v>
      </c>
      <c r="BL15" s="481">
        <f t="shared" si="2"/>
        <v>0</v>
      </c>
      <c r="BM15" s="479"/>
      <c r="BN15" s="482">
        <v>71</v>
      </c>
      <c r="BO15" s="519">
        <v>138</v>
      </c>
      <c r="BP15" s="162"/>
      <c r="BQ15" s="127"/>
      <c r="BR15" s="140"/>
      <c r="BS15" s="167"/>
      <c r="BT15" s="207">
        <v>72</v>
      </c>
      <c r="BU15" s="483">
        <v>355</v>
      </c>
      <c r="BV15" s="117"/>
      <c r="BW15" s="127"/>
      <c r="BX15" s="141"/>
      <c r="BY15" s="170"/>
      <c r="BZ15" s="484">
        <v>244</v>
      </c>
      <c r="CA15" s="485">
        <v>482</v>
      </c>
      <c r="CB15" s="117"/>
      <c r="CC15" s="127"/>
      <c r="CD15" s="152"/>
      <c r="CE15" s="170"/>
      <c r="CF15" s="143">
        <f t="shared" si="3"/>
        <v>387</v>
      </c>
      <c r="CG15" s="114">
        <f t="shared" si="3"/>
        <v>975</v>
      </c>
      <c r="CH15" s="486"/>
      <c r="CI15" s="487"/>
      <c r="CJ15" s="486"/>
      <c r="CK15" s="117"/>
      <c r="CL15" s="170"/>
      <c r="CM15" s="138"/>
      <c r="CN15" s="167"/>
      <c r="CO15" s="207"/>
      <c r="CP15" s="208"/>
    </row>
    <row r="16" spans="1:94" s="119" customFormat="1" ht="15.75" thickBot="1" x14ac:dyDescent="0.3">
      <c r="A16" s="488">
        <v>46124</v>
      </c>
      <c r="B16" s="489" t="s">
        <v>20</v>
      </c>
      <c r="C16" s="138"/>
      <c r="D16" s="120"/>
      <c r="E16" s="120"/>
      <c r="F16" s="167"/>
      <c r="G16" s="138"/>
      <c r="H16" s="148"/>
      <c r="I16" s="138"/>
      <c r="J16" s="120"/>
      <c r="K16" s="120"/>
      <c r="L16" s="167"/>
      <c r="M16" s="162"/>
      <c r="N16" s="157"/>
      <c r="O16" s="138"/>
      <c r="P16" s="141"/>
      <c r="Q16" s="117"/>
      <c r="R16" s="170"/>
      <c r="S16" s="137"/>
      <c r="T16" s="174"/>
      <c r="U16" s="476">
        <f t="shared" si="0"/>
        <v>0</v>
      </c>
      <c r="V16" s="477">
        <f t="shared" si="0"/>
        <v>0</v>
      </c>
      <c r="W16" s="575"/>
      <c r="X16" s="138"/>
      <c r="Y16" s="120"/>
      <c r="Z16" s="120"/>
      <c r="AA16" s="167"/>
      <c r="AB16" s="138"/>
      <c r="AC16" s="148"/>
      <c r="AD16" s="138"/>
      <c r="AE16" s="120"/>
      <c r="AF16" s="120"/>
      <c r="AG16" s="121"/>
      <c r="AH16" s="132"/>
      <c r="AI16" s="167"/>
      <c r="AJ16" s="138"/>
      <c r="AK16" s="121"/>
      <c r="AL16" s="120"/>
      <c r="AM16" s="167"/>
      <c r="AN16" s="138"/>
      <c r="AO16" s="148"/>
      <c r="AP16" s="162">
        <f t="shared" si="1"/>
        <v>0</v>
      </c>
      <c r="AQ16" s="127">
        <f t="shared" si="1"/>
        <v>0</v>
      </c>
      <c r="AR16" s="479"/>
      <c r="AS16" s="152"/>
      <c r="AT16" s="117"/>
      <c r="AU16" s="117"/>
      <c r="AV16" s="170"/>
      <c r="AW16" s="162"/>
      <c r="AX16" s="170"/>
      <c r="AY16" s="162"/>
      <c r="AZ16" s="117"/>
      <c r="BA16" s="117"/>
      <c r="BB16" s="141"/>
      <c r="BC16" s="179"/>
      <c r="BD16" s="170"/>
      <c r="BE16" s="162"/>
      <c r="BF16" s="141"/>
      <c r="BG16" s="117"/>
      <c r="BH16" s="170"/>
      <c r="BI16" s="162"/>
      <c r="BJ16" s="170"/>
      <c r="BK16" s="143">
        <f t="shared" si="2"/>
        <v>0</v>
      </c>
      <c r="BL16" s="481">
        <f t="shared" si="2"/>
        <v>0</v>
      </c>
      <c r="BM16" s="479"/>
      <c r="BN16" s="482">
        <v>71</v>
      </c>
      <c r="BO16" s="519">
        <v>138</v>
      </c>
      <c r="BP16" s="162"/>
      <c r="BQ16" s="127"/>
      <c r="BR16" s="140"/>
      <c r="BS16" s="167"/>
      <c r="BT16" s="207">
        <v>72</v>
      </c>
      <c r="BU16" s="483">
        <v>355</v>
      </c>
      <c r="BV16" s="117"/>
      <c r="BW16" s="127"/>
      <c r="BX16" s="141"/>
      <c r="BY16" s="170"/>
      <c r="BZ16" s="484">
        <v>244</v>
      </c>
      <c r="CA16" s="485">
        <v>482</v>
      </c>
      <c r="CB16" s="117"/>
      <c r="CC16" s="127"/>
      <c r="CD16" s="152"/>
      <c r="CE16" s="170"/>
      <c r="CF16" s="143">
        <f t="shared" si="3"/>
        <v>387</v>
      </c>
      <c r="CG16" s="114">
        <f t="shared" si="3"/>
        <v>975</v>
      </c>
      <c r="CH16" s="486"/>
      <c r="CI16" s="487"/>
      <c r="CJ16" s="486"/>
      <c r="CK16" s="117"/>
      <c r="CL16" s="170"/>
      <c r="CM16" s="138"/>
      <c r="CN16" s="167"/>
      <c r="CO16" s="207"/>
      <c r="CP16" s="208"/>
    </row>
    <row r="17" spans="1:94" ht="15.75" thickBot="1" x14ac:dyDescent="0.3">
      <c r="A17" s="559">
        <v>46125</v>
      </c>
      <c r="B17" s="560" t="s">
        <v>14</v>
      </c>
      <c r="C17" s="236"/>
      <c r="D17" s="237"/>
      <c r="E17" s="237"/>
      <c r="F17" s="314"/>
      <c r="G17" s="236"/>
      <c r="H17" s="315"/>
      <c r="I17" s="236"/>
      <c r="J17" s="237"/>
      <c r="K17" s="237"/>
      <c r="L17" s="314"/>
      <c r="M17" s="243"/>
      <c r="N17" s="316"/>
      <c r="O17" s="236"/>
      <c r="P17" s="242"/>
      <c r="Q17" s="317"/>
      <c r="R17" s="318"/>
      <c r="S17" s="319"/>
      <c r="T17" s="320"/>
      <c r="U17" s="388">
        <f t="shared" si="0"/>
        <v>0</v>
      </c>
      <c r="V17" s="31">
        <f t="shared" si="0"/>
        <v>0</v>
      </c>
      <c r="W17" s="502"/>
      <c r="X17" s="236"/>
      <c r="Y17" s="237"/>
      <c r="Z17" s="237"/>
      <c r="AA17" s="314"/>
      <c r="AB17" s="236"/>
      <c r="AC17" s="315"/>
      <c r="AD17" s="236"/>
      <c r="AE17" s="237"/>
      <c r="AF17" s="237"/>
      <c r="AG17" s="324"/>
      <c r="AH17" s="325"/>
      <c r="AI17" s="314"/>
      <c r="AJ17" s="236"/>
      <c r="AK17" s="324"/>
      <c r="AL17" s="237"/>
      <c r="AM17" s="314"/>
      <c r="AN17" s="236"/>
      <c r="AO17" s="315"/>
      <c r="AP17" s="162">
        <f t="shared" si="1"/>
        <v>0</v>
      </c>
      <c r="AQ17" s="127">
        <f t="shared" si="1"/>
        <v>0</v>
      </c>
      <c r="AR17" s="322"/>
      <c r="AS17" s="327"/>
      <c r="AT17" s="317"/>
      <c r="AU17" s="317"/>
      <c r="AV17" s="318"/>
      <c r="AW17" s="243"/>
      <c r="AX17" s="318"/>
      <c r="AY17" s="243"/>
      <c r="AZ17" s="317"/>
      <c r="BA17" s="317"/>
      <c r="BB17" s="242"/>
      <c r="BC17" s="328"/>
      <c r="BD17" s="318"/>
      <c r="BE17" s="243"/>
      <c r="BF17" s="242"/>
      <c r="BG17" s="317"/>
      <c r="BH17" s="318"/>
      <c r="BI17" s="243"/>
      <c r="BJ17" s="318"/>
      <c r="BK17" s="143">
        <f t="shared" si="2"/>
        <v>0</v>
      </c>
      <c r="BL17" s="481">
        <f t="shared" si="2"/>
        <v>0</v>
      </c>
      <c r="BM17" s="322"/>
      <c r="BN17" s="330">
        <v>71</v>
      </c>
      <c r="BO17" s="515">
        <v>138</v>
      </c>
      <c r="BP17" s="243"/>
      <c r="BQ17" s="326"/>
      <c r="BR17" s="241"/>
      <c r="BS17" s="314"/>
      <c r="BT17" s="332">
        <v>72</v>
      </c>
      <c r="BU17" s="333">
        <v>355</v>
      </c>
      <c r="BV17" s="317"/>
      <c r="BW17" s="326"/>
      <c r="BX17" s="242"/>
      <c r="BY17" s="318"/>
      <c r="BZ17" s="334">
        <v>244</v>
      </c>
      <c r="CA17" s="335">
        <v>482</v>
      </c>
      <c r="CB17" s="317"/>
      <c r="CC17" s="326"/>
      <c r="CD17" s="327"/>
      <c r="CE17" s="318"/>
      <c r="CF17" s="393">
        <f t="shared" si="3"/>
        <v>387</v>
      </c>
      <c r="CG17" s="114">
        <f t="shared" si="3"/>
        <v>975</v>
      </c>
      <c r="CH17" s="337"/>
      <c r="CI17" s="356"/>
      <c r="CJ17" s="337"/>
      <c r="CK17" s="317"/>
      <c r="CL17" s="318"/>
      <c r="CM17" s="236"/>
      <c r="CN17" s="314"/>
      <c r="CO17" s="332"/>
      <c r="CP17" s="333"/>
    </row>
    <row r="18" spans="1:94" ht="15.75" thickBot="1" x14ac:dyDescent="0.3">
      <c r="A18" s="48">
        <v>46126</v>
      </c>
      <c r="B18" s="466" t="s">
        <v>15</v>
      </c>
      <c r="C18" s="236"/>
      <c r="D18" s="237"/>
      <c r="E18" s="237"/>
      <c r="F18" s="314"/>
      <c r="G18" s="236"/>
      <c r="H18" s="315"/>
      <c r="I18" s="236"/>
      <c r="J18" s="237"/>
      <c r="K18" s="237"/>
      <c r="L18" s="314"/>
      <c r="M18" s="243"/>
      <c r="N18" s="316"/>
      <c r="O18" s="236"/>
      <c r="P18" s="242"/>
      <c r="Q18" s="317"/>
      <c r="R18" s="318"/>
      <c r="S18" s="319"/>
      <c r="T18" s="320"/>
      <c r="U18" s="388">
        <f t="shared" si="0"/>
        <v>0</v>
      </c>
      <c r="V18" s="31">
        <f t="shared" si="0"/>
        <v>0</v>
      </c>
      <c r="W18" s="502"/>
      <c r="X18" s="236"/>
      <c r="Y18" s="237"/>
      <c r="Z18" s="237"/>
      <c r="AA18" s="314"/>
      <c r="AB18" s="236"/>
      <c r="AC18" s="315"/>
      <c r="AD18" s="236"/>
      <c r="AE18" s="237"/>
      <c r="AF18" s="237"/>
      <c r="AG18" s="324"/>
      <c r="AH18" s="325"/>
      <c r="AI18" s="314"/>
      <c r="AJ18" s="236"/>
      <c r="AK18" s="324"/>
      <c r="AL18" s="237"/>
      <c r="AM18" s="314"/>
      <c r="AN18" s="236"/>
      <c r="AO18" s="315"/>
      <c r="AP18" s="124">
        <f t="shared" si="1"/>
        <v>0</v>
      </c>
      <c r="AQ18" s="127">
        <f t="shared" si="1"/>
        <v>0</v>
      </c>
      <c r="AR18" s="322"/>
      <c r="AS18" s="327"/>
      <c r="AT18" s="317"/>
      <c r="AU18" s="317"/>
      <c r="AV18" s="318"/>
      <c r="AW18" s="243"/>
      <c r="AX18" s="318"/>
      <c r="AY18" s="243"/>
      <c r="AZ18" s="317"/>
      <c r="BA18" s="317"/>
      <c r="BB18" s="242"/>
      <c r="BC18" s="328"/>
      <c r="BD18" s="318"/>
      <c r="BE18" s="243"/>
      <c r="BF18" s="242"/>
      <c r="BG18" s="317"/>
      <c r="BH18" s="318"/>
      <c r="BI18" s="243"/>
      <c r="BJ18" s="318"/>
      <c r="BK18" s="393">
        <f t="shared" si="2"/>
        <v>0</v>
      </c>
      <c r="BL18" s="394">
        <f t="shared" si="2"/>
        <v>0</v>
      </c>
      <c r="BM18" s="322"/>
      <c r="BN18" s="330"/>
      <c r="BO18" s="515"/>
      <c r="BP18" s="243"/>
      <c r="BQ18" s="326"/>
      <c r="BR18" s="241"/>
      <c r="BS18" s="314"/>
      <c r="BT18" s="332"/>
      <c r="BU18" s="333"/>
      <c r="BV18" s="317"/>
      <c r="BW18" s="326"/>
      <c r="BX18" s="242"/>
      <c r="BY18" s="318"/>
      <c r="BZ18" s="334"/>
      <c r="CA18" s="335"/>
      <c r="CB18" s="317"/>
      <c r="CC18" s="326"/>
      <c r="CD18" s="327"/>
      <c r="CE18" s="318"/>
      <c r="CF18" s="143">
        <f t="shared" si="3"/>
        <v>0</v>
      </c>
      <c r="CG18" s="395">
        <f t="shared" si="3"/>
        <v>0</v>
      </c>
      <c r="CH18" s="337"/>
      <c r="CI18" s="356"/>
      <c r="CJ18" s="337"/>
      <c r="CK18" s="317"/>
      <c r="CL18" s="318"/>
      <c r="CM18" s="236"/>
      <c r="CN18" s="314"/>
      <c r="CO18" s="332"/>
      <c r="CP18" s="333"/>
    </row>
    <row r="19" spans="1:94" ht="15.75" thickBot="1" x14ac:dyDescent="0.3">
      <c r="A19" s="559">
        <v>46127</v>
      </c>
      <c r="B19" s="560" t="s">
        <v>16</v>
      </c>
      <c r="C19" s="50"/>
      <c r="D19" s="51"/>
      <c r="E19" s="51"/>
      <c r="F19" s="380"/>
      <c r="G19" s="50"/>
      <c r="H19" s="381"/>
      <c r="I19" s="50"/>
      <c r="J19" s="51"/>
      <c r="K19" s="51"/>
      <c r="L19" s="380"/>
      <c r="M19" s="124"/>
      <c r="N19" s="382"/>
      <c r="O19" s="50"/>
      <c r="P19" s="42"/>
      <c r="Q19" s="41"/>
      <c r="R19" s="391"/>
      <c r="S19" s="397"/>
      <c r="T19" s="398"/>
      <c r="U19" s="388">
        <f t="shared" si="0"/>
        <v>0</v>
      </c>
      <c r="V19" s="31">
        <f t="shared" si="0"/>
        <v>0</v>
      </c>
      <c r="W19" s="502"/>
      <c r="X19" s="50"/>
      <c r="Y19" s="51"/>
      <c r="Z19" s="51"/>
      <c r="AA19" s="380"/>
      <c r="AB19" s="50"/>
      <c r="AC19" s="381"/>
      <c r="AD19" s="50"/>
      <c r="AE19" s="51"/>
      <c r="AF19" s="51"/>
      <c r="AG19" s="65"/>
      <c r="AH19" s="389"/>
      <c r="AI19" s="380"/>
      <c r="AJ19" s="50"/>
      <c r="AK19" s="65"/>
      <c r="AL19" s="51"/>
      <c r="AM19" s="380"/>
      <c r="AN19" s="50"/>
      <c r="AO19" s="381"/>
      <c r="AP19" s="124">
        <f t="shared" si="1"/>
        <v>0</v>
      </c>
      <c r="AQ19" s="127">
        <f t="shared" si="1"/>
        <v>0</v>
      </c>
      <c r="AR19" s="6"/>
      <c r="AS19" s="40"/>
      <c r="AT19" s="41"/>
      <c r="AU19" s="41"/>
      <c r="AV19" s="391"/>
      <c r="AW19" s="124"/>
      <c r="AX19" s="391"/>
      <c r="AY19" s="124"/>
      <c r="AZ19" s="41"/>
      <c r="BA19" s="41"/>
      <c r="BB19" s="42"/>
      <c r="BC19" s="392"/>
      <c r="BD19" s="391"/>
      <c r="BE19" s="124"/>
      <c r="BF19" s="42"/>
      <c r="BG19" s="41"/>
      <c r="BH19" s="391"/>
      <c r="BI19" s="124"/>
      <c r="BJ19" s="391"/>
      <c r="BK19" s="143">
        <f t="shared" si="2"/>
        <v>0</v>
      </c>
      <c r="BL19" s="481">
        <f t="shared" si="2"/>
        <v>0</v>
      </c>
      <c r="BM19" s="6"/>
      <c r="BN19" s="56"/>
      <c r="BO19" s="518"/>
      <c r="BP19" s="124"/>
      <c r="BQ19" s="390"/>
      <c r="BR19" s="55"/>
      <c r="BS19" s="380"/>
      <c r="BT19" s="187"/>
      <c r="BU19" s="67"/>
      <c r="BV19" s="41"/>
      <c r="BW19" s="390"/>
      <c r="BX19" s="42"/>
      <c r="BY19" s="391"/>
      <c r="BZ19" s="190"/>
      <c r="CA19" s="58"/>
      <c r="CB19" s="41"/>
      <c r="CC19" s="390"/>
      <c r="CD19" s="40"/>
      <c r="CE19" s="391"/>
      <c r="CF19" s="393">
        <f t="shared" si="3"/>
        <v>0</v>
      </c>
      <c r="CG19" s="114">
        <f t="shared" si="3"/>
        <v>0</v>
      </c>
      <c r="CH19" s="60"/>
      <c r="CI19" s="396"/>
      <c r="CJ19" s="60"/>
      <c r="CK19" s="41"/>
      <c r="CL19" s="391"/>
      <c r="CM19" s="50"/>
      <c r="CN19" s="380"/>
      <c r="CO19" s="187"/>
      <c r="CP19" s="67"/>
    </row>
    <row r="20" spans="1:94" ht="15.75" thickBot="1" x14ac:dyDescent="0.3">
      <c r="A20" s="48">
        <v>46128</v>
      </c>
      <c r="B20" s="466" t="s">
        <v>17</v>
      </c>
      <c r="C20" s="236"/>
      <c r="D20" s="237"/>
      <c r="E20" s="237"/>
      <c r="F20" s="314"/>
      <c r="G20" s="236"/>
      <c r="H20" s="315"/>
      <c r="I20" s="236"/>
      <c r="J20" s="237"/>
      <c r="K20" s="237"/>
      <c r="L20" s="314"/>
      <c r="M20" s="243"/>
      <c r="N20" s="316"/>
      <c r="O20" s="236"/>
      <c r="P20" s="242"/>
      <c r="Q20" s="317"/>
      <c r="R20" s="318"/>
      <c r="S20" s="319"/>
      <c r="T20" s="320"/>
      <c r="U20" s="388">
        <f t="shared" ref="U20:V31" si="4">C20+E20+G20+I20+K20+M20+O20+Q20+S20</f>
        <v>0</v>
      </c>
      <c r="V20" s="31">
        <f t="shared" si="4"/>
        <v>0</v>
      </c>
      <c r="W20" s="502"/>
      <c r="X20" s="236"/>
      <c r="Y20" s="237"/>
      <c r="Z20" s="237"/>
      <c r="AA20" s="314"/>
      <c r="AB20" s="236"/>
      <c r="AC20" s="315"/>
      <c r="AD20" s="236"/>
      <c r="AE20" s="237"/>
      <c r="AF20" s="237"/>
      <c r="AG20" s="324"/>
      <c r="AH20" s="325"/>
      <c r="AI20" s="314"/>
      <c r="AJ20" s="236"/>
      <c r="AK20" s="324"/>
      <c r="AL20" s="237"/>
      <c r="AM20" s="314"/>
      <c r="AN20" s="236"/>
      <c r="AO20" s="315"/>
      <c r="AP20" s="162">
        <f t="shared" ref="AP20:AQ31" si="5">X20+Z20+AB20+AD20+AF20+AH20+AJ20+AL20+AN20</f>
        <v>0</v>
      </c>
      <c r="AQ20" s="127">
        <f t="shared" si="5"/>
        <v>0</v>
      </c>
      <c r="AR20" s="322"/>
      <c r="AS20" s="327"/>
      <c r="AT20" s="317"/>
      <c r="AU20" s="317"/>
      <c r="AV20" s="318"/>
      <c r="AW20" s="243"/>
      <c r="AX20" s="318"/>
      <c r="AY20" s="243"/>
      <c r="AZ20" s="317"/>
      <c r="BA20" s="317"/>
      <c r="BB20" s="242"/>
      <c r="BC20" s="328"/>
      <c r="BD20" s="318"/>
      <c r="BE20" s="243"/>
      <c r="BF20" s="242"/>
      <c r="BG20" s="317"/>
      <c r="BH20" s="318"/>
      <c r="BI20" s="243"/>
      <c r="BJ20" s="318"/>
      <c r="BK20" s="393">
        <f t="shared" si="2"/>
        <v>0</v>
      </c>
      <c r="BL20" s="394">
        <f t="shared" si="2"/>
        <v>0</v>
      </c>
      <c r="BM20" s="322"/>
      <c r="BN20" s="330"/>
      <c r="BO20" s="515"/>
      <c r="BP20" s="243"/>
      <c r="BQ20" s="326"/>
      <c r="BR20" s="241"/>
      <c r="BS20" s="314"/>
      <c r="BT20" s="332"/>
      <c r="BU20" s="333"/>
      <c r="BV20" s="317"/>
      <c r="BW20" s="326"/>
      <c r="BX20" s="242"/>
      <c r="BY20" s="318"/>
      <c r="BZ20" s="334"/>
      <c r="CA20" s="335"/>
      <c r="CB20" s="317"/>
      <c r="CC20" s="326"/>
      <c r="CD20" s="327"/>
      <c r="CE20" s="318"/>
      <c r="CF20" s="143">
        <f t="shared" ref="CF20:CG32" si="6">BN20+BP20+BR20+BT20+BV20+BX20+BZ20+CB20+CD20</f>
        <v>0</v>
      </c>
      <c r="CG20" s="395">
        <f t="shared" si="6"/>
        <v>0</v>
      </c>
      <c r="CH20" s="337"/>
      <c r="CI20" s="356"/>
      <c r="CJ20" s="337"/>
      <c r="CK20" s="317"/>
      <c r="CL20" s="318"/>
      <c r="CM20" s="236"/>
      <c r="CN20" s="314"/>
      <c r="CO20" s="332"/>
      <c r="CP20" s="333"/>
    </row>
    <row r="21" spans="1:94" ht="15.75" thickBot="1" x14ac:dyDescent="0.3">
      <c r="A21" s="559">
        <v>46129</v>
      </c>
      <c r="B21" s="560" t="s">
        <v>18</v>
      </c>
      <c r="C21" s="50"/>
      <c r="D21" s="51"/>
      <c r="E21" s="51"/>
      <c r="F21" s="380"/>
      <c r="G21" s="50"/>
      <c r="H21" s="381"/>
      <c r="I21" s="50"/>
      <c r="J21" s="51"/>
      <c r="K21" s="51"/>
      <c r="L21" s="380"/>
      <c r="M21" s="124"/>
      <c r="N21" s="382"/>
      <c r="O21" s="50"/>
      <c r="P21" s="42"/>
      <c r="Q21" s="41"/>
      <c r="R21" s="391"/>
      <c r="S21" s="397"/>
      <c r="T21" s="398"/>
      <c r="U21" s="388">
        <f t="shared" si="4"/>
        <v>0</v>
      </c>
      <c r="V21" s="31">
        <f t="shared" si="4"/>
        <v>0</v>
      </c>
      <c r="W21" s="502"/>
      <c r="X21" s="50"/>
      <c r="Y21" s="51"/>
      <c r="Z21" s="51"/>
      <c r="AA21" s="380"/>
      <c r="AB21" s="50"/>
      <c r="AC21" s="381"/>
      <c r="AD21" s="50"/>
      <c r="AE21" s="51"/>
      <c r="AF21" s="51"/>
      <c r="AG21" s="65"/>
      <c r="AH21" s="389"/>
      <c r="AI21" s="380"/>
      <c r="AJ21" s="50"/>
      <c r="AK21" s="65"/>
      <c r="AL21" s="51"/>
      <c r="AM21" s="380"/>
      <c r="AN21" s="50"/>
      <c r="AO21" s="381"/>
      <c r="AP21" s="124">
        <f t="shared" si="5"/>
        <v>0</v>
      </c>
      <c r="AQ21" s="127">
        <f t="shared" si="5"/>
        <v>0</v>
      </c>
      <c r="AR21" s="6"/>
      <c r="AS21" s="40"/>
      <c r="AT21" s="41"/>
      <c r="AU21" s="41"/>
      <c r="AV21" s="391"/>
      <c r="AW21" s="124"/>
      <c r="AX21" s="391"/>
      <c r="AY21" s="124"/>
      <c r="AZ21" s="41"/>
      <c r="BA21" s="41"/>
      <c r="BB21" s="42"/>
      <c r="BC21" s="392"/>
      <c r="BD21" s="391"/>
      <c r="BE21" s="124"/>
      <c r="BF21" s="42"/>
      <c r="BG21" s="41"/>
      <c r="BH21" s="391"/>
      <c r="BI21" s="124"/>
      <c r="BJ21" s="391"/>
      <c r="BK21" s="393">
        <f t="shared" si="2"/>
        <v>0</v>
      </c>
      <c r="BL21" s="481">
        <f t="shared" si="2"/>
        <v>0</v>
      </c>
      <c r="BM21" s="6"/>
      <c r="BN21" s="56"/>
      <c r="BO21" s="518"/>
      <c r="BP21" s="124"/>
      <c r="BQ21" s="390"/>
      <c r="BR21" s="55"/>
      <c r="BS21" s="380"/>
      <c r="BT21" s="187"/>
      <c r="BU21" s="67"/>
      <c r="BV21" s="41"/>
      <c r="BW21" s="390"/>
      <c r="BX21" s="42"/>
      <c r="BY21" s="391"/>
      <c r="BZ21" s="190"/>
      <c r="CA21" s="58"/>
      <c r="CB21" s="41"/>
      <c r="CC21" s="390"/>
      <c r="CD21" s="40"/>
      <c r="CE21" s="391"/>
      <c r="CF21" s="393">
        <f t="shared" si="6"/>
        <v>0</v>
      </c>
      <c r="CG21" s="114">
        <f t="shared" si="6"/>
        <v>0</v>
      </c>
      <c r="CH21" s="60"/>
      <c r="CI21" s="396"/>
      <c r="CJ21" s="60"/>
      <c r="CK21" s="41"/>
      <c r="CL21" s="391"/>
      <c r="CM21" s="50"/>
      <c r="CN21" s="380"/>
      <c r="CO21" s="187"/>
      <c r="CP21" s="57"/>
    </row>
    <row r="22" spans="1:94" ht="15.75" thickBot="1" x14ac:dyDescent="0.3">
      <c r="A22" s="87">
        <v>46130</v>
      </c>
      <c r="B22" s="562" t="s">
        <v>19</v>
      </c>
      <c r="C22" s="50"/>
      <c r="D22" s="51"/>
      <c r="E22" s="51"/>
      <c r="F22" s="380"/>
      <c r="G22" s="50"/>
      <c r="H22" s="381"/>
      <c r="I22" s="50"/>
      <c r="J22" s="51"/>
      <c r="K22" s="51"/>
      <c r="L22" s="380"/>
      <c r="M22" s="124"/>
      <c r="N22" s="382"/>
      <c r="O22" s="50"/>
      <c r="P22" s="42"/>
      <c r="Q22" s="41"/>
      <c r="R22" s="391"/>
      <c r="S22" s="397"/>
      <c r="T22" s="398"/>
      <c r="U22" s="388">
        <f t="shared" si="4"/>
        <v>0</v>
      </c>
      <c r="V22" s="31">
        <f t="shared" si="4"/>
        <v>0</v>
      </c>
      <c r="W22" s="502"/>
      <c r="X22" s="50"/>
      <c r="Y22" s="51"/>
      <c r="Z22" s="51"/>
      <c r="AA22" s="380"/>
      <c r="AB22" s="50"/>
      <c r="AC22" s="381"/>
      <c r="AD22" s="50"/>
      <c r="AE22" s="51"/>
      <c r="AF22" s="51"/>
      <c r="AG22" s="65"/>
      <c r="AH22" s="389"/>
      <c r="AI22" s="380"/>
      <c r="AJ22" s="50"/>
      <c r="AK22" s="65"/>
      <c r="AL22" s="51"/>
      <c r="AM22" s="380"/>
      <c r="AN22" s="50"/>
      <c r="AO22" s="381"/>
      <c r="AP22" s="162">
        <f t="shared" si="5"/>
        <v>0</v>
      </c>
      <c r="AQ22" s="127">
        <f t="shared" si="5"/>
        <v>0</v>
      </c>
      <c r="AR22" s="6"/>
      <c r="AS22" s="40"/>
      <c r="AT22" s="41"/>
      <c r="AU22" s="41"/>
      <c r="AV22" s="391"/>
      <c r="AW22" s="124"/>
      <c r="AX22" s="391"/>
      <c r="AY22" s="124"/>
      <c r="AZ22" s="41"/>
      <c r="BA22" s="41"/>
      <c r="BB22" s="42"/>
      <c r="BC22" s="392"/>
      <c r="BD22" s="391"/>
      <c r="BE22" s="124"/>
      <c r="BF22" s="42"/>
      <c r="BG22" s="41"/>
      <c r="BH22" s="391"/>
      <c r="BI22" s="124"/>
      <c r="BJ22" s="391"/>
      <c r="BK22" s="143">
        <f t="shared" ref="BK22:BL31" si="7">AS22+AU22+AW22+AY22+BA22+BC22+BE22+BG22+BI22</f>
        <v>0</v>
      </c>
      <c r="BL22" s="394">
        <f t="shared" si="7"/>
        <v>0</v>
      </c>
      <c r="BM22" s="6"/>
      <c r="BN22" s="56"/>
      <c r="BO22" s="518"/>
      <c r="BP22" s="124"/>
      <c r="BQ22" s="390"/>
      <c r="BR22" s="55"/>
      <c r="BS22" s="380"/>
      <c r="BT22" s="187"/>
      <c r="BU22" s="67"/>
      <c r="BV22" s="41"/>
      <c r="BW22" s="390"/>
      <c r="BX22" s="42"/>
      <c r="BY22" s="391"/>
      <c r="BZ22" s="190"/>
      <c r="CA22" s="58"/>
      <c r="CB22" s="41"/>
      <c r="CC22" s="390"/>
      <c r="CD22" s="40"/>
      <c r="CE22" s="391"/>
      <c r="CF22" s="143">
        <f t="shared" si="6"/>
        <v>0</v>
      </c>
      <c r="CG22" s="395">
        <f t="shared" si="6"/>
        <v>0</v>
      </c>
      <c r="CH22" s="60"/>
      <c r="CI22" s="396"/>
      <c r="CJ22" s="60"/>
      <c r="CK22" s="41"/>
      <c r="CL22" s="391"/>
      <c r="CM22" s="50"/>
      <c r="CN22" s="380"/>
      <c r="CO22" s="187"/>
      <c r="CP22" s="57"/>
    </row>
    <row r="23" spans="1:94" s="129" customFormat="1" ht="15.75" thickBot="1" x14ac:dyDescent="0.3">
      <c r="A23" s="566">
        <v>46131</v>
      </c>
      <c r="B23" s="568" t="s">
        <v>20</v>
      </c>
      <c r="C23" s="236"/>
      <c r="D23" s="237"/>
      <c r="E23" s="237"/>
      <c r="F23" s="314"/>
      <c r="G23" s="236"/>
      <c r="H23" s="315"/>
      <c r="I23" s="236"/>
      <c r="J23" s="237"/>
      <c r="K23" s="237"/>
      <c r="L23" s="314"/>
      <c r="M23" s="243"/>
      <c r="N23" s="316"/>
      <c r="O23" s="236"/>
      <c r="P23" s="242"/>
      <c r="Q23" s="317"/>
      <c r="R23" s="318"/>
      <c r="S23" s="319"/>
      <c r="T23" s="320"/>
      <c r="U23" s="416">
        <f t="shared" si="4"/>
        <v>0</v>
      </c>
      <c r="V23" s="417">
        <f t="shared" si="4"/>
        <v>0</v>
      </c>
      <c r="W23" s="561"/>
      <c r="X23" s="236"/>
      <c r="Y23" s="237"/>
      <c r="Z23" s="237"/>
      <c r="AA23" s="314"/>
      <c r="AB23" s="236"/>
      <c r="AC23" s="315"/>
      <c r="AD23" s="236"/>
      <c r="AE23" s="237"/>
      <c r="AF23" s="237"/>
      <c r="AG23" s="324"/>
      <c r="AH23" s="325"/>
      <c r="AI23" s="314"/>
      <c r="AJ23" s="236"/>
      <c r="AK23" s="324"/>
      <c r="AL23" s="237"/>
      <c r="AM23" s="314"/>
      <c r="AN23" s="236"/>
      <c r="AO23" s="315"/>
      <c r="AP23" s="243">
        <f t="shared" si="5"/>
        <v>0</v>
      </c>
      <c r="AQ23" s="326">
        <f t="shared" si="5"/>
        <v>0</v>
      </c>
      <c r="AR23" s="322"/>
      <c r="AS23" s="563"/>
      <c r="AT23" s="563"/>
      <c r="AU23" s="317"/>
      <c r="AV23" s="318"/>
      <c r="AW23" s="243"/>
      <c r="AX23" s="318"/>
      <c r="AY23" s="243"/>
      <c r="AZ23" s="317"/>
      <c r="BA23" s="317"/>
      <c r="BB23" s="242"/>
      <c r="BC23" s="328"/>
      <c r="BD23" s="318"/>
      <c r="BE23" s="243"/>
      <c r="BF23" s="242"/>
      <c r="BG23" s="317"/>
      <c r="BH23" s="318"/>
      <c r="BI23" s="243"/>
      <c r="BJ23" s="318"/>
      <c r="BK23" s="329">
        <f t="shared" si="7"/>
        <v>0</v>
      </c>
      <c r="BL23" s="418">
        <f t="shared" si="7"/>
        <v>0</v>
      </c>
      <c r="BM23" s="322"/>
      <c r="BN23" s="330"/>
      <c r="BO23" s="564"/>
      <c r="BP23" s="243"/>
      <c r="BQ23" s="326"/>
      <c r="BR23" s="241"/>
      <c r="BS23" s="314"/>
      <c r="BT23" s="332"/>
      <c r="BU23" s="333"/>
      <c r="BV23" s="317"/>
      <c r="BW23" s="326"/>
      <c r="BX23" s="242"/>
      <c r="BY23" s="318"/>
      <c r="BZ23" s="334"/>
      <c r="CA23" s="335"/>
      <c r="CB23" s="317"/>
      <c r="CC23" s="326"/>
      <c r="CD23" s="327"/>
      <c r="CE23" s="318"/>
      <c r="CF23" s="329">
        <f t="shared" si="6"/>
        <v>0</v>
      </c>
      <c r="CG23" s="336">
        <f t="shared" si="6"/>
        <v>0</v>
      </c>
      <c r="CH23" s="337"/>
      <c r="CI23" s="356"/>
      <c r="CJ23" s="337"/>
      <c r="CK23" s="317"/>
      <c r="CL23" s="318"/>
      <c r="CM23" s="236"/>
      <c r="CN23" s="314"/>
      <c r="CO23" s="332"/>
      <c r="CP23" s="331"/>
    </row>
    <row r="24" spans="1:94" ht="15.75" thickBot="1" x14ac:dyDescent="0.3">
      <c r="A24" s="48">
        <v>46132</v>
      </c>
      <c r="B24" s="466" t="s">
        <v>14</v>
      </c>
      <c r="C24" s="236"/>
      <c r="D24" s="237"/>
      <c r="E24" s="237"/>
      <c r="F24" s="314"/>
      <c r="G24" s="236"/>
      <c r="H24" s="315"/>
      <c r="I24" s="236"/>
      <c r="J24" s="237"/>
      <c r="K24" s="237"/>
      <c r="L24" s="314"/>
      <c r="M24" s="243"/>
      <c r="N24" s="316"/>
      <c r="O24" s="236"/>
      <c r="P24" s="242"/>
      <c r="Q24" s="317"/>
      <c r="R24" s="318"/>
      <c r="S24" s="319"/>
      <c r="T24" s="320"/>
      <c r="U24" s="388">
        <f t="shared" si="4"/>
        <v>0</v>
      </c>
      <c r="V24" s="31">
        <f t="shared" si="4"/>
        <v>0</v>
      </c>
      <c r="W24" s="502"/>
      <c r="X24" s="236"/>
      <c r="Y24" s="237"/>
      <c r="Z24" s="237"/>
      <c r="AA24" s="314"/>
      <c r="AB24" s="236"/>
      <c r="AC24" s="315"/>
      <c r="AD24" s="236"/>
      <c r="AE24" s="237"/>
      <c r="AF24" s="237"/>
      <c r="AG24" s="324"/>
      <c r="AH24" s="325"/>
      <c r="AI24" s="314"/>
      <c r="AJ24" s="236"/>
      <c r="AK24" s="324"/>
      <c r="AL24" s="237"/>
      <c r="AM24" s="314"/>
      <c r="AN24" s="236"/>
      <c r="AO24" s="315"/>
      <c r="AP24" s="124">
        <f t="shared" si="5"/>
        <v>0</v>
      </c>
      <c r="AQ24" s="127">
        <f t="shared" si="5"/>
        <v>0</v>
      </c>
      <c r="AR24" s="322"/>
      <c r="AS24" s="327"/>
      <c r="AT24" s="317"/>
      <c r="AU24" s="317"/>
      <c r="AV24" s="318"/>
      <c r="AW24" s="243"/>
      <c r="AX24" s="318"/>
      <c r="AY24" s="243"/>
      <c r="AZ24" s="317"/>
      <c r="BA24" s="317"/>
      <c r="BB24" s="242"/>
      <c r="BC24" s="328"/>
      <c r="BD24" s="318"/>
      <c r="BE24" s="243"/>
      <c r="BF24" s="242"/>
      <c r="BG24" s="317"/>
      <c r="BH24" s="318"/>
      <c r="BI24" s="243"/>
      <c r="BJ24" s="318"/>
      <c r="BK24" s="143">
        <f t="shared" si="7"/>
        <v>0</v>
      </c>
      <c r="BL24" s="394">
        <f t="shared" si="7"/>
        <v>0</v>
      </c>
      <c r="BM24" s="322"/>
      <c r="BN24" s="330"/>
      <c r="BO24" s="515"/>
      <c r="BP24" s="243"/>
      <c r="BQ24" s="326"/>
      <c r="BR24" s="241"/>
      <c r="BS24" s="314"/>
      <c r="BT24" s="332"/>
      <c r="BU24" s="333"/>
      <c r="BV24" s="317"/>
      <c r="BW24" s="326"/>
      <c r="BX24" s="242"/>
      <c r="BY24" s="318"/>
      <c r="BZ24" s="334"/>
      <c r="CA24" s="335"/>
      <c r="CB24" s="317"/>
      <c r="CC24" s="326"/>
      <c r="CD24" s="327"/>
      <c r="CE24" s="318"/>
      <c r="CF24" s="143">
        <f t="shared" si="6"/>
        <v>0</v>
      </c>
      <c r="CG24" s="395">
        <f t="shared" si="6"/>
        <v>0</v>
      </c>
      <c r="CH24" s="337"/>
      <c r="CI24" s="356"/>
      <c r="CJ24" s="337"/>
      <c r="CK24" s="317"/>
      <c r="CL24" s="318"/>
      <c r="CM24" s="236"/>
      <c r="CN24" s="314"/>
      <c r="CO24" s="332"/>
      <c r="CP24" s="333"/>
    </row>
    <row r="25" spans="1:94" ht="15.75" thickBot="1" x14ac:dyDescent="0.3">
      <c r="A25" s="559">
        <v>46133</v>
      </c>
      <c r="B25" s="560" t="s">
        <v>15</v>
      </c>
      <c r="C25" s="138"/>
      <c r="D25" s="218"/>
      <c r="E25" s="120"/>
      <c r="F25" s="167"/>
      <c r="G25" s="138"/>
      <c r="H25" s="148"/>
      <c r="I25" s="138"/>
      <c r="J25" s="218"/>
      <c r="K25" s="120"/>
      <c r="L25" s="167"/>
      <c r="M25" s="162"/>
      <c r="N25" s="157"/>
      <c r="O25" s="162"/>
      <c r="P25" s="141"/>
      <c r="Q25" s="117"/>
      <c r="R25" s="170"/>
      <c r="S25" s="137"/>
      <c r="T25" s="174"/>
      <c r="U25" s="388">
        <f t="shared" si="4"/>
        <v>0</v>
      </c>
      <c r="V25" s="31">
        <f t="shared" si="4"/>
        <v>0</v>
      </c>
      <c r="W25" s="502"/>
      <c r="X25" s="138"/>
      <c r="Y25" s="120"/>
      <c r="Z25" s="120"/>
      <c r="AA25" s="167"/>
      <c r="AB25" s="138"/>
      <c r="AC25" s="148"/>
      <c r="AD25" s="138"/>
      <c r="AE25" s="120"/>
      <c r="AF25" s="120"/>
      <c r="AG25" s="121"/>
      <c r="AH25" s="132"/>
      <c r="AI25" s="167"/>
      <c r="AJ25" s="138"/>
      <c r="AK25" s="121"/>
      <c r="AL25" s="120"/>
      <c r="AM25" s="167"/>
      <c r="AN25" s="138"/>
      <c r="AO25" s="148"/>
      <c r="AP25" s="162">
        <f t="shared" si="5"/>
        <v>0</v>
      </c>
      <c r="AQ25" s="127">
        <f t="shared" si="5"/>
        <v>0</v>
      </c>
      <c r="AR25" s="479"/>
      <c r="AS25" s="152"/>
      <c r="AT25" s="117"/>
      <c r="AU25" s="117"/>
      <c r="AV25" s="170"/>
      <c r="AW25" s="162"/>
      <c r="AX25" s="170"/>
      <c r="AY25" s="162"/>
      <c r="AZ25" s="117"/>
      <c r="BA25" s="117"/>
      <c r="BB25" s="141"/>
      <c r="BC25" s="179"/>
      <c r="BD25" s="170"/>
      <c r="BE25" s="162"/>
      <c r="BF25" s="141"/>
      <c r="BG25" s="117"/>
      <c r="BH25" s="170"/>
      <c r="BI25" s="162"/>
      <c r="BJ25" s="170"/>
      <c r="BK25" s="393">
        <f t="shared" si="7"/>
        <v>0</v>
      </c>
      <c r="BL25" s="481">
        <f t="shared" si="7"/>
        <v>0</v>
      </c>
      <c r="BM25" s="479"/>
      <c r="BN25" s="482"/>
      <c r="BO25" s="519"/>
      <c r="BP25" s="162"/>
      <c r="BQ25" s="127"/>
      <c r="BR25" s="140"/>
      <c r="BS25" s="167"/>
      <c r="BT25" s="207"/>
      <c r="BU25" s="483"/>
      <c r="BV25" s="117"/>
      <c r="BW25" s="127"/>
      <c r="BX25" s="141"/>
      <c r="BY25" s="170"/>
      <c r="BZ25" s="484"/>
      <c r="CA25" s="485"/>
      <c r="CB25" s="117"/>
      <c r="CC25" s="127"/>
      <c r="CD25" s="152"/>
      <c r="CE25" s="170"/>
      <c r="CF25" s="393">
        <f t="shared" si="6"/>
        <v>0</v>
      </c>
      <c r="CG25" s="114">
        <f t="shared" si="6"/>
        <v>0</v>
      </c>
      <c r="CH25" s="486"/>
      <c r="CI25" s="487"/>
      <c r="CJ25" s="486"/>
      <c r="CK25" s="117"/>
      <c r="CL25" s="170"/>
      <c r="CM25" s="138"/>
      <c r="CN25" s="167"/>
      <c r="CO25" s="207"/>
      <c r="CP25" s="483"/>
    </row>
    <row r="26" spans="1:94" ht="15.75" thickBot="1" x14ac:dyDescent="0.3">
      <c r="A26" s="48">
        <v>46134</v>
      </c>
      <c r="B26" s="466" t="s">
        <v>16</v>
      </c>
      <c r="C26" s="140"/>
      <c r="D26" s="117"/>
      <c r="E26" s="138"/>
      <c r="F26" s="167"/>
      <c r="G26" s="138"/>
      <c r="H26" s="148"/>
      <c r="I26" s="140"/>
      <c r="J26" s="117"/>
      <c r="K26" s="138"/>
      <c r="L26" s="167"/>
      <c r="M26" s="162"/>
      <c r="N26" s="157"/>
      <c r="O26" s="138"/>
      <c r="P26" s="141"/>
      <c r="Q26" s="117"/>
      <c r="R26" s="170"/>
      <c r="S26" s="137"/>
      <c r="T26" s="174"/>
      <c r="U26" s="388">
        <f t="shared" si="4"/>
        <v>0</v>
      </c>
      <c r="V26" s="31">
        <f t="shared" si="4"/>
        <v>0</v>
      </c>
      <c r="W26" s="502"/>
      <c r="X26" s="138"/>
      <c r="Y26" s="120"/>
      <c r="Z26" s="120"/>
      <c r="AA26" s="167"/>
      <c r="AB26" s="138"/>
      <c r="AC26" s="148"/>
      <c r="AD26" s="138"/>
      <c r="AE26" s="120"/>
      <c r="AF26" s="120"/>
      <c r="AG26" s="121"/>
      <c r="AH26" s="132"/>
      <c r="AI26" s="167"/>
      <c r="AJ26" s="138"/>
      <c r="AK26" s="121"/>
      <c r="AL26" s="120"/>
      <c r="AM26" s="167"/>
      <c r="AN26" s="138"/>
      <c r="AO26" s="148"/>
      <c r="AP26" s="124">
        <f t="shared" si="5"/>
        <v>0</v>
      </c>
      <c r="AQ26" s="127">
        <f t="shared" si="5"/>
        <v>0</v>
      </c>
      <c r="AR26" s="479"/>
      <c r="AS26" s="152"/>
      <c r="AT26" s="117"/>
      <c r="AU26" s="117"/>
      <c r="AV26" s="170"/>
      <c r="AW26" s="162"/>
      <c r="AX26" s="170"/>
      <c r="AY26" s="162"/>
      <c r="AZ26" s="117"/>
      <c r="BA26" s="117"/>
      <c r="BB26" s="141"/>
      <c r="BC26" s="179"/>
      <c r="BD26" s="170"/>
      <c r="BE26" s="162"/>
      <c r="BF26" s="141"/>
      <c r="BG26" s="117"/>
      <c r="BH26" s="170"/>
      <c r="BI26" s="162"/>
      <c r="BJ26" s="170"/>
      <c r="BK26" s="143">
        <f t="shared" si="7"/>
        <v>0</v>
      </c>
      <c r="BL26" s="394">
        <f t="shared" si="7"/>
        <v>0</v>
      </c>
      <c r="BM26" s="479"/>
      <c r="BN26" s="482"/>
      <c r="BO26" s="519"/>
      <c r="BP26" s="162"/>
      <c r="BQ26" s="127"/>
      <c r="BR26" s="140"/>
      <c r="BS26" s="167"/>
      <c r="BT26" s="207"/>
      <c r="BU26" s="483"/>
      <c r="BV26" s="117"/>
      <c r="BW26" s="127"/>
      <c r="BX26" s="141"/>
      <c r="BY26" s="170"/>
      <c r="BZ26" s="484"/>
      <c r="CA26" s="485"/>
      <c r="CB26" s="117"/>
      <c r="CC26" s="127"/>
      <c r="CD26" s="152"/>
      <c r="CE26" s="170"/>
      <c r="CF26" s="143">
        <f t="shared" si="6"/>
        <v>0</v>
      </c>
      <c r="CG26" s="395">
        <f t="shared" si="6"/>
        <v>0</v>
      </c>
      <c r="CH26" s="486"/>
      <c r="CI26" s="487"/>
      <c r="CJ26" s="486"/>
      <c r="CK26" s="117"/>
      <c r="CL26" s="170"/>
      <c r="CM26" s="138"/>
      <c r="CN26" s="167"/>
      <c r="CO26" s="207"/>
      <c r="CP26" s="483"/>
    </row>
    <row r="27" spans="1:94" ht="15.75" thickBot="1" x14ac:dyDescent="0.3">
      <c r="A27" s="559">
        <v>46135</v>
      </c>
      <c r="B27" s="560" t="s">
        <v>17</v>
      </c>
      <c r="C27" s="50"/>
      <c r="D27" s="51"/>
      <c r="E27" s="51"/>
      <c r="F27" s="380"/>
      <c r="G27" s="50"/>
      <c r="H27" s="381"/>
      <c r="I27" s="50"/>
      <c r="J27" s="51"/>
      <c r="K27" s="51"/>
      <c r="L27" s="380"/>
      <c r="M27" s="124"/>
      <c r="N27" s="382"/>
      <c r="O27" s="50"/>
      <c r="P27" s="42"/>
      <c r="Q27" s="41"/>
      <c r="R27" s="391"/>
      <c r="S27" s="397"/>
      <c r="T27" s="398"/>
      <c r="U27" s="388">
        <f t="shared" si="4"/>
        <v>0</v>
      </c>
      <c r="V27" s="31">
        <f t="shared" si="4"/>
        <v>0</v>
      </c>
      <c r="W27" s="502"/>
      <c r="X27" s="236"/>
      <c r="Y27" s="237"/>
      <c r="Z27" s="237"/>
      <c r="AA27" s="314"/>
      <c r="AB27" s="236"/>
      <c r="AC27" s="315"/>
      <c r="AD27" s="236"/>
      <c r="AE27" s="237"/>
      <c r="AF27" s="237"/>
      <c r="AG27" s="324"/>
      <c r="AH27" s="325"/>
      <c r="AI27" s="314"/>
      <c r="AJ27" s="236"/>
      <c r="AK27" s="324"/>
      <c r="AL27" s="237"/>
      <c r="AM27" s="314"/>
      <c r="AN27" s="236"/>
      <c r="AO27" s="315"/>
      <c r="AP27" s="162">
        <f t="shared" si="5"/>
        <v>0</v>
      </c>
      <c r="AQ27" s="127">
        <f t="shared" si="5"/>
        <v>0</v>
      </c>
      <c r="AR27" s="322"/>
      <c r="AS27" s="327"/>
      <c r="AT27" s="317"/>
      <c r="AU27" s="317"/>
      <c r="AV27" s="318"/>
      <c r="AW27" s="243"/>
      <c r="AX27" s="318"/>
      <c r="AY27" s="243"/>
      <c r="AZ27" s="317"/>
      <c r="BA27" s="317"/>
      <c r="BB27" s="242"/>
      <c r="BC27" s="328"/>
      <c r="BD27" s="318"/>
      <c r="BE27" s="243"/>
      <c r="BF27" s="242"/>
      <c r="BG27" s="317"/>
      <c r="BH27" s="318"/>
      <c r="BI27" s="243"/>
      <c r="BJ27" s="318"/>
      <c r="BK27" s="393">
        <f t="shared" si="7"/>
        <v>0</v>
      </c>
      <c r="BL27" s="481">
        <f t="shared" si="7"/>
        <v>0</v>
      </c>
      <c r="BM27" s="322"/>
      <c r="BN27" s="330"/>
      <c r="BO27" s="515"/>
      <c r="BP27" s="243"/>
      <c r="BQ27" s="326"/>
      <c r="BR27" s="241"/>
      <c r="BS27" s="314"/>
      <c r="BT27" s="332"/>
      <c r="BU27" s="333"/>
      <c r="BV27" s="317"/>
      <c r="BW27" s="326"/>
      <c r="BX27" s="242"/>
      <c r="BY27" s="318"/>
      <c r="BZ27" s="334"/>
      <c r="CA27" s="335"/>
      <c r="CB27" s="317"/>
      <c r="CC27" s="326"/>
      <c r="CD27" s="327"/>
      <c r="CE27" s="318"/>
      <c r="CF27" s="393">
        <f t="shared" si="6"/>
        <v>0</v>
      </c>
      <c r="CG27" s="114">
        <f t="shared" si="6"/>
        <v>0</v>
      </c>
      <c r="CH27" s="337"/>
      <c r="CI27" s="356"/>
      <c r="CJ27" s="337"/>
      <c r="CK27" s="317"/>
      <c r="CL27" s="318"/>
      <c r="CM27" s="236"/>
      <c r="CN27" s="314"/>
      <c r="CO27" s="332"/>
      <c r="CP27" s="333"/>
    </row>
    <row r="28" spans="1:94" ht="15.75" thickBot="1" x14ac:dyDescent="0.3">
      <c r="A28" s="48">
        <v>46136</v>
      </c>
      <c r="B28" s="466" t="s">
        <v>18</v>
      </c>
      <c r="C28" s="50"/>
      <c r="D28" s="51"/>
      <c r="E28" s="51"/>
      <c r="F28" s="380"/>
      <c r="G28" s="50"/>
      <c r="H28" s="381"/>
      <c r="I28" s="50"/>
      <c r="J28" s="51"/>
      <c r="K28" s="51"/>
      <c r="L28" s="380"/>
      <c r="M28" s="124"/>
      <c r="N28" s="382"/>
      <c r="O28" s="50"/>
      <c r="P28" s="42"/>
      <c r="Q28" s="41"/>
      <c r="R28" s="391"/>
      <c r="S28" s="397"/>
      <c r="T28" s="398"/>
      <c r="U28" s="388">
        <f t="shared" si="4"/>
        <v>0</v>
      </c>
      <c r="V28" s="31">
        <f t="shared" si="4"/>
        <v>0</v>
      </c>
      <c r="W28" s="502"/>
      <c r="X28" s="420"/>
      <c r="Y28" s="421"/>
      <c r="Z28" s="421"/>
      <c r="AA28" s="422"/>
      <c r="AB28" s="420"/>
      <c r="AC28" s="423"/>
      <c r="AD28" s="420"/>
      <c r="AE28" s="421"/>
      <c r="AF28" s="421"/>
      <c r="AG28" s="434"/>
      <c r="AH28" s="435"/>
      <c r="AI28" s="422"/>
      <c r="AJ28" s="420"/>
      <c r="AK28" s="434"/>
      <c r="AL28" s="421"/>
      <c r="AM28" s="422"/>
      <c r="AN28" s="420"/>
      <c r="AO28" s="423"/>
      <c r="AP28" s="124">
        <f t="shared" si="5"/>
        <v>0</v>
      </c>
      <c r="AQ28" s="127">
        <f t="shared" si="5"/>
        <v>0</v>
      </c>
      <c r="AR28" s="432"/>
      <c r="AS28" s="438"/>
      <c r="AT28" s="439"/>
      <c r="AU28" s="439"/>
      <c r="AV28" s="440"/>
      <c r="AW28" s="436"/>
      <c r="AX28" s="440"/>
      <c r="AY28" s="436"/>
      <c r="AZ28" s="439"/>
      <c r="BA28" s="439"/>
      <c r="BB28" s="441"/>
      <c r="BC28" s="442"/>
      <c r="BD28" s="440"/>
      <c r="BE28" s="436"/>
      <c r="BF28" s="441"/>
      <c r="BG28" s="439"/>
      <c r="BH28" s="440"/>
      <c r="BI28" s="436"/>
      <c r="BJ28" s="440"/>
      <c r="BK28" s="143">
        <f t="shared" si="7"/>
        <v>0</v>
      </c>
      <c r="BL28" s="394">
        <f t="shared" si="7"/>
        <v>0</v>
      </c>
      <c r="BM28" s="432"/>
      <c r="BN28" s="460"/>
      <c r="BO28" s="460"/>
      <c r="BP28" s="436"/>
      <c r="BQ28" s="437"/>
      <c r="BR28" s="426"/>
      <c r="BS28" s="422"/>
      <c r="BT28" s="445"/>
      <c r="BU28" s="460"/>
      <c r="BV28" s="439"/>
      <c r="BW28" s="437"/>
      <c r="BX28" s="441"/>
      <c r="BY28" s="440"/>
      <c r="BZ28" s="461"/>
      <c r="CA28" s="462"/>
      <c r="CB28" s="439"/>
      <c r="CC28" s="437"/>
      <c r="CD28" s="438"/>
      <c r="CE28" s="440"/>
      <c r="CF28" s="143">
        <f t="shared" si="6"/>
        <v>0</v>
      </c>
      <c r="CG28" s="395">
        <f t="shared" si="6"/>
        <v>0</v>
      </c>
      <c r="CH28" s="446"/>
      <c r="CI28" s="447"/>
      <c r="CJ28" s="446"/>
      <c r="CK28" s="439"/>
      <c r="CL28" s="440"/>
      <c r="CM28" s="420"/>
      <c r="CN28" s="422"/>
      <c r="CO28" s="445"/>
      <c r="CP28" s="460"/>
    </row>
    <row r="29" spans="1:94" ht="15.75" thickBot="1" x14ac:dyDescent="0.3">
      <c r="A29" s="488">
        <v>46137</v>
      </c>
      <c r="B29" s="506" t="s">
        <v>19</v>
      </c>
      <c r="C29" s="50"/>
      <c r="D29" s="51"/>
      <c r="E29" s="51"/>
      <c r="F29" s="380"/>
      <c r="G29" s="50"/>
      <c r="H29" s="381"/>
      <c r="I29" s="50"/>
      <c r="J29" s="51"/>
      <c r="K29" s="51"/>
      <c r="L29" s="380"/>
      <c r="M29" s="124"/>
      <c r="N29" s="382"/>
      <c r="O29" s="50"/>
      <c r="P29" s="55"/>
      <c r="Q29" s="41"/>
      <c r="R29" s="391"/>
      <c r="S29" s="397"/>
      <c r="T29" s="398"/>
      <c r="U29" s="388">
        <f t="shared" si="4"/>
        <v>0</v>
      </c>
      <c r="V29" s="31">
        <f t="shared" si="4"/>
        <v>0</v>
      </c>
      <c r="W29" s="502"/>
      <c r="X29" s="420"/>
      <c r="Y29" s="421"/>
      <c r="Z29" s="421"/>
      <c r="AA29" s="422"/>
      <c r="AB29" s="420"/>
      <c r="AC29" s="423"/>
      <c r="AD29" s="420"/>
      <c r="AE29" s="421"/>
      <c r="AF29" s="421"/>
      <c r="AG29" s="434"/>
      <c r="AH29" s="435"/>
      <c r="AI29" s="422"/>
      <c r="AJ29" s="420"/>
      <c r="AK29" s="434"/>
      <c r="AL29" s="421"/>
      <c r="AM29" s="422"/>
      <c r="AN29" s="420"/>
      <c r="AO29" s="423"/>
      <c r="AP29" s="124">
        <f t="shared" si="5"/>
        <v>0</v>
      </c>
      <c r="AQ29" s="127">
        <f t="shared" si="5"/>
        <v>0</v>
      </c>
      <c r="AR29" s="432"/>
      <c r="AS29" s="438"/>
      <c r="AT29" s="439"/>
      <c r="AU29" s="439"/>
      <c r="AV29" s="440"/>
      <c r="AW29" s="436"/>
      <c r="AX29" s="440"/>
      <c r="AY29" s="436"/>
      <c r="AZ29" s="439"/>
      <c r="BA29" s="439"/>
      <c r="BB29" s="441"/>
      <c r="BC29" s="442"/>
      <c r="BD29" s="440"/>
      <c r="BE29" s="436"/>
      <c r="BF29" s="441"/>
      <c r="BG29" s="439"/>
      <c r="BH29" s="440"/>
      <c r="BI29" s="436"/>
      <c r="BJ29" s="440"/>
      <c r="BK29" s="393">
        <f t="shared" si="7"/>
        <v>0</v>
      </c>
      <c r="BL29" s="481">
        <f t="shared" si="7"/>
        <v>0</v>
      </c>
      <c r="BM29" s="432"/>
      <c r="BN29" s="460"/>
      <c r="BO29" s="460"/>
      <c r="BP29" s="436"/>
      <c r="BQ29" s="437"/>
      <c r="BR29" s="426"/>
      <c r="BS29" s="422"/>
      <c r="BT29" s="445"/>
      <c r="BU29" s="460"/>
      <c r="BV29" s="439"/>
      <c r="BW29" s="437"/>
      <c r="BX29" s="441"/>
      <c r="BY29" s="440"/>
      <c r="BZ29" s="461"/>
      <c r="CA29" s="462"/>
      <c r="CB29" s="439"/>
      <c r="CC29" s="437"/>
      <c r="CD29" s="438"/>
      <c r="CE29" s="440"/>
      <c r="CF29" s="393">
        <f t="shared" si="6"/>
        <v>0</v>
      </c>
      <c r="CG29" s="114">
        <f t="shared" si="6"/>
        <v>0</v>
      </c>
      <c r="CH29" s="446"/>
      <c r="CI29" s="447"/>
      <c r="CJ29" s="446"/>
      <c r="CK29" s="439"/>
      <c r="CL29" s="440"/>
      <c r="CM29" s="420"/>
      <c r="CN29" s="422"/>
      <c r="CO29" s="445"/>
      <c r="CP29" s="460"/>
    </row>
    <row r="30" spans="1:94" s="129" customFormat="1" ht="15.75" thickBot="1" x14ac:dyDescent="0.3">
      <c r="A30" s="566">
        <v>46138</v>
      </c>
      <c r="B30" s="567" t="s">
        <v>20</v>
      </c>
      <c r="C30" s="236"/>
      <c r="D30" s="237"/>
      <c r="E30" s="237"/>
      <c r="F30" s="314"/>
      <c r="G30" s="236"/>
      <c r="H30" s="315"/>
      <c r="I30" s="236"/>
      <c r="J30" s="237"/>
      <c r="K30" s="237"/>
      <c r="L30" s="314"/>
      <c r="M30" s="243"/>
      <c r="N30" s="316"/>
      <c r="O30" s="236"/>
      <c r="P30" s="242"/>
      <c r="Q30" s="317"/>
      <c r="R30" s="318"/>
      <c r="S30" s="319"/>
      <c r="T30" s="320"/>
      <c r="U30" s="416">
        <f t="shared" si="4"/>
        <v>0</v>
      </c>
      <c r="V30" s="417">
        <f t="shared" si="4"/>
        <v>0</v>
      </c>
      <c r="W30" s="561"/>
      <c r="X30" s="236"/>
      <c r="Y30" s="237"/>
      <c r="Z30" s="237"/>
      <c r="AA30" s="314"/>
      <c r="AB30" s="236"/>
      <c r="AC30" s="315"/>
      <c r="AD30" s="236"/>
      <c r="AE30" s="237"/>
      <c r="AF30" s="237"/>
      <c r="AG30" s="324"/>
      <c r="AH30" s="325"/>
      <c r="AI30" s="314"/>
      <c r="AJ30" s="236"/>
      <c r="AK30" s="324"/>
      <c r="AL30" s="237"/>
      <c r="AM30" s="314"/>
      <c r="AN30" s="236"/>
      <c r="AO30" s="315"/>
      <c r="AP30" s="243">
        <f t="shared" si="5"/>
        <v>0</v>
      </c>
      <c r="AQ30" s="326">
        <f t="shared" si="5"/>
        <v>0</v>
      </c>
      <c r="AR30" s="322"/>
      <c r="AS30" s="327"/>
      <c r="AT30" s="317"/>
      <c r="AU30" s="317"/>
      <c r="AV30" s="318"/>
      <c r="AW30" s="243"/>
      <c r="AX30" s="318"/>
      <c r="AY30" s="243"/>
      <c r="AZ30" s="317"/>
      <c r="BA30" s="317"/>
      <c r="BB30" s="242"/>
      <c r="BC30" s="328"/>
      <c r="BD30" s="318"/>
      <c r="BE30" s="243"/>
      <c r="BF30" s="242"/>
      <c r="BG30" s="317"/>
      <c r="BH30" s="318"/>
      <c r="BI30" s="243"/>
      <c r="BJ30" s="318"/>
      <c r="BK30" s="329">
        <f t="shared" si="7"/>
        <v>0</v>
      </c>
      <c r="BL30" s="418">
        <f t="shared" si="7"/>
        <v>0</v>
      </c>
      <c r="BM30" s="322"/>
      <c r="BN30" s="333"/>
      <c r="BO30" s="333"/>
      <c r="BP30" s="243"/>
      <c r="BQ30" s="326"/>
      <c r="BR30" s="241"/>
      <c r="BS30" s="314"/>
      <c r="BT30" s="332"/>
      <c r="BU30" s="333"/>
      <c r="BV30" s="317"/>
      <c r="BW30" s="326"/>
      <c r="BX30" s="242"/>
      <c r="BY30" s="318"/>
      <c r="BZ30" s="334"/>
      <c r="CA30" s="335"/>
      <c r="CB30" s="317"/>
      <c r="CC30" s="326"/>
      <c r="CD30" s="327"/>
      <c r="CE30" s="318"/>
      <c r="CF30" s="329">
        <f t="shared" si="6"/>
        <v>0</v>
      </c>
      <c r="CG30" s="336">
        <f t="shared" si="6"/>
        <v>0</v>
      </c>
      <c r="CH30" s="337"/>
      <c r="CI30" s="565"/>
      <c r="CJ30" s="337"/>
      <c r="CK30" s="317"/>
      <c r="CL30" s="318"/>
      <c r="CM30" s="236"/>
      <c r="CN30" s="314"/>
      <c r="CO30" s="332">
        <v>0</v>
      </c>
      <c r="CP30" s="333">
        <v>0</v>
      </c>
    </row>
    <row r="31" spans="1:94" ht="15.75" thickBot="1" x14ac:dyDescent="0.3">
      <c r="A31" s="559">
        <v>46139</v>
      </c>
      <c r="B31" s="560" t="s">
        <v>14</v>
      </c>
      <c r="C31" s="236"/>
      <c r="D31" s="237"/>
      <c r="E31" s="310"/>
      <c r="F31" s="310"/>
      <c r="G31" s="317"/>
      <c r="H31" s="315"/>
      <c r="I31" s="236"/>
      <c r="J31" s="237"/>
      <c r="K31" s="237"/>
      <c r="L31" s="314"/>
      <c r="M31" s="243"/>
      <c r="N31" s="316"/>
      <c r="O31" s="236"/>
      <c r="P31" s="242"/>
      <c r="Q31" s="317"/>
      <c r="R31" s="318"/>
      <c r="S31" s="319"/>
      <c r="T31" s="320"/>
      <c r="U31" s="388">
        <f t="shared" si="4"/>
        <v>0</v>
      </c>
      <c r="V31" s="31">
        <f t="shared" si="4"/>
        <v>0</v>
      </c>
      <c r="W31" s="502"/>
      <c r="X31" s="236"/>
      <c r="Y31" s="237"/>
      <c r="Z31" s="237"/>
      <c r="AA31" s="314"/>
      <c r="AB31" s="236"/>
      <c r="AC31" s="315"/>
      <c r="AD31" s="236"/>
      <c r="AE31" s="237"/>
      <c r="AF31" s="237"/>
      <c r="AG31" s="324"/>
      <c r="AH31" s="325"/>
      <c r="AI31" s="314"/>
      <c r="AJ31" s="236"/>
      <c r="AK31" s="324"/>
      <c r="AL31" s="237"/>
      <c r="AM31" s="314"/>
      <c r="AN31" s="236"/>
      <c r="AO31" s="315"/>
      <c r="AP31" s="124">
        <f t="shared" si="5"/>
        <v>0</v>
      </c>
      <c r="AQ31" s="127">
        <f t="shared" si="5"/>
        <v>0</v>
      </c>
      <c r="AR31" s="322"/>
      <c r="AS31" s="327"/>
      <c r="AT31" s="317"/>
      <c r="AU31" s="317"/>
      <c r="AV31" s="318"/>
      <c r="AW31" s="243"/>
      <c r="AX31" s="318"/>
      <c r="AY31" s="243"/>
      <c r="AZ31" s="317"/>
      <c r="BA31" s="317"/>
      <c r="BB31" s="242"/>
      <c r="BC31" s="328"/>
      <c r="BD31" s="318"/>
      <c r="BE31" s="243"/>
      <c r="BF31" s="242"/>
      <c r="BG31" s="317"/>
      <c r="BH31" s="318"/>
      <c r="BI31" s="243"/>
      <c r="BJ31" s="318"/>
      <c r="BK31" s="393">
        <f t="shared" si="7"/>
        <v>0</v>
      </c>
      <c r="BL31" s="481">
        <f t="shared" si="7"/>
        <v>0</v>
      </c>
      <c r="BM31" s="322"/>
      <c r="BN31" s="333"/>
      <c r="BO31" s="333"/>
      <c r="BP31" s="243"/>
      <c r="BQ31" s="326"/>
      <c r="BR31" s="241"/>
      <c r="BS31" s="314"/>
      <c r="BT31" s="332"/>
      <c r="BU31" s="333"/>
      <c r="BV31" s="317"/>
      <c r="BW31" s="326"/>
      <c r="BX31" s="242"/>
      <c r="BY31" s="318"/>
      <c r="BZ31" s="334"/>
      <c r="CA31" s="335"/>
      <c r="CB31" s="317"/>
      <c r="CC31" s="326"/>
      <c r="CD31" s="327"/>
      <c r="CE31" s="318"/>
      <c r="CF31" s="143">
        <f t="shared" si="6"/>
        <v>0</v>
      </c>
      <c r="CG31" s="114">
        <f t="shared" si="6"/>
        <v>0</v>
      </c>
      <c r="CH31" s="337"/>
      <c r="CI31" s="356"/>
      <c r="CJ31" s="337"/>
      <c r="CK31" s="317"/>
      <c r="CL31" s="318"/>
      <c r="CM31" s="236"/>
      <c r="CN31" s="314"/>
      <c r="CO31" s="332"/>
      <c r="CP31" s="333"/>
    </row>
    <row r="32" spans="1:94" ht="15.75" thickBot="1" x14ac:dyDescent="0.3">
      <c r="A32" s="48">
        <v>46140</v>
      </c>
      <c r="B32" s="466" t="s">
        <v>15</v>
      </c>
      <c r="C32" s="236"/>
      <c r="D32" s="237"/>
      <c r="E32" s="509"/>
      <c r="F32" s="510"/>
      <c r="G32" s="236"/>
      <c r="H32" s="315"/>
      <c r="I32" s="236"/>
      <c r="J32" s="237"/>
      <c r="K32" s="237"/>
      <c r="L32" s="314"/>
      <c r="M32" s="243"/>
      <c r="N32" s="316"/>
      <c r="O32" s="236"/>
      <c r="P32" s="242"/>
      <c r="Q32" s="317"/>
      <c r="R32" s="318"/>
      <c r="S32" s="319"/>
      <c r="T32" s="320"/>
      <c r="U32" s="388"/>
      <c r="V32" s="31"/>
      <c r="W32" s="502"/>
      <c r="X32" s="236"/>
      <c r="Y32" s="237"/>
      <c r="Z32" s="237"/>
      <c r="AA32" s="314"/>
      <c r="AB32" s="236"/>
      <c r="AC32" s="315"/>
      <c r="AD32" s="236"/>
      <c r="AE32" s="237"/>
      <c r="AF32" s="237"/>
      <c r="AG32" s="324"/>
      <c r="AH32" s="325"/>
      <c r="AI32" s="314"/>
      <c r="AJ32" s="236"/>
      <c r="AK32" s="324"/>
      <c r="AL32" s="237"/>
      <c r="AM32" s="314"/>
      <c r="AN32" s="236"/>
      <c r="AO32" s="315"/>
      <c r="AP32" s="124"/>
      <c r="AQ32" s="127"/>
      <c r="AR32" s="322"/>
      <c r="AS32" s="327"/>
      <c r="AT32" s="317"/>
      <c r="AU32" s="317"/>
      <c r="AV32" s="318"/>
      <c r="AW32" s="243"/>
      <c r="AX32" s="318"/>
      <c r="AY32" s="243"/>
      <c r="AZ32" s="317"/>
      <c r="BA32" s="317"/>
      <c r="BB32" s="242"/>
      <c r="BC32" s="328"/>
      <c r="BD32" s="318"/>
      <c r="BE32" s="243"/>
      <c r="BF32" s="242"/>
      <c r="BG32" s="317"/>
      <c r="BH32" s="318"/>
      <c r="BI32" s="243"/>
      <c r="BJ32" s="318"/>
      <c r="BK32" s="393"/>
      <c r="BL32" s="481"/>
      <c r="BM32" s="322"/>
      <c r="BN32" s="333"/>
      <c r="BO32" s="333"/>
      <c r="BP32" s="243"/>
      <c r="BQ32" s="326"/>
      <c r="BR32" s="241"/>
      <c r="BS32" s="314"/>
      <c r="BT32" s="332"/>
      <c r="BU32" s="333"/>
      <c r="BV32" s="317"/>
      <c r="BW32" s="326"/>
      <c r="BX32" s="242"/>
      <c r="BY32" s="318"/>
      <c r="BZ32" s="334"/>
      <c r="CA32" s="335"/>
      <c r="CB32" s="317"/>
      <c r="CC32" s="326"/>
      <c r="CD32" s="327"/>
      <c r="CE32" s="318"/>
      <c r="CF32" s="143">
        <f t="shared" si="6"/>
        <v>0</v>
      </c>
      <c r="CG32" s="114">
        <f t="shared" si="6"/>
        <v>0</v>
      </c>
      <c r="CH32" s="337"/>
      <c r="CI32" s="356"/>
      <c r="CJ32" s="337"/>
      <c r="CK32" s="317"/>
      <c r="CL32" s="318"/>
      <c r="CM32" s="236"/>
      <c r="CN32" s="314"/>
      <c r="CO32" s="332"/>
      <c r="CP32" s="333"/>
    </row>
    <row r="33" spans="1:94" x14ac:dyDescent="0.25">
      <c r="A33" s="559">
        <v>46141</v>
      </c>
      <c r="B33" s="560" t="s">
        <v>16</v>
      </c>
      <c r="C33" s="220"/>
      <c r="D33" s="218"/>
      <c r="E33" s="218"/>
      <c r="F33" s="219"/>
      <c r="G33" s="220"/>
      <c r="H33" s="221"/>
      <c r="I33" s="220"/>
      <c r="J33" s="218"/>
      <c r="K33" s="218"/>
      <c r="L33" s="219"/>
      <c r="M33" s="137"/>
      <c r="N33" s="174"/>
      <c r="O33" s="220"/>
      <c r="P33" s="530"/>
      <c r="Q33" s="528"/>
      <c r="R33" s="529"/>
      <c r="S33" s="137"/>
      <c r="T33" s="174"/>
      <c r="U33" s="386">
        <f t="shared" ref="U33" si="8">C33+E33+G33+I33+K33+M33+O33+Q33+S33</f>
        <v>0</v>
      </c>
      <c r="V33" s="539">
        <f>D33+F33+H33+J33+L33+N33+P33+R33+T33</f>
        <v>0</v>
      </c>
      <c r="W33" s="502"/>
      <c r="X33" s="220"/>
      <c r="Y33" s="120"/>
      <c r="Z33" s="120"/>
      <c r="AA33" s="167"/>
      <c r="AB33" s="220"/>
      <c r="AC33" s="221"/>
      <c r="AD33" s="220"/>
      <c r="AE33" s="218"/>
      <c r="AF33" s="218"/>
      <c r="AG33" s="226"/>
      <c r="AH33" s="223"/>
      <c r="AI33" s="219"/>
      <c r="AJ33" s="220"/>
      <c r="AK33" s="226"/>
      <c r="AL33" s="218"/>
      <c r="AM33" s="219"/>
      <c r="AN33" s="220"/>
      <c r="AO33" s="221"/>
      <c r="AP33" s="137">
        <f>X33+Z33+AB33+AD33+AF33+AH33+AJ33+AL33+AN33</f>
        <v>0</v>
      </c>
      <c r="AQ33" s="526">
        <f>Y33+AA33+AC33+AE33+AG33+AI33+AK33+AM33+AO33</f>
        <v>0</v>
      </c>
      <c r="AR33" s="479"/>
      <c r="AS33" s="527"/>
      <c r="AT33" s="528"/>
      <c r="AU33" s="528"/>
      <c r="AV33" s="529"/>
      <c r="AW33" s="137"/>
      <c r="AX33" s="529"/>
      <c r="AY33" s="137"/>
      <c r="AZ33" s="528"/>
      <c r="BA33" s="528"/>
      <c r="BB33" s="530"/>
      <c r="BC33" s="531"/>
      <c r="BD33" s="529"/>
      <c r="BE33" s="137"/>
      <c r="BF33" s="530"/>
      <c r="BG33" s="528"/>
      <c r="BH33" s="529"/>
      <c r="BI33" s="137"/>
      <c r="BJ33" s="529"/>
      <c r="BK33" s="546">
        <f>AS33+AU33+AW33+AY33+BA33+BC33+BE33+BG33+BI33</f>
        <v>0</v>
      </c>
      <c r="BL33" s="547">
        <f>AT33+AV33+AX33+AZ33+BB33+BD33+BF33+BH33+BJ33</f>
        <v>0</v>
      </c>
      <c r="BM33" s="479"/>
      <c r="BN33" s="548"/>
      <c r="BO33" s="548"/>
      <c r="BP33" s="137"/>
      <c r="BQ33" s="528"/>
      <c r="BR33" s="528"/>
      <c r="BS33" s="528"/>
      <c r="BT33" s="548"/>
      <c r="BU33" s="483"/>
      <c r="BV33" s="117"/>
      <c r="BW33" s="117"/>
      <c r="BX33" s="117"/>
      <c r="BY33" s="117"/>
      <c r="BZ33" s="483"/>
      <c r="CA33" s="483"/>
      <c r="CB33" s="117"/>
      <c r="CC33" s="117"/>
      <c r="CD33" s="117"/>
      <c r="CE33" s="117"/>
      <c r="CF33" s="521">
        <f>BN33+BP33+BR33+BT33+BV33+BX33+BZ33+CB33+CD33</f>
        <v>0</v>
      </c>
      <c r="CG33" s="522">
        <f>BO33+BQ33+BS33+BU33+BW33+BY33+CA33+CC33+CE33</f>
        <v>0</v>
      </c>
      <c r="CH33" s="486"/>
      <c r="CI33" s="554"/>
      <c r="CJ33" s="486"/>
      <c r="CK33" s="528"/>
      <c r="CL33" s="529"/>
      <c r="CM33" s="220"/>
      <c r="CN33" s="219"/>
      <c r="CO33" s="555"/>
      <c r="CP33" s="548"/>
    </row>
    <row r="34" spans="1:94" ht="15.75" thickBot="1" x14ac:dyDescent="0.3">
      <c r="A34" s="48">
        <v>46142</v>
      </c>
      <c r="B34" s="466" t="s">
        <v>17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384"/>
      <c r="V34" s="544"/>
      <c r="W34" s="545"/>
      <c r="X34" s="117"/>
      <c r="Y34" s="120"/>
      <c r="Z34" s="120"/>
      <c r="AA34" s="140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53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6"/>
      <c r="BL34" s="544"/>
      <c r="BM34" s="537"/>
      <c r="BN34" s="483"/>
      <c r="BO34" s="483"/>
      <c r="BP34" s="117"/>
      <c r="BQ34" s="117"/>
      <c r="BR34" s="117"/>
      <c r="BS34" s="117"/>
      <c r="BT34" s="483"/>
      <c r="BU34" s="483"/>
      <c r="BV34" s="117"/>
      <c r="BW34" s="117"/>
      <c r="BX34" s="117"/>
      <c r="BY34" s="117"/>
      <c r="BZ34" s="483"/>
      <c r="CA34" s="483"/>
      <c r="CB34" s="117"/>
      <c r="CC34" s="117"/>
      <c r="CD34" s="117"/>
      <c r="CE34" s="117"/>
      <c r="CF34" s="384"/>
      <c r="CG34" s="384"/>
      <c r="CH34" s="558"/>
      <c r="CI34" s="116"/>
      <c r="CJ34" s="558"/>
      <c r="CK34" s="117"/>
      <c r="CL34" s="117"/>
      <c r="CM34" s="117"/>
      <c r="CN34" s="117"/>
      <c r="CO34" s="483"/>
      <c r="CP34" s="483"/>
    </row>
    <row r="35" spans="1:94" ht="15.75" thickBot="1" x14ac:dyDescent="0.3">
      <c r="A35" s="368" t="s">
        <v>21</v>
      </c>
      <c r="B35" s="346"/>
      <c r="C35" s="532"/>
      <c r="D35" s="533"/>
      <c r="E35" s="533"/>
      <c r="F35" s="535"/>
      <c r="G35" s="532"/>
      <c r="H35" s="351"/>
      <c r="I35" s="532"/>
      <c r="J35" s="533"/>
      <c r="K35" s="533"/>
      <c r="L35" s="535"/>
      <c r="M35" s="532"/>
      <c r="N35" s="351"/>
      <c r="O35" s="532"/>
      <c r="P35" s="540"/>
      <c r="Q35" s="540"/>
      <c r="R35" s="540"/>
      <c r="S35" s="540"/>
      <c r="T35" s="540"/>
      <c r="U35" s="541"/>
      <c r="V35" s="542"/>
      <c r="W35" s="503"/>
      <c r="X35" s="532">
        <v>360</v>
      </c>
      <c r="Y35" s="347">
        <v>745</v>
      </c>
      <c r="Z35" s="347"/>
      <c r="AA35" s="348"/>
      <c r="AB35" s="532"/>
      <c r="AC35" s="351"/>
      <c r="AD35" s="532"/>
      <c r="AE35" s="533"/>
      <c r="AF35" s="533"/>
      <c r="AG35" s="534"/>
      <c r="AH35" s="350"/>
      <c r="AI35" s="535"/>
      <c r="AJ35" s="532"/>
      <c r="AK35" s="534"/>
      <c r="AL35" s="533"/>
      <c r="AM35" s="535"/>
      <c r="AN35" s="236"/>
      <c r="AO35" s="314"/>
      <c r="AP35" s="50"/>
      <c r="AQ35" s="65"/>
      <c r="AR35" s="353"/>
      <c r="AS35" s="536"/>
      <c r="AT35" s="533"/>
      <c r="AU35" s="533"/>
      <c r="AV35" s="535"/>
      <c r="AW35" s="532"/>
      <c r="AX35" s="351"/>
      <c r="AY35" s="532"/>
      <c r="AZ35" s="533"/>
      <c r="BA35" s="533"/>
      <c r="BB35" s="534"/>
      <c r="BC35" s="350"/>
      <c r="BD35" s="535"/>
      <c r="BE35" s="532"/>
      <c r="BF35" s="534"/>
      <c r="BG35" s="533"/>
      <c r="BH35" s="535"/>
      <c r="BI35" s="536"/>
      <c r="BJ35" s="533"/>
      <c r="BK35" s="523"/>
      <c r="BL35" s="549"/>
      <c r="BM35" s="353"/>
      <c r="BN35" s="550"/>
      <c r="BO35" s="551"/>
      <c r="BP35" s="552"/>
      <c r="BQ35" s="553"/>
      <c r="BR35" s="553"/>
      <c r="BS35" s="553"/>
      <c r="BT35" s="533"/>
      <c r="BU35" s="347"/>
      <c r="BV35" s="512"/>
      <c r="BW35" s="512"/>
      <c r="BX35" s="512"/>
      <c r="BY35" s="512"/>
      <c r="BZ35" s="347"/>
      <c r="CA35" s="347"/>
      <c r="CB35" s="512"/>
      <c r="CC35" s="512"/>
      <c r="CD35" s="512"/>
      <c r="CE35" s="513"/>
      <c r="CF35" s="523"/>
      <c r="CG35" s="524"/>
      <c r="CH35" s="129"/>
      <c r="CI35" s="556"/>
      <c r="CJ35" s="129"/>
      <c r="CK35" s="237"/>
      <c r="CL35" s="314"/>
      <c r="CM35" s="237"/>
      <c r="CN35" s="314"/>
      <c r="CO35" s="532"/>
      <c r="CP35" s="557"/>
    </row>
    <row r="37" spans="1:94" x14ac:dyDescent="0.25">
      <c r="D37" s="504" t="s">
        <v>30</v>
      </c>
      <c r="E37" s="203" t="s">
        <v>31</v>
      </c>
      <c r="F37" s="203" t="s">
        <v>32</v>
      </c>
    </row>
    <row r="38" spans="1:94" x14ac:dyDescent="0.25">
      <c r="D38" s="505">
        <v>46114</v>
      </c>
      <c r="E38" s="310">
        <f>S8+AN8+BI8+CD8</f>
        <v>0</v>
      </c>
      <c r="F38" s="310">
        <f>T8+AO8+BJ8+CE8</f>
        <v>0</v>
      </c>
    </row>
    <row r="39" spans="1:94" x14ac:dyDescent="0.25">
      <c r="D39" s="505">
        <v>46121</v>
      </c>
      <c r="E39" s="310">
        <f>U13+AP13+BK13+CF13</f>
        <v>3419</v>
      </c>
      <c r="F39" s="310">
        <f>V13+AQ13+BL13+CG13</f>
        <v>9280</v>
      </c>
    </row>
    <row r="40" spans="1:94" x14ac:dyDescent="0.25">
      <c r="D40" s="505"/>
      <c r="E40" s="310">
        <f>S22+AN22+BI22+CD22</f>
        <v>0</v>
      </c>
      <c r="F40" s="310"/>
    </row>
    <row r="41" spans="1:94" x14ac:dyDescent="0.25">
      <c r="D41" s="505"/>
      <c r="E41" s="310">
        <f>S29+AN29+BI29+CD29</f>
        <v>0</v>
      </c>
      <c r="F41" s="310">
        <f>T29+AO29+BJ29+CE29</f>
        <v>0</v>
      </c>
    </row>
    <row r="44" spans="1:94" x14ac:dyDescent="0.25">
      <c r="AZ44" s="602" t="s">
        <v>39</v>
      </c>
    </row>
    <row r="45" spans="1:94" x14ac:dyDescent="0.25">
      <c r="AZ45" s="602" t="s">
        <v>2</v>
      </c>
    </row>
    <row r="46" spans="1:94" x14ac:dyDescent="0.25">
      <c r="AZ46" s="602" t="s">
        <v>40</v>
      </c>
    </row>
    <row r="47" spans="1:94" x14ac:dyDescent="0.25">
      <c r="AZ47" s="602" t="s">
        <v>41</v>
      </c>
    </row>
    <row r="48" spans="1:94" x14ac:dyDescent="0.25">
      <c r="AZ48" s="602"/>
    </row>
    <row r="49" spans="52:52" x14ac:dyDescent="0.25">
      <c r="AZ49" s="602" t="s">
        <v>1</v>
      </c>
    </row>
    <row r="50" spans="52:52" x14ac:dyDescent="0.25">
      <c r="AZ50" s="602" t="s">
        <v>42</v>
      </c>
    </row>
    <row r="51" spans="52:52" x14ac:dyDescent="0.25">
      <c r="AZ51" s="602" t="s">
        <v>43</v>
      </c>
    </row>
    <row r="52" spans="52:52" x14ac:dyDescent="0.25">
      <c r="AZ52" s="602"/>
    </row>
    <row r="53" spans="52:52" x14ac:dyDescent="0.25">
      <c r="AZ53" s="602" t="s">
        <v>3</v>
      </c>
    </row>
    <row r="54" spans="52:52" x14ac:dyDescent="0.25">
      <c r="AZ54" s="602" t="s">
        <v>43</v>
      </c>
    </row>
    <row r="55" spans="52:52" x14ac:dyDescent="0.25">
      <c r="AZ55" s="602" t="s">
        <v>44</v>
      </c>
    </row>
    <row r="56" spans="52:52" x14ac:dyDescent="0.25">
      <c r="AZ56" s="602"/>
    </row>
    <row r="57" spans="52:52" x14ac:dyDescent="0.25">
      <c r="AZ57" s="602" t="s">
        <v>4</v>
      </c>
    </row>
    <row r="58" spans="52:52" x14ac:dyDescent="0.25">
      <c r="AZ58" s="602" t="s">
        <v>44</v>
      </c>
    </row>
    <row r="59" spans="52:52" x14ac:dyDescent="0.25">
      <c r="AZ59" s="602"/>
    </row>
    <row r="60" spans="52:52" x14ac:dyDescent="0.25">
      <c r="AZ60" s="602" t="s">
        <v>45</v>
      </c>
    </row>
    <row r="61" spans="52:52" x14ac:dyDescent="0.25">
      <c r="AZ61" s="602" t="s">
        <v>46</v>
      </c>
    </row>
    <row r="62" spans="52:52" x14ac:dyDescent="0.25">
      <c r="AZ62" s="602" t="s">
        <v>47</v>
      </c>
    </row>
  </sheetData>
  <mergeCells count="17">
    <mergeCell ref="CK1:CP2"/>
    <mergeCell ref="C2:H2"/>
    <mergeCell ref="I2:N2"/>
    <mergeCell ref="O2:T2"/>
    <mergeCell ref="X2:AC2"/>
    <mergeCell ref="AD2:AI2"/>
    <mergeCell ref="BZ2:CE2"/>
    <mergeCell ref="AJ2:AO2"/>
    <mergeCell ref="AS2:AX2"/>
    <mergeCell ref="AY2:BD2"/>
    <mergeCell ref="BE2:BJ2"/>
    <mergeCell ref="BN2:BS2"/>
    <mergeCell ref="BT2:BY2"/>
    <mergeCell ref="C1:V1"/>
    <mergeCell ref="X1:AQ1"/>
    <mergeCell ref="AS1:BL1"/>
    <mergeCell ref="BN1:CG1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szeptember</vt:lpstr>
      <vt:lpstr>október</vt:lpstr>
      <vt:lpstr>november</vt:lpstr>
      <vt:lpstr>december</vt:lpstr>
      <vt:lpstr>2026.január</vt:lpstr>
      <vt:lpstr>2026. február</vt:lpstr>
      <vt:lpstr>2026.március</vt:lpstr>
      <vt:lpstr>2026.április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Laczházi Tünde</dc:creator>
  <cp:lastModifiedBy>Sándor László</cp:lastModifiedBy>
  <dcterms:created xsi:type="dcterms:W3CDTF">2025-09-11T13:01:12Z</dcterms:created>
  <dcterms:modified xsi:type="dcterms:W3CDTF">2026-04-10T09:59:24Z</dcterms:modified>
</cp:coreProperties>
</file>