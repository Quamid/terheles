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ndorL\Desktop\Feladatok\2026. febr\"/>
    </mc:Choice>
  </mc:AlternateContent>
  <xr:revisionPtr revIDLastSave="0" documentId="13_ncr:1_{0A20A0F4-1B8A-499C-BA71-856DB1AA0C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unka1" sheetId="1" r:id="rId1"/>
    <sheet name="Nyers" sheetId="3" r:id="rId2"/>
    <sheet name="SZO" sheetId="2" r:id="rId3"/>
  </sheets>
  <externalReferences>
    <externalReference r:id="rId4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2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2" i="1"/>
  <c r="A398" i="1" l="1"/>
  <c r="A399" i="1"/>
  <c r="A400" i="1"/>
  <c r="A401" i="1"/>
  <c r="A402" i="1"/>
  <c r="A403" i="1"/>
  <c r="A404" i="1"/>
  <c r="A405" i="1"/>
  <c r="A406" i="1"/>
  <c r="A407" i="1"/>
  <c r="C398" i="1"/>
  <c r="C399" i="1"/>
  <c r="C400" i="1"/>
  <c r="C401" i="1"/>
  <c r="C402" i="1"/>
  <c r="C403" i="1"/>
  <c r="C404" i="1"/>
  <c r="C405" i="1"/>
  <c r="C406" i="1"/>
  <c r="C407" i="1"/>
  <c r="C397" i="1"/>
  <c r="A39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2" i="1"/>
  <c r="D243" i="1" l="1"/>
  <c r="D245" i="1"/>
  <c r="D39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2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189" i="1"/>
</calcChain>
</file>

<file path=xl/sharedStrings.xml><?xml version="1.0" encoding="utf-8"?>
<sst xmlns="http://schemas.openxmlformats.org/spreadsheetml/2006/main" count="84" uniqueCount="68">
  <si>
    <t>Hét</t>
  </si>
  <si>
    <t>Dátum</t>
  </si>
  <si>
    <t>Kiküldött levélszám</t>
  </si>
  <si>
    <t>Outlook beérkező</t>
  </si>
  <si>
    <t>ÜSZI rögzített hangfájlok száma</t>
  </si>
  <si>
    <t>Video hívások száma</t>
  </si>
  <si>
    <t>CC hívások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</si>
  <si>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</si>
  <si>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</si>
  <si>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</si>
  <si>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</si>
  <si>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</si>
  <si>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</si>
  <si>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</si>
  <si>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</si>
  <si>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</si>
  <si>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</si>
  <si>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</si>
  <si>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</si>
  <si>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</si>
  <si>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</si>
  <si>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</si>
  <si>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</si>
  <si>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</si>
  <si>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</si>
  <si>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</si>
  <si>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</si>
  <si>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</si>
  <si>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</si>
  <si>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</si>
  <si>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</si>
  <si>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</si>
  <si>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</si>
  <si>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</si>
  <si>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</si>
  <si>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</si>
  <si>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</si>
  <si>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</si>
  <si>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</si>
  <si>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</si>
  <si>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</si>
  <si>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</si>
  <si>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</si>
  <si>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</si>
  <si>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</si>
  <si>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</si>
  <si>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</si>
  <si>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</si>
  <si>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</si>
  <si>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</si>
  <si>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</si>
  <si>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</si>
  <si>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</si>
  <si>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</si>
  <si>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</si>
  <si>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</si>
  <si>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</si>
  <si>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</si>
  <si>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</si>
  <si>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Ügyintézés</t>
  </si>
  <si>
    <t>Levelezés Összes iktatandó</t>
  </si>
  <si>
    <t>Levelezés Összes megválaszolandó</t>
  </si>
  <si>
    <t>Levelezés Összes megválaszolt</t>
  </si>
  <si>
    <t>Levelezés Összes levél</t>
  </si>
  <si>
    <t>szombati munkanap</t>
  </si>
  <si>
    <t>Zárva</t>
  </si>
  <si>
    <t>Levelezés megválaszolt</t>
  </si>
  <si>
    <t>Levelezés feldolgozandó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</si>
</sst>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b/>
      <sz val="14"/>
      <color rgb="FF0099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rgb="FFFF000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FC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4">
    <xf numFmtId="0" fontId="0" fillId="0" borderId="0" xfId="0"/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4" borderId="2" xfId="0" applyNumberFormat="1" applyFill="1" applyBorder="1" applyAlignment="1">
      <alignment horizontal="right" vertical="center"/>
    </xf>
    <xf numFmtId="14" fontId="0" fillId="5" borderId="1" xfId="0" applyNumberForma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14" fontId="3" fillId="2" borderId="3" xfId="1" applyNumberFormat="1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6" fillId="7" borderId="3" xfId="0" applyFont="1" applyFill="1" applyBorder="1"/>
    <xf numFmtId="0" fontId="7" fillId="7" borderId="3" xfId="0" applyFont="1" applyFill="1" applyBorder="1"/>
    <xf numFmtId="14" fontId="3" fillId="2" borderId="4" xfId="1" applyNumberFormat="1" applyFont="1" applyBorder="1" applyAlignment="1">
      <alignment horizontal="center" vertical="center"/>
    </xf>
    <xf numFmtId="0" fontId="4" fillId="0" borderId="4" xfId="0" applyFont="1" applyBorder="1"/>
    <xf numFmtId="14" fontId="8" fillId="8" borderId="3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4" fontId="3" fillId="7" borderId="5" xfId="1" applyNumberFormat="1" applyFont="1" applyFill="1" applyBorder="1" applyAlignment="1">
      <alignment horizontal="center" vertical="center"/>
    </xf>
    <xf numFmtId="0" fontId="4" fillId="0" borderId="6" xfId="0" applyFont="1" applyBorder="1"/>
    <xf numFmtId="14" fontId="3" fillId="7" borderId="7" xfId="1" applyNumberFormat="1" applyFont="1" applyFill="1" applyBorder="1" applyAlignment="1">
      <alignment horizontal="center" vertical="center"/>
    </xf>
    <xf numFmtId="14" fontId="3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/>
    <xf numFmtId="14" fontId="3" fillId="8" borderId="5" xfId="1" applyNumberFormat="1" applyFont="1" applyFill="1" applyBorder="1" applyAlignment="1">
      <alignment horizontal="center" vertical="center"/>
    </xf>
    <xf numFmtId="14" fontId="3" fillId="8" borderId="10" xfId="1" applyNumberFormat="1" applyFont="1" applyFill="1" applyBorder="1" applyAlignment="1">
      <alignment horizontal="center" vertical="center"/>
    </xf>
    <xf numFmtId="0" fontId="4" fillId="0" borderId="11" xfId="0" applyFont="1" applyBorder="1"/>
    <xf numFmtId="14" fontId="3" fillId="8" borderId="7" xfId="1" applyNumberFormat="1" applyFont="1" applyFill="1" applyBorder="1" applyAlignment="1">
      <alignment horizontal="center" vertical="center"/>
    </xf>
    <xf numFmtId="14" fontId="3" fillId="8" borderId="8" xfId="1" applyNumberFormat="1" applyFont="1" applyFill="1" applyBorder="1" applyAlignment="1">
      <alignment horizontal="center" vertical="center"/>
    </xf>
    <xf numFmtId="0" fontId="4" fillId="0" borderId="12" xfId="0" applyFont="1" applyBorder="1"/>
    <xf numFmtId="14" fontId="3" fillId="6" borderId="5" xfId="1" applyNumberFormat="1" applyFont="1" applyFill="1" applyBorder="1" applyAlignment="1">
      <alignment horizontal="center" vertical="center"/>
    </xf>
    <xf numFmtId="14" fontId="3" fillId="6" borderId="7" xfId="1" applyNumberFormat="1" applyFont="1" applyFill="1" applyBorder="1" applyAlignment="1">
      <alignment horizontal="center" vertical="center"/>
    </xf>
    <xf numFmtId="14" fontId="3" fillId="6" borderId="8" xfId="1" applyNumberFormat="1" applyFont="1" applyFill="1" applyBorder="1" applyAlignment="1">
      <alignment horizontal="center" vertical="center"/>
    </xf>
    <xf numFmtId="0" fontId="4" fillId="0" borderId="13" xfId="0" applyFont="1" applyBorder="1"/>
    <xf numFmtId="14" fontId="3" fillId="9" borderId="8" xfId="1" applyNumberFormat="1" applyFont="1" applyFill="1" applyBorder="1" applyAlignment="1">
      <alignment horizontal="center" vertical="center"/>
    </xf>
    <xf numFmtId="14" fontId="3" fillId="2" borderId="11" xfId="1" applyNumberFormat="1" applyFont="1" applyBorder="1" applyAlignment="1">
      <alignment horizontal="center" vertical="center"/>
    </xf>
    <xf numFmtId="14" fontId="3" fillId="10" borderId="3" xfId="1" applyNumberFormat="1" applyFont="1" applyFill="1" applyBorder="1" applyAlignment="1">
      <alignment horizontal="center" vertical="center"/>
    </xf>
    <xf numFmtId="0" fontId="4" fillId="10" borderId="3" xfId="0" applyFont="1" applyFill="1" applyBorder="1"/>
    <xf numFmtId="14" fontId="3" fillId="0" borderId="3" xfId="1" applyNumberFormat="1" applyFont="1" applyFill="1" applyBorder="1" applyAlignment="1">
      <alignment horizontal="center" vertical="center"/>
    </xf>
    <xf numFmtId="14" fontId="3" fillId="11" borderId="3" xfId="1" applyNumberFormat="1" applyFont="1" applyFill="1" applyBorder="1" applyAlignment="1">
      <alignment horizontal="center" vertical="center"/>
    </xf>
    <xf numFmtId="0" fontId="4" fillId="0" borderId="14" xfId="0" applyFont="1" applyBorder="1"/>
    <xf numFmtId="14" fontId="3" fillId="5" borderId="3" xfId="1" applyNumberFormat="1" applyFont="1" applyFill="1" applyBorder="1" applyAlignment="1">
      <alignment horizontal="center" vertical="center"/>
    </xf>
    <xf numFmtId="0" fontId="4" fillId="12" borderId="3" xfId="0" applyFont="1" applyFill="1" applyBorder="1"/>
    <xf numFmtId="0" fontId="2" fillId="13" borderId="0" xfId="0" applyFont="1" applyFill="1" applyAlignment="1">
      <alignment horizontal="center"/>
    </xf>
    <xf numFmtId="0" fontId="2" fillId="1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3" borderId="0" xfId="0" applyFill="1"/>
    <xf numFmtId="14" fontId="0" fillId="13" borderId="0" xfId="0" applyNumberFormat="1" applyFill="1" applyAlignment="1">
      <alignment horizontal="center" vertical="center"/>
    </xf>
  </cellXfs>
  <cellStyles count="2">
    <cellStyle name="20% - 3. jelölőszín" xfId="1" builtinId="3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SZIG\UKO\_Vezetoseg\Riportok\Havi%20vez&#233;rigazgat&#243;i%20jelent&#233;s\Levelez&#233;s_&#246;sszes&#237;tve.xlsx" TargetMode="External"/><Relationship Id="rId1" Type="http://schemas.openxmlformats.org/officeDocument/2006/relationships/externalLinkPath" Target="file:///O:\SZIG\UKO\_Vezetoseg\Riportok\Havi%20vez&#233;rigazgat&#243;i%20jelent&#233;s\Levelez&#233;s_&#246;sszes&#237;t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yersadatok"/>
      <sheetName val="Pivot"/>
    </sheetNames>
    <sheetDataSet>
      <sheetData sheetId="0"/>
      <sheetData sheetId="1">
        <row r="1">
          <cell r="A1" t="str">
            <v>Irány</v>
          </cell>
          <cell r="B1" t="str">
            <v>Bejövő</v>
          </cell>
        </row>
        <row r="2">
          <cell r="A2" t="str">
            <v>Irattípus</v>
          </cell>
          <cell r="B2" t="str">
            <v>(mind)</v>
          </cell>
        </row>
        <row r="3">
          <cell r="A3" t="str">
            <v>Adathordozó típusa</v>
          </cell>
          <cell r="B3" t="str">
            <v>(Több tétel)</v>
          </cell>
        </row>
        <row r="5">
          <cell r="A5" t="str">
            <v>Sorcímkék</v>
          </cell>
          <cell r="B5" t="str">
            <v>Mennyiség / Iktatószám</v>
          </cell>
        </row>
        <row r="6">
          <cell r="A6">
            <v>45658</v>
          </cell>
          <cell r="B6">
            <v>86</v>
          </cell>
        </row>
        <row r="7">
          <cell r="A7">
            <v>45659</v>
          </cell>
          <cell r="B7">
            <v>398</v>
          </cell>
        </row>
        <row r="8">
          <cell r="A8">
            <v>45660</v>
          </cell>
          <cell r="B8">
            <v>349</v>
          </cell>
        </row>
        <row r="9">
          <cell r="A9">
            <v>45661</v>
          </cell>
          <cell r="B9">
            <v>99</v>
          </cell>
        </row>
        <row r="10">
          <cell r="A10">
            <v>45662</v>
          </cell>
          <cell r="B10">
            <v>118</v>
          </cell>
        </row>
        <row r="11">
          <cell r="A11">
            <v>45663</v>
          </cell>
          <cell r="B11">
            <v>565</v>
          </cell>
        </row>
        <row r="12">
          <cell r="A12">
            <v>45664</v>
          </cell>
          <cell r="B12">
            <v>519</v>
          </cell>
        </row>
        <row r="13">
          <cell r="A13">
            <v>45665</v>
          </cell>
          <cell r="B13">
            <v>616</v>
          </cell>
        </row>
        <row r="14">
          <cell r="A14">
            <v>45666</v>
          </cell>
          <cell r="B14">
            <v>562</v>
          </cell>
        </row>
        <row r="15">
          <cell r="A15">
            <v>45667</v>
          </cell>
          <cell r="B15">
            <v>518</v>
          </cell>
        </row>
        <row r="16">
          <cell r="A16">
            <v>45668</v>
          </cell>
          <cell r="B16">
            <v>88</v>
          </cell>
        </row>
        <row r="17">
          <cell r="A17">
            <v>45669</v>
          </cell>
          <cell r="B17">
            <v>102</v>
          </cell>
        </row>
        <row r="18">
          <cell r="A18">
            <v>45670</v>
          </cell>
          <cell r="B18">
            <v>682</v>
          </cell>
        </row>
        <row r="19">
          <cell r="A19">
            <v>45671</v>
          </cell>
          <cell r="B19">
            <v>743</v>
          </cell>
        </row>
        <row r="20">
          <cell r="A20">
            <v>45672</v>
          </cell>
          <cell r="B20">
            <v>940</v>
          </cell>
        </row>
        <row r="21">
          <cell r="A21">
            <v>45673</v>
          </cell>
          <cell r="B21">
            <v>804</v>
          </cell>
        </row>
        <row r="22">
          <cell r="A22">
            <v>45674</v>
          </cell>
          <cell r="B22">
            <v>766</v>
          </cell>
        </row>
        <row r="23">
          <cell r="A23">
            <v>45675</v>
          </cell>
          <cell r="B23">
            <v>129</v>
          </cell>
        </row>
        <row r="24">
          <cell r="A24">
            <v>45676</v>
          </cell>
          <cell r="B24">
            <v>168</v>
          </cell>
        </row>
        <row r="25">
          <cell r="A25">
            <v>45677</v>
          </cell>
          <cell r="B25">
            <v>815</v>
          </cell>
        </row>
        <row r="26">
          <cell r="A26">
            <v>45678</v>
          </cell>
          <cell r="B26">
            <v>875</v>
          </cell>
        </row>
        <row r="27">
          <cell r="A27">
            <v>45679</v>
          </cell>
          <cell r="B27">
            <v>805</v>
          </cell>
        </row>
        <row r="28">
          <cell r="A28">
            <v>45680</v>
          </cell>
          <cell r="B28">
            <v>797</v>
          </cell>
        </row>
        <row r="29">
          <cell r="A29">
            <v>45681</v>
          </cell>
          <cell r="B29">
            <v>565</v>
          </cell>
        </row>
        <row r="30">
          <cell r="A30">
            <v>45682</v>
          </cell>
          <cell r="B30">
            <v>102</v>
          </cell>
        </row>
        <row r="31">
          <cell r="A31">
            <v>45683</v>
          </cell>
          <cell r="B31">
            <v>129</v>
          </cell>
        </row>
        <row r="32">
          <cell r="A32">
            <v>45684</v>
          </cell>
          <cell r="B32">
            <v>640</v>
          </cell>
        </row>
        <row r="33">
          <cell r="A33">
            <v>45685</v>
          </cell>
          <cell r="B33">
            <v>933</v>
          </cell>
        </row>
        <row r="34">
          <cell r="A34">
            <v>45686</v>
          </cell>
          <cell r="B34">
            <v>685</v>
          </cell>
        </row>
        <row r="35">
          <cell r="A35">
            <v>45687</v>
          </cell>
          <cell r="B35">
            <v>706</v>
          </cell>
        </row>
        <row r="36">
          <cell r="A36">
            <v>45688</v>
          </cell>
          <cell r="B36">
            <v>611</v>
          </cell>
        </row>
        <row r="37">
          <cell r="A37">
            <v>45689</v>
          </cell>
          <cell r="B37">
            <v>260</v>
          </cell>
        </row>
        <row r="38">
          <cell r="A38">
            <v>45690</v>
          </cell>
          <cell r="B38">
            <v>189</v>
          </cell>
        </row>
        <row r="39">
          <cell r="A39">
            <v>45691</v>
          </cell>
          <cell r="B39">
            <v>913</v>
          </cell>
        </row>
        <row r="40">
          <cell r="A40">
            <v>45692</v>
          </cell>
          <cell r="B40">
            <v>874</v>
          </cell>
        </row>
        <row r="41">
          <cell r="A41">
            <v>45693</v>
          </cell>
          <cell r="B41">
            <v>800</v>
          </cell>
        </row>
        <row r="42">
          <cell r="A42">
            <v>45694</v>
          </cell>
          <cell r="B42">
            <v>740</v>
          </cell>
        </row>
        <row r="43">
          <cell r="A43">
            <v>45695</v>
          </cell>
          <cell r="B43">
            <v>621</v>
          </cell>
        </row>
        <row r="44">
          <cell r="A44">
            <v>45696</v>
          </cell>
          <cell r="B44">
            <v>214</v>
          </cell>
        </row>
        <row r="45">
          <cell r="A45">
            <v>45697</v>
          </cell>
          <cell r="B45">
            <v>149</v>
          </cell>
        </row>
        <row r="46">
          <cell r="A46">
            <v>45698</v>
          </cell>
          <cell r="B46">
            <v>720</v>
          </cell>
        </row>
        <row r="47">
          <cell r="A47">
            <v>45699</v>
          </cell>
          <cell r="B47">
            <v>771</v>
          </cell>
        </row>
        <row r="48">
          <cell r="A48">
            <v>45700</v>
          </cell>
          <cell r="B48">
            <v>557</v>
          </cell>
        </row>
        <row r="49">
          <cell r="A49">
            <v>45701</v>
          </cell>
          <cell r="B49">
            <v>507</v>
          </cell>
        </row>
        <row r="50">
          <cell r="A50">
            <v>45702</v>
          </cell>
          <cell r="B50">
            <v>376</v>
          </cell>
        </row>
        <row r="51">
          <cell r="A51">
            <v>45703</v>
          </cell>
          <cell r="B51">
            <v>111</v>
          </cell>
        </row>
        <row r="52">
          <cell r="A52">
            <v>45704</v>
          </cell>
          <cell r="B52">
            <v>116</v>
          </cell>
        </row>
        <row r="53">
          <cell r="A53">
            <v>45705</v>
          </cell>
          <cell r="B53">
            <v>588</v>
          </cell>
        </row>
        <row r="54">
          <cell r="A54">
            <v>45706</v>
          </cell>
          <cell r="B54">
            <v>812</v>
          </cell>
        </row>
        <row r="55">
          <cell r="A55">
            <v>45707</v>
          </cell>
          <cell r="B55">
            <v>819</v>
          </cell>
        </row>
        <row r="56">
          <cell r="A56">
            <v>45708</v>
          </cell>
          <cell r="B56">
            <v>820</v>
          </cell>
        </row>
        <row r="57">
          <cell r="A57">
            <v>45709</v>
          </cell>
          <cell r="B57">
            <v>873</v>
          </cell>
        </row>
        <row r="58">
          <cell r="A58">
            <v>45710</v>
          </cell>
          <cell r="B58">
            <v>230</v>
          </cell>
        </row>
        <row r="59">
          <cell r="A59">
            <v>45711</v>
          </cell>
          <cell r="B59">
            <v>153</v>
          </cell>
        </row>
        <row r="60">
          <cell r="A60">
            <v>45712</v>
          </cell>
          <cell r="B60">
            <v>924</v>
          </cell>
        </row>
        <row r="61">
          <cell r="A61">
            <v>45713</v>
          </cell>
          <cell r="B61">
            <v>837</v>
          </cell>
        </row>
        <row r="62">
          <cell r="A62">
            <v>45714</v>
          </cell>
          <cell r="B62">
            <v>770</v>
          </cell>
        </row>
        <row r="63">
          <cell r="A63">
            <v>45715</v>
          </cell>
          <cell r="B63">
            <v>729</v>
          </cell>
        </row>
        <row r="64">
          <cell r="A64">
            <v>45716</v>
          </cell>
          <cell r="B64">
            <v>598</v>
          </cell>
        </row>
        <row r="65">
          <cell r="A65">
            <v>45717</v>
          </cell>
          <cell r="B65">
            <v>132</v>
          </cell>
        </row>
        <row r="66">
          <cell r="A66">
            <v>45718</v>
          </cell>
          <cell r="B66">
            <v>151</v>
          </cell>
        </row>
        <row r="67">
          <cell r="A67">
            <v>45719</v>
          </cell>
          <cell r="B67">
            <v>697</v>
          </cell>
        </row>
        <row r="68">
          <cell r="A68">
            <v>45720</v>
          </cell>
          <cell r="B68">
            <v>706</v>
          </cell>
        </row>
        <row r="69">
          <cell r="A69">
            <v>45721</v>
          </cell>
          <cell r="B69">
            <v>640</v>
          </cell>
        </row>
        <row r="70">
          <cell r="A70">
            <v>45722</v>
          </cell>
          <cell r="B70">
            <v>699</v>
          </cell>
        </row>
        <row r="71">
          <cell r="A71">
            <v>45723</v>
          </cell>
          <cell r="B71">
            <v>530</v>
          </cell>
        </row>
        <row r="72">
          <cell r="A72">
            <v>45724</v>
          </cell>
          <cell r="B72">
            <v>93</v>
          </cell>
        </row>
        <row r="73">
          <cell r="A73">
            <v>45725</v>
          </cell>
          <cell r="B73">
            <v>123</v>
          </cell>
        </row>
        <row r="74">
          <cell r="A74">
            <v>45726</v>
          </cell>
          <cell r="B74">
            <v>574</v>
          </cell>
        </row>
        <row r="75">
          <cell r="A75">
            <v>45727</v>
          </cell>
          <cell r="B75">
            <v>703</v>
          </cell>
        </row>
        <row r="76">
          <cell r="A76">
            <v>45728</v>
          </cell>
          <cell r="B76">
            <v>446</v>
          </cell>
        </row>
        <row r="77">
          <cell r="A77">
            <v>45729</v>
          </cell>
          <cell r="B77">
            <v>493</v>
          </cell>
        </row>
        <row r="78">
          <cell r="A78">
            <v>45730</v>
          </cell>
          <cell r="B78">
            <v>413</v>
          </cell>
        </row>
        <row r="79">
          <cell r="A79">
            <v>45731</v>
          </cell>
          <cell r="B79">
            <v>83</v>
          </cell>
        </row>
        <row r="80">
          <cell r="A80">
            <v>45732</v>
          </cell>
          <cell r="B80">
            <v>89</v>
          </cell>
        </row>
        <row r="81">
          <cell r="A81">
            <v>45733</v>
          </cell>
          <cell r="B81">
            <v>743</v>
          </cell>
        </row>
        <row r="82">
          <cell r="A82">
            <v>45734</v>
          </cell>
          <cell r="B82">
            <v>940</v>
          </cell>
        </row>
        <row r="83">
          <cell r="A83">
            <v>45735</v>
          </cell>
          <cell r="B83">
            <v>775</v>
          </cell>
        </row>
        <row r="84">
          <cell r="A84">
            <v>45736</v>
          </cell>
          <cell r="B84">
            <v>786</v>
          </cell>
        </row>
        <row r="85">
          <cell r="A85">
            <v>45737</v>
          </cell>
          <cell r="B85">
            <v>669</v>
          </cell>
        </row>
        <row r="86">
          <cell r="A86">
            <v>45738</v>
          </cell>
          <cell r="B86">
            <v>141</v>
          </cell>
        </row>
        <row r="87">
          <cell r="A87">
            <v>45739</v>
          </cell>
          <cell r="B87">
            <v>167</v>
          </cell>
        </row>
        <row r="88">
          <cell r="A88">
            <v>45740</v>
          </cell>
          <cell r="B88">
            <v>759</v>
          </cell>
        </row>
        <row r="89">
          <cell r="A89">
            <v>45741</v>
          </cell>
          <cell r="B89">
            <v>901</v>
          </cell>
        </row>
        <row r="90">
          <cell r="A90">
            <v>45742</v>
          </cell>
          <cell r="B90">
            <v>815</v>
          </cell>
        </row>
        <row r="91">
          <cell r="A91">
            <v>45743</v>
          </cell>
          <cell r="B91">
            <v>828</v>
          </cell>
        </row>
        <row r="92">
          <cell r="A92">
            <v>45744</v>
          </cell>
          <cell r="B92">
            <v>649</v>
          </cell>
        </row>
        <row r="93">
          <cell r="A93">
            <v>45745</v>
          </cell>
          <cell r="B93">
            <v>125</v>
          </cell>
        </row>
        <row r="94">
          <cell r="A94">
            <v>45746</v>
          </cell>
          <cell r="B94">
            <v>127</v>
          </cell>
        </row>
        <row r="95">
          <cell r="A95">
            <v>45747</v>
          </cell>
          <cell r="B95">
            <v>707</v>
          </cell>
        </row>
        <row r="96">
          <cell r="A96">
            <v>45748</v>
          </cell>
          <cell r="B96">
            <v>696</v>
          </cell>
        </row>
        <row r="97">
          <cell r="A97">
            <v>45749</v>
          </cell>
          <cell r="B97">
            <v>620</v>
          </cell>
        </row>
        <row r="98">
          <cell r="A98">
            <v>45750</v>
          </cell>
          <cell r="B98">
            <v>518</v>
          </cell>
        </row>
        <row r="99">
          <cell r="A99">
            <v>45751</v>
          </cell>
          <cell r="B99">
            <v>463</v>
          </cell>
        </row>
        <row r="100">
          <cell r="A100">
            <v>45752</v>
          </cell>
          <cell r="B100">
            <v>86</v>
          </cell>
        </row>
        <row r="101">
          <cell r="A101">
            <v>45753</v>
          </cell>
          <cell r="B101">
            <v>131</v>
          </cell>
        </row>
        <row r="102">
          <cell r="A102">
            <v>45754</v>
          </cell>
          <cell r="B102">
            <v>885</v>
          </cell>
        </row>
        <row r="103">
          <cell r="A103">
            <v>45755</v>
          </cell>
          <cell r="B103">
            <v>641</v>
          </cell>
        </row>
        <row r="104">
          <cell r="A104">
            <v>45756</v>
          </cell>
          <cell r="B104">
            <v>715</v>
          </cell>
        </row>
        <row r="105">
          <cell r="A105">
            <v>45757</v>
          </cell>
          <cell r="B105">
            <v>776</v>
          </cell>
        </row>
        <row r="106">
          <cell r="A106">
            <v>45758</v>
          </cell>
          <cell r="B106">
            <v>699</v>
          </cell>
        </row>
        <row r="107">
          <cell r="A107">
            <v>45759</v>
          </cell>
          <cell r="B107">
            <v>140</v>
          </cell>
        </row>
        <row r="108">
          <cell r="A108">
            <v>45760</v>
          </cell>
          <cell r="B108">
            <v>160</v>
          </cell>
        </row>
        <row r="109">
          <cell r="A109">
            <v>45761</v>
          </cell>
          <cell r="B109">
            <v>748</v>
          </cell>
        </row>
        <row r="110">
          <cell r="A110">
            <v>45762</v>
          </cell>
          <cell r="B110">
            <v>718</v>
          </cell>
        </row>
        <row r="111">
          <cell r="A111">
            <v>45763</v>
          </cell>
          <cell r="B111">
            <v>665</v>
          </cell>
        </row>
        <row r="112">
          <cell r="A112">
            <v>45764</v>
          </cell>
          <cell r="B112">
            <v>564</v>
          </cell>
        </row>
        <row r="113">
          <cell r="A113">
            <v>45765</v>
          </cell>
          <cell r="B113">
            <v>118</v>
          </cell>
        </row>
        <row r="114">
          <cell r="A114">
            <v>45766</v>
          </cell>
          <cell r="B114">
            <v>59</v>
          </cell>
        </row>
        <row r="115">
          <cell r="A115">
            <v>45767</v>
          </cell>
          <cell r="B115">
            <v>58</v>
          </cell>
        </row>
        <row r="116">
          <cell r="A116">
            <v>45768</v>
          </cell>
          <cell r="B116">
            <v>102</v>
          </cell>
        </row>
        <row r="117">
          <cell r="A117">
            <v>45769</v>
          </cell>
          <cell r="B117">
            <v>475</v>
          </cell>
        </row>
        <row r="118">
          <cell r="A118">
            <v>45770</v>
          </cell>
          <cell r="B118">
            <v>546</v>
          </cell>
        </row>
        <row r="119">
          <cell r="A119">
            <v>45771</v>
          </cell>
          <cell r="B119">
            <v>445</v>
          </cell>
        </row>
        <row r="120">
          <cell r="A120">
            <v>45772</v>
          </cell>
          <cell r="B120">
            <v>377</v>
          </cell>
        </row>
        <row r="121">
          <cell r="A121">
            <v>45773</v>
          </cell>
          <cell r="B121">
            <v>99</v>
          </cell>
        </row>
        <row r="122">
          <cell r="A122">
            <v>45774</v>
          </cell>
          <cell r="B122">
            <v>89</v>
          </cell>
        </row>
        <row r="123">
          <cell r="A123">
            <v>45775</v>
          </cell>
          <cell r="B123">
            <v>436</v>
          </cell>
        </row>
        <row r="124">
          <cell r="A124">
            <v>45776</v>
          </cell>
          <cell r="B124">
            <v>684</v>
          </cell>
        </row>
        <row r="125">
          <cell r="A125">
            <v>45777</v>
          </cell>
          <cell r="B125">
            <v>524</v>
          </cell>
        </row>
        <row r="126">
          <cell r="A126">
            <v>45778</v>
          </cell>
          <cell r="B126">
            <v>123</v>
          </cell>
        </row>
        <row r="127">
          <cell r="A127">
            <v>45779</v>
          </cell>
          <cell r="B127">
            <v>140</v>
          </cell>
        </row>
        <row r="128">
          <cell r="A128">
            <v>45780</v>
          </cell>
          <cell r="B128">
            <v>78</v>
          </cell>
        </row>
        <row r="129">
          <cell r="A129">
            <v>45781</v>
          </cell>
          <cell r="B129">
            <v>90</v>
          </cell>
        </row>
        <row r="130">
          <cell r="A130">
            <v>45782</v>
          </cell>
          <cell r="B130">
            <v>807</v>
          </cell>
        </row>
        <row r="131">
          <cell r="A131">
            <v>45783</v>
          </cell>
          <cell r="B131">
            <v>866</v>
          </cell>
        </row>
        <row r="132">
          <cell r="A132">
            <v>45784</v>
          </cell>
          <cell r="B132">
            <v>802</v>
          </cell>
        </row>
        <row r="133">
          <cell r="A133">
            <v>45785</v>
          </cell>
          <cell r="B133">
            <v>607</v>
          </cell>
        </row>
        <row r="134">
          <cell r="A134">
            <v>45786</v>
          </cell>
          <cell r="B134">
            <v>507</v>
          </cell>
        </row>
        <row r="135">
          <cell r="A135">
            <v>45787</v>
          </cell>
          <cell r="B135">
            <v>117</v>
          </cell>
        </row>
        <row r="136">
          <cell r="A136">
            <v>45788</v>
          </cell>
          <cell r="B136">
            <v>153</v>
          </cell>
        </row>
        <row r="137">
          <cell r="A137">
            <v>45789</v>
          </cell>
          <cell r="B137">
            <v>731</v>
          </cell>
        </row>
        <row r="138">
          <cell r="A138">
            <v>45790</v>
          </cell>
          <cell r="B138">
            <v>658</v>
          </cell>
        </row>
        <row r="139">
          <cell r="A139">
            <v>45791</v>
          </cell>
          <cell r="B139">
            <v>685</v>
          </cell>
        </row>
        <row r="140">
          <cell r="A140">
            <v>45792</v>
          </cell>
          <cell r="B140">
            <v>671</v>
          </cell>
        </row>
        <row r="141">
          <cell r="A141">
            <v>45793</v>
          </cell>
          <cell r="B141">
            <v>677</v>
          </cell>
        </row>
        <row r="142">
          <cell r="A142">
            <v>45794</v>
          </cell>
          <cell r="B142">
            <v>407</v>
          </cell>
        </row>
        <row r="143">
          <cell r="A143">
            <v>45795</v>
          </cell>
          <cell r="B143">
            <v>118</v>
          </cell>
        </row>
        <row r="144">
          <cell r="A144">
            <v>45796</v>
          </cell>
          <cell r="B144">
            <v>788</v>
          </cell>
        </row>
        <row r="145">
          <cell r="A145">
            <v>45797</v>
          </cell>
          <cell r="B145">
            <v>833</v>
          </cell>
        </row>
        <row r="146">
          <cell r="A146">
            <v>45798</v>
          </cell>
          <cell r="B146">
            <v>830</v>
          </cell>
        </row>
        <row r="147">
          <cell r="A147">
            <v>45799</v>
          </cell>
          <cell r="B147">
            <v>755</v>
          </cell>
        </row>
        <row r="148">
          <cell r="A148">
            <v>45800</v>
          </cell>
          <cell r="B148">
            <v>701</v>
          </cell>
        </row>
        <row r="149">
          <cell r="A149">
            <v>45801</v>
          </cell>
          <cell r="B149">
            <v>136</v>
          </cell>
        </row>
        <row r="150">
          <cell r="A150">
            <v>45802</v>
          </cell>
          <cell r="B150">
            <v>138</v>
          </cell>
        </row>
        <row r="151">
          <cell r="A151">
            <v>45803</v>
          </cell>
          <cell r="B151">
            <v>853</v>
          </cell>
        </row>
        <row r="152">
          <cell r="A152">
            <v>45804</v>
          </cell>
          <cell r="B152">
            <v>686</v>
          </cell>
        </row>
        <row r="153">
          <cell r="A153">
            <v>45805</v>
          </cell>
          <cell r="B153">
            <v>695</v>
          </cell>
        </row>
        <row r="154">
          <cell r="A154">
            <v>45806</v>
          </cell>
          <cell r="B154">
            <v>681</v>
          </cell>
        </row>
        <row r="155">
          <cell r="A155">
            <v>45807</v>
          </cell>
          <cell r="B155">
            <v>565</v>
          </cell>
        </row>
        <row r="156">
          <cell r="A156">
            <v>45808</v>
          </cell>
          <cell r="B156">
            <v>89</v>
          </cell>
        </row>
        <row r="157">
          <cell r="A157">
            <v>45809</v>
          </cell>
          <cell r="B157">
            <v>107</v>
          </cell>
        </row>
        <row r="158">
          <cell r="A158">
            <v>45810</v>
          </cell>
          <cell r="B158">
            <v>629</v>
          </cell>
        </row>
        <row r="159">
          <cell r="A159">
            <v>45811</v>
          </cell>
          <cell r="B159">
            <v>649</v>
          </cell>
        </row>
        <row r="160">
          <cell r="A160">
            <v>45812</v>
          </cell>
          <cell r="B160">
            <v>635</v>
          </cell>
        </row>
        <row r="161">
          <cell r="A161">
            <v>45813</v>
          </cell>
          <cell r="B161">
            <v>534</v>
          </cell>
        </row>
        <row r="162">
          <cell r="A162">
            <v>45814</v>
          </cell>
          <cell r="B162">
            <v>472</v>
          </cell>
        </row>
        <row r="163">
          <cell r="A163">
            <v>45815</v>
          </cell>
          <cell r="B163">
            <v>91</v>
          </cell>
        </row>
        <row r="164">
          <cell r="A164">
            <v>45816</v>
          </cell>
          <cell r="B164">
            <v>76</v>
          </cell>
        </row>
        <row r="165">
          <cell r="A165">
            <v>45817</v>
          </cell>
          <cell r="B165">
            <v>132</v>
          </cell>
        </row>
        <row r="166">
          <cell r="A166">
            <v>45818</v>
          </cell>
          <cell r="B166">
            <v>580</v>
          </cell>
        </row>
        <row r="167">
          <cell r="A167">
            <v>45819</v>
          </cell>
          <cell r="B167">
            <v>718</v>
          </cell>
        </row>
        <row r="168">
          <cell r="A168">
            <v>45820</v>
          </cell>
          <cell r="B168">
            <v>634</v>
          </cell>
        </row>
        <row r="169">
          <cell r="A169">
            <v>45821</v>
          </cell>
          <cell r="B169">
            <v>631</v>
          </cell>
        </row>
        <row r="170">
          <cell r="A170">
            <v>45822</v>
          </cell>
          <cell r="B170">
            <v>113</v>
          </cell>
        </row>
        <row r="171">
          <cell r="A171">
            <v>45823</v>
          </cell>
          <cell r="B171">
            <v>120</v>
          </cell>
        </row>
        <row r="172">
          <cell r="A172">
            <v>45824</v>
          </cell>
          <cell r="B172">
            <v>755</v>
          </cell>
        </row>
        <row r="173">
          <cell r="A173">
            <v>45825</v>
          </cell>
          <cell r="B173">
            <v>691</v>
          </cell>
        </row>
        <row r="174">
          <cell r="A174">
            <v>45826</v>
          </cell>
          <cell r="B174">
            <v>705</v>
          </cell>
        </row>
        <row r="175">
          <cell r="A175">
            <v>45827</v>
          </cell>
          <cell r="B175">
            <v>603</v>
          </cell>
        </row>
        <row r="176">
          <cell r="A176">
            <v>45828</v>
          </cell>
          <cell r="B176">
            <v>522</v>
          </cell>
        </row>
        <row r="177">
          <cell r="A177">
            <v>45829</v>
          </cell>
          <cell r="B177">
            <v>98</v>
          </cell>
        </row>
        <row r="178">
          <cell r="A178">
            <v>45830</v>
          </cell>
          <cell r="B178">
            <v>88</v>
          </cell>
        </row>
        <row r="179">
          <cell r="A179">
            <v>45831</v>
          </cell>
          <cell r="B179">
            <v>501</v>
          </cell>
        </row>
        <row r="180">
          <cell r="A180">
            <v>45832</v>
          </cell>
          <cell r="B180">
            <v>564</v>
          </cell>
        </row>
        <row r="181">
          <cell r="A181">
            <v>45833</v>
          </cell>
          <cell r="B181">
            <v>567</v>
          </cell>
        </row>
        <row r="182">
          <cell r="A182">
            <v>45834</v>
          </cell>
          <cell r="B182">
            <v>551</v>
          </cell>
        </row>
        <row r="183">
          <cell r="A183">
            <v>45835</v>
          </cell>
          <cell r="B183">
            <v>479</v>
          </cell>
        </row>
        <row r="184">
          <cell r="A184">
            <v>45836</v>
          </cell>
          <cell r="B184">
            <v>74</v>
          </cell>
        </row>
        <row r="185">
          <cell r="A185">
            <v>45837</v>
          </cell>
          <cell r="B185">
            <v>111</v>
          </cell>
        </row>
        <row r="186">
          <cell r="A186">
            <v>45838</v>
          </cell>
          <cell r="B186">
            <v>548</v>
          </cell>
        </row>
        <row r="187">
          <cell r="A187">
            <v>45839</v>
          </cell>
          <cell r="B187">
            <v>615</v>
          </cell>
        </row>
        <row r="188">
          <cell r="A188">
            <v>45840</v>
          </cell>
          <cell r="B188">
            <v>605</v>
          </cell>
        </row>
        <row r="189">
          <cell r="A189">
            <v>45841</v>
          </cell>
          <cell r="B189">
            <v>573</v>
          </cell>
        </row>
        <row r="190">
          <cell r="A190">
            <v>45842</v>
          </cell>
          <cell r="B190">
            <v>521</v>
          </cell>
        </row>
        <row r="191">
          <cell r="A191">
            <v>45843</v>
          </cell>
          <cell r="B191">
            <v>139</v>
          </cell>
        </row>
        <row r="192">
          <cell r="A192">
            <v>45844</v>
          </cell>
          <cell r="B192">
            <v>123</v>
          </cell>
        </row>
        <row r="193">
          <cell r="A193">
            <v>45845</v>
          </cell>
          <cell r="B193">
            <v>659</v>
          </cell>
        </row>
        <row r="194">
          <cell r="A194">
            <v>45846</v>
          </cell>
          <cell r="B194">
            <v>747</v>
          </cell>
        </row>
        <row r="195">
          <cell r="A195">
            <v>45847</v>
          </cell>
          <cell r="B195">
            <v>724</v>
          </cell>
        </row>
        <row r="196">
          <cell r="A196">
            <v>45848</v>
          </cell>
          <cell r="B196">
            <v>576</v>
          </cell>
        </row>
        <row r="197">
          <cell r="A197">
            <v>45849</v>
          </cell>
          <cell r="B197">
            <v>498</v>
          </cell>
        </row>
        <row r="198">
          <cell r="A198">
            <v>45850</v>
          </cell>
          <cell r="B198">
            <v>108</v>
          </cell>
        </row>
        <row r="199">
          <cell r="A199">
            <v>45851</v>
          </cell>
          <cell r="B199">
            <v>144</v>
          </cell>
        </row>
        <row r="200">
          <cell r="A200">
            <v>45852</v>
          </cell>
          <cell r="B200">
            <v>594</v>
          </cell>
        </row>
        <row r="201">
          <cell r="A201">
            <v>45853</v>
          </cell>
          <cell r="B201">
            <v>626</v>
          </cell>
        </row>
        <row r="202">
          <cell r="A202">
            <v>45854</v>
          </cell>
          <cell r="B202">
            <v>544</v>
          </cell>
        </row>
        <row r="203">
          <cell r="A203">
            <v>45855</v>
          </cell>
          <cell r="B203">
            <v>418</v>
          </cell>
        </row>
        <row r="204">
          <cell r="A204">
            <v>45856</v>
          </cell>
          <cell r="B204">
            <v>423</v>
          </cell>
        </row>
        <row r="205">
          <cell r="A205">
            <v>45857</v>
          </cell>
          <cell r="B205">
            <v>69</v>
          </cell>
        </row>
        <row r="206">
          <cell r="A206">
            <v>45858</v>
          </cell>
          <cell r="B206">
            <v>93</v>
          </cell>
        </row>
        <row r="207">
          <cell r="A207">
            <v>45859</v>
          </cell>
          <cell r="B207">
            <v>502</v>
          </cell>
        </row>
        <row r="208">
          <cell r="A208">
            <v>45860</v>
          </cell>
          <cell r="B208">
            <v>532</v>
          </cell>
        </row>
        <row r="209">
          <cell r="A209">
            <v>45861</v>
          </cell>
          <cell r="B209">
            <v>572</v>
          </cell>
        </row>
        <row r="210">
          <cell r="A210">
            <v>45862</v>
          </cell>
          <cell r="B210">
            <v>503</v>
          </cell>
        </row>
        <row r="211">
          <cell r="A211">
            <v>45863</v>
          </cell>
          <cell r="B211">
            <v>488</v>
          </cell>
        </row>
        <row r="212">
          <cell r="A212">
            <v>45864</v>
          </cell>
          <cell r="B212">
            <v>86</v>
          </cell>
        </row>
        <row r="213">
          <cell r="A213">
            <v>45865</v>
          </cell>
          <cell r="B213">
            <v>114</v>
          </cell>
        </row>
        <row r="214">
          <cell r="A214">
            <v>45866</v>
          </cell>
          <cell r="B214">
            <v>584</v>
          </cell>
        </row>
        <row r="215">
          <cell r="A215">
            <v>45867</v>
          </cell>
          <cell r="B215">
            <v>469</v>
          </cell>
        </row>
        <row r="216">
          <cell r="A216">
            <v>45868</v>
          </cell>
          <cell r="B216">
            <v>545</v>
          </cell>
        </row>
        <row r="217">
          <cell r="A217">
            <v>45869</v>
          </cell>
          <cell r="B217">
            <v>588</v>
          </cell>
        </row>
        <row r="218">
          <cell r="A218">
            <v>45870</v>
          </cell>
          <cell r="B218">
            <v>581</v>
          </cell>
        </row>
        <row r="219">
          <cell r="A219">
            <v>45871</v>
          </cell>
          <cell r="B219">
            <v>121</v>
          </cell>
        </row>
        <row r="220">
          <cell r="A220">
            <v>45872</v>
          </cell>
          <cell r="B220">
            <v>140</v>
          </cell>
        </row>
        <row r="221">
          <cell r="A221">
            <v>45873</v>
          </cell>
          <cell r="B221">
            <v>827</v>
          </cell>
        </row>
        <row r="222">
          <cell r="A222">
            <v>45874</v>
          </cell>
          <cell r="B222">
            <v>705</v>
          </cell>
        </row>
        <row r="223">
          <cell r="A223">
            <v>45875</v>
          </cell>
          <cell r="B223">
            <v>678</v>
          </cell>
        </row>
        <row r="224">
          <cell r="A224">
            <v>45876</v>
          </cell>
          <cell r="B224">
            <v>623</v>
          </cell>
        </row>
        <row r="225">
          <cell r="A225">
            <v>45877</v>
          </cell>
          <cell r="B225">
            <v>505</v>
          </cell>
        </row>
        <row r="226">
          <cell r="A226">
            <v>45878</v>
          </cell>
          <cell r="B226">
            <v>129</v>
          </cell>
        </row>
        <row r="227">
          <cell r="A227">
            <v>45879</v>
          </cell>
          <cell r="B227">
            <v>126</v>
          </cell>
        </row>
        <row r="228">
          <cell r="A228">
            <v>45880</v>
          </cell>
          <cell r="B228">
            <v>620</v>
          </cell>
        </row>
        <row r="229">
          <cell r="A229">
            <v>45881</v>
          </cell>
          <cell r="B229">
            <v>585</v>
          </cell>
        </row>
        <row r="230">
          <cell r="A230">
            <v>45882</v>
          </cell>
          <cell r="B230">
            <v>691</v>
          </cell>
        </row>
        <row r="231">
          <cell r="A231">
            <v>45883</v>
          </cell>
          <cell r="B231">
            <v>652</v>
          </cell>
        </row>
        <row r="232">
          <cell r="A232">
            <v>45884</v>
          </cell>
          <cell r="B232">
            <v>542</v>
          </cell>
        </row>
        <row r="233">
          <cell r="A233">
            <v>45885</v>
          </cell>
          <cell r="B233">
            <v>113</v>
          </cell>
        </row>
        <row r="234">
          <cell r="A234">
            <v>45886</v>
          </cell>
          <cell r="B234">
            <v>120</v>
          </cell>
        </row>
        <row r="235">
          <cell r="A235">
            <v>45887</v>
          </cell>
          <cell r="B235">
            <v>580</v>
          </cell>
        </row>
        <row r="236">
          <cell r="A236">
            <v>45888</v>
          </cell>
          <cell r="B236">
            <v>511</v>
          </cell>
        </row>
        <row r="237">
          <cell r="A237">
            <v>45889</v>
          </cell>
          <cell r="B237">
            <v>194</v>
          </cell>
        </row>
        <row r="238">
          <cell r="A238">
            <v>45890</v>
          </cell>
          <cell r="B238">
            <v>478</v>
          </cell>
        </row>
        <row r="239">
          <cell r="A239">
            <v>45891</v>
          </cell>
          <cell r="B239">
            <v>401</v>
          </cell>
        </row>
        <row r="240">
          <cell r="A240">
            <v>45892</v>
          </cell>
          <cell r="B240">
            <v>106</v>
          </cell>
        </row>
        <row r="241">
          <cell r="A241">
            <v>45893</v>
          </cell>
          <cell r="B241">
            <v>97</v>
          </cell>
        </row>
        <row r="242">
          <cell r="A242">
            <v>45894</v>
          </cell>
          <cell r="B242">
            <v>501</v>
          </cell>
        </row>
        <row r="243">
          <cell r="A243">
            <v>45895</v>
          </cell>
          <cell r="B243">
            <v>529</v>
          </cell>
        </row>
        <row r="244">
          <cell r="A244">
            <v>45896</v>
          </cell>
          <cell r="B244">
            <v>517</v>
          </cell>
        </row>
        <row r="245">
          <cell r="A245">
            <v>45897</v>
          </cell>
          <cell r="B245">
            <v>614</v>
          </cell>
        </row>
        <row r="246">
          <cell r="A246">
            <v>45898</v>
          </cell>
          <cell r="B246">
            <v>571</v>
          </cell>
        </row>
        <row r="247">
          <cell r="A247">
            <v>45899</v>
          </cell>
          <cell r="B247">
            <v>122</v>
          </cell>
        </row>
        <row r="248">
          <cell r="A248">
            <v>45901</v>
          </cell>
          <cell r="B248">
            <v>714</v>
          </cell>
        </row>
        <row r="249">
          <cell r="A249">
            <v>45902</v>
          </cell>
          <cell r="B249">
            <v>634</v>
          </cell>
        </row>
        <row r="250">
          <cell r="A250">
            <v>45903</v>
          </cell>
          <cell r="B250">
            <v>592</v>
          </cell>
        </row>
        <row r="251">
          <cell r="A251">
            <v>45904</v>
          </cell>
          <cell r="B251">
            <v>551</v>
          </cell>
        </row>
        <row r="252">
          <cell r="A252">
            <v>45905</v>
          </cell>
          <cell r="B252">
            <v>470</v>
          </cell>
        </row>
        <row r="253">
          <cell r="A253">
            <v>45906</v>
          </cell>
          <cell r="B253">
            <v>108</v>
          </cell>
        </row>
        <row r="254">
          <cell r="A254">
            <v>45907</v>
          </cell>
          <cell r="B254">
            <v>101</v>
          </cell>
        </row>
        <row r="255">
          <cell r="A255">
            <v>45908</v>
          </cell>
          <cell r="B255">
            <v>568</v>
          </cell>
        </row>
        <row r="256">
          <cell r="A256">
            <v>45909</v>
          </cell>
          <cell r="B256">
            <v>547</v>
          </cell>
        </row>
        <row r="257">
          <cell r="A257">
            <v>45910</v>
          </cell>
          <cell r="B257">
            <v>502</v>
          </cell>
        </row>
        <row r="258">
          <cell r="A258">
            <v>45911</v>
          </cell>
          <cell r="B258">
            <v>450</v>
          </cell>
        </row>
        <row r="259">
          <cell r="A259">
            <v>45912</v>
          </cell>
          <cell r="B259">
            <v>379</v>
          </cell>
        </row>
        <row r="260">
          <cell r="A260">
            <v>45913</v>
          </cell>
          <cell r="B260">
            <v>77</v>
          </cell>
        </row>
        <row r="261">
          <cell r="A261">
            <v>45914</v>
          </cell>
          <cell r="B261">
            <v>106</v>
          </cell>
        </row>
        <row r="262">
          <cell r="A262">
            <v>45915</v>
          </cell>
          <cell r="B262">
            <v>491</v>
          </cell>
        </row>
        <row r="263">
          <cell r="A263">
            <v>45916</v>
          </cell>
          <cell r="B263">
            <v>576</v>
          </cell>
        </row>
        <row r="264">
          <cell r="A264">
            <v>45917</v>
          </cell>
          <cell r="B264">
            <v>664</v>
          </cell>
        </row>
        <row r="265">
          <cell r="A265">
            <v>45918</v>
          </cell>
          <cell r="B265">
            <v>451</v>
          </cell>
        </row>
        <row r="266">
          <cell r="A266">
            <v>45919</v>
          </cell>
          <cell r="B266">
            <v>529</v>
          </cell>
        </row>
        <row r="267">
          <cell r="A267">
            <v>45920</v>
          </cell>
          <cell r="B267">
            <v>72</v>
          </cell>
        </row>
        <row r="268">
          <cell r="A268">
            <v>45921</v>
          </cell>
          <cell r="B268">
            <v>106</v>
          </cell>
        </row>
        <row r="269">
          <cell r="A269">
            <v>45922</v>
          </cell>
          <cell r="B269">
            <v>587</v>
          </cell>
        </row>
        <row r="270">
          <cell r="A270">
            <v>45923</v>
          </cell>
          <cell r="B270">
            <v>522</v>
          </cell>
        </row>
        <row r="271">
          <cell r="A271">
            <v>45924</v>
          </cell>
          <cell r="B271">
            <v>627</v>
          </cell>
        </row>
        <row r="272">
          <cell r="A272">
            <v>45925</v>
          </cell>
          <cell r="B272">
            <v>638</v>
          </cell>
        </row>
        <row r="273">
          <cell r="A273">
            <v>45926</v>
          </cell>
          <cell r="B273">
            <v>576</v>
          </cell>
        </row>
        <row r="274">
          <cell r="A274">
            <v>45927</v>
          </cell>
          <cell r="B274">
            <v>77</v>
          </cell>
        </row>
        <row r="275">
          <cell r="A275">
            <v>45928</v>
          </cell>
          <cell r="B275">
            <v>120</v>
          </cell>
        </row>
        <row r="276">
          <cell r="A276">
            <v>45929</v>
          </cell>
          <cell r="B276">
            <v>747</v>
          </cell>
        </row>
        <row r="277">
          <cell r="A277">
            <v>45930</v>
          </cell>
          <cell r="B277">
            <v>802</v>
          </cell>
        </row>
        <row r="278">
          <cell r="A278">
            <v>45931</v>
          </cell>
          <cell r="B278">
            <v>553</v>
          </cell>
        </row>
        <row r="279">
          <cell r="A279">
            <v>45932</v>
          </cell>
          <cell r="B279">
            <v>572</v>
          </cell>
        </row>
        <row r="280">
          <cell r="A280">
            <v>45933</v>
          </cell>
          <cell r="B280">
            <v>498</v>
          </cell>
        </row>
        <row r="281">
          <cell r="A281">
            <v>45934</v>
          </cell>
          <cell r="B281">
            <v>132</v>
          </cell>
        </row>
        <row r="282">
          <cell r="A282">
            <v>45935</v>
          </cell>
          <cell r="B282">
            <v>153</v>
          </cell>
        </row>
        <row r="283">
          <cell r="A283">
            <v>45936</v>
          </cell>
          <cell r="B283">
            <v>629</v>
          </cell>
        </row>
        <row r="284">
          <cell r="A284">
            <v>45937</v>
          </cell>
          <cell r="B284">
            <v>538</v>
          </cell>
        </row>
        <row r="285">
          <cell r="A285">
            <v>45938</v>
          </cell>
          <cell r="B285">
            <v>576</v>
          </cell>
        </row>
        <row r="286">
          <cell r="A286">
            <v>45939</v>
          </cell>
          <cell r="B286">
            <v>433</v>
          </cell>
        </row>
        <row r="287">
          <cell r="A287">
            <v>45940</v>
          </cell>
          <cell r="B287">
            <v>409</v>
          </cell>
        </row>
        <row r="288">
          <cell r="A288">
            <v>45941</v>
          </cell>
          <cell r="B288">
            <v>77</v>
          </cell>
        </row>
        <row r="289">
          <cell r="A289">
            <v>45942</v>
          </cell>
          <cell r="B289">
            <v>102</v>
          </cell>
        </row>
        <row r="290">
          <cell r="A290">
            <v>45943</v>
          </cell>
          <cell r="B290">
            <v>492</v>
          </cell>
        </row>
        <row r="291">
          <cell r="A291">
            <v>45944</v>
          </cell>
          <cell r="B291">
            <v>567</v>
          </cell>
        </row>
        <row r="292">
          <cell r="A292">
            <v>45945</v>
          </cell>
          <cell r="B292">
            <v>603</v>
          </cell>
        </row>
        <row r="293">
          <cell r="A293">
            <v>45946</v>
          </cell>
          <cell r="B293">
            <v>556</v>
          </cell>
        </row>
        <row r="294">
          <cell r="A294">
            <v>45947</v>
          </cell>
          <cell r="B294">
            <v>464</v>
          </cell>
        </row>
        <row r="295">
          <cell r="A295">
            <v>45948</v>
          </cell>
          <cell r="B295">
            <v>240</v>
          </cell>
        </row>
        <row r="296">
          <cell r="A296">
            <v>45949</v>
          </cell>
          <cell r="B296">
            <v>155</v>
          </cell>
        </row>
        <row r="297">
          <cell r="A297">
            <v>45950</v>
          </cell>
          <cell r="B297">
            <v>567</v>
          </cell>
        </row>
        <row r="298">
          <cell r="A298">
            <v>45951</v>
          </cell>
          <cell r="B298">
            <v>479</v>
          </cell>
        </row>
        <row r="299">
          <cell r="A299">
            <v>45952</v>
          </cell>
          <cell r="B299">
            <v>383</v>
          </cell>
        </row>
        <row r="300">
          <cell r="A300">
            <v>45953</v>
          </cell>
          <cell r="B300">
            <v>134</v>
          </cell>
        </row>
        <row r="301">
          <cell r="A301">
            <v>45954</v>
          </cell>
          <cell r="B301">
            <v>136</v>
          </cell>
        </row>
        <row r="302">
          <cell r="A302">
            <v>45955</v>
          </cell>
          <cell r="B302">
            <v>73</v>
          </cell>
        </row>
        <row r="303">
          <cell r="A303">
            <v>45956</v>
          </cell>
          <cell r="B303">
            <v>108</v>
          </cell>
        </row>
        <row r="304">
          <cell r="A304">
            <v>45957</v>
          </cell>
          <cell r="B304">
            <v>532</v>
          </cell>
        </row>
        <row r="305">
          <cell r="A305">
            <v>45958</v>
          </cell>
          <cell r="B305">
            <v>396</v>
          </cell>
        </row>
        <row r="306">
          <cell r="A306">
            <v>45959</v>
          </cell>
          <cell r="B306">
            <v>399</v>
          </cell>
        </row>
        <row r="307">
          <cell r="A307">
            <v>45960</v>
          </cell>
          <cell r="B307">
            <v>308</v>
          </cell>
        </row>
        <row r="308">
          <cell r="A308">
            <v>45961</v>
          </cell>
          <cell r="B308">
            <v>393</v>
          </cell>
        </row>
        <row r="309">
          <cell r="A309">
            <v>45962</v>
          </cell>
          <cell r="B309">
            <v>91</v>
          </cell>
        </row>
        <row r="310">
          <cell r="A310">
            <v>45963</v>
          </cell>
          <cell r="B310">
            <v>97</v>
          </cell>
        </row>
        <row r="311">
          <cell r="A311">
            <v>45964</v>
          </cell>
          <cell r="B311">
            <v>466</v>
          </cell>
        </row>
        <row r="312">
          <cell r="A312">
            <v>45965</v>
          </cell>
          <cell r="B312">
            <v>502</v>
          </cell>
        </row>
        <row r="313">
          <cell r="A313">
            <v>45966</v>
          </cell>
          <cell r="B313">
            <v>498</v>
          </cell>
        </row>
        <row r="314">
          <cell r="A314">
            <v>45967</v>
          </cell>
          <cell r="B314">
            <v>551</v>
          </cell>
        </row>
        <row r="315">
          <cell r="A315">
            <v>45968</v>
          </cell>
          <cell r="B315">
            <v>479</v>
          </cell>
        </row>
        <row r="316">
          <cell r="A316">
            <v>45969</v>
          </cell>
          <cell r="B316">
            <v>113</v>
          </cell>
        </row>
        <row r="317">
          <cell r="A317">
            <v>45970</v>
          </cell>
          <cell r="B317">
            <v>131</v>
          </cell>
        </row>
        <row r="318">
          <cell r="A318">
            <v>45971</v>
          </cell>
          <cell r="B318">
            <v>689</v>
          </cell>
        </row>
        <row r="319">
          <cell r="A319">
            <v>45972</v>
          </cell>
          <cell r="B319">
            <v>559</v>
          </cell>
        </row>
        <row r="320">
          <cell r="A320">
            <v>45973</v>
          </cell>
          <cell r="B320">
            <v>503</v>
          </cell>
        </row>
        <row r="321">
          <cell r="A321">
            <v>45974</v>
          </cell>
          <cell r="B321">
            <v>461</v>
          </cell>
        </row>
        <row r="322">
          <cell r="A322">
            <v>45975</v>
          </cell>
          <cell r="B322">
            <v>425</v>
          </cell>
        </row>
        <row r="323">
          <cell r="A323">
            <v>45976</v>
          </cell>
          <cell r="B323">
            <v>91</v>
          </cell>
        </row>
        <row r="324">
          <cell r="A324">
            <v>45977</v>
          </cell>
          <cell r="B324">
            <v>106</v>
          </cell>
        </row>
        <row r="325">
          <cell r="A325">
            <v>45978</v>
          </cell>
          <cell r="B325">
            <v>510</v>
          </cell>
        </row>
        <row r="326">
          <cell r="A326">
            <v>45979</v>
          </cell>
          <cell r="B326">
            <v>428</v>
          </cell>
        </row>
        <row r="327">
          <cell r="A327">
            <v>45980</v>
          </cell>
          <cell r="B327">
            <v>435</v>
          </cell>
        </row>
        <row r="328">
          <cell r="A328">
            <v>45981</v>
          </cell>
          <cell r="B328">
            <v>383</v>
          </cell>
        </row>
        <row r="329">
          <cell r="A329">
            <v>45982</v>
          </cell>
          <cell r="B329">
            <v>326</v>
          </cell>
        </row>
        <row r="330">
          <cell r="A330">
            <v>45983</v>
          </cell>
          <cell r="B330">
            <v>63</v>
          </cell>
        </row>
        <row r="331">
          <cell r="A331">
            <v>45984</v>
          </cell>
          <cell r="B331">
            <v>82</v>
          </cell>
        </row>
        <row r="332">
          <cell r="A332">
            <v>45985</v>
          </cell>
          <cell r="B332">
            <v>375</v>
          </cell>
        </row>
        <row r="333">
          <cell r="A333">
            <v>45986</v>
          </cell>
          <cell r="B333">
            <v>509</v>
          </cell>
        </row>
        <row r="334">
          <cell r="A334">
            <v>45987</v>
          </cell>
          <cell r="B334">
            <v>549</v>
          </cell>
        </row>
        <row r="335">
          <cell r="A335">
            <v>45988</v>
          </cell>
          <cell r="B335">
            <v>579</v>
          </cell>
        </row>
        <row r="336">
          <cell r="A336">
            <v>45989</v>
          </cell>
          <cell r="B336">
            <v>482</v>
          </cell>
        </row>
        <row r="337">
          <cell r="A337">
            <v>45990</v>
          </cell>
          <cell r="B337">
            <v>112</v>
          </cell>
        </row>
        <row r="338">
          <cell r="A338">
            <v>45991</v>
          </cell>
          <cell r="B338">
            <v>129</v>
          </cell>
        </row>
        <row r="339">
          <cell r="A339">
            <v>45992</v>
          </cell>
          <cell r="B339">
            <v>609</v>
          </cell>
        </row>
        <row r="340">
          <cell r="A340">
            <v>45993</v>
          </cell>
          <cell r="B340">
            <v>660</v>
          </cell>
        </row>
        <row r="341">
          <cell r="A341">
            <v>45994</v>
          </cell>
          <cell r="B341">
            <v>625</v>
          </cell>
        </row>
        <row r="342">
          <cell r="A342">
            <v>45995</v>
          </cell>
          <cell r="B342">
            <v>604</v>
          </cell>
        </row>
        <row r="343">
          <cell r="A343">
            <v>45996</v>
          </cell>
          <cell r="B343">
            <v>406</v>
          </cell>
        </row>
        <row r="344">
          <cell r="A344">
            <v>45997</v>
          </cell>
          <cell r="B344">
            <v>88</v>
          </cell>
        </row>
        <row r="345">
          <cell r="A345">
            <v>45998</v>
          </cell>
          <cell r="B345">
            <v>135</v>
          </cell>
        </row>
        <row r="346">
          <cell r="A346">
            <v>45999</v>
          </cell>
          <cell r="B346">
            <v>566</v>
          </cell>
        </row>
        <row r="347">
          <cell r="A347">
            <v>46000</v>
          </cell>
          <cell r="B347">
            <v>448</v>
          </cell>
        </row>
        <row r="348">
          <cell r="A348">
            <v>46001</v>
          </cell>
          <cell r="B348">
            <v>451</v>
          </cell>
        </row>
        <row r="349">
          <cell r="A349">
            <v>46002</v>
          </cell>
          <cell r="B349">
            <v>429</v>
          </cell>
        </row>
        <row r="350">
          <cell r="A350">
            <v>46003</v>
          </cell>
          <cell r="B350">
            <v>311</v>
          </cell>
        </row>
        <row r="351">
          <cell r="A351">
            <v>46004</v>
          </cell>
          <cell r="B351">
            <v>163</v>
          </cell>
        </row>
        <row r="352">
          <cell r="A352">
            <v>46005</v>
          </cell>
          <cell r="B352">
            <v>100</v>
          </cell>
        </row>
        <row r="353">
          <cell r="A353">
            <v>46006</v>
          </cell>
          <cell r="B353">
            <v>515</v>
          </cell>
        </row>
        <row r="354">
          <cell r="A354">
            <v>46007</v>
          </cell>
          <cell r="B354">
            <v>460</v>
          </cell>
        </row>
        <row r="355">
          <cell r="A355">
            <v>46008</v>
          </cell>
          <cell r="B355">
            <v>473</v>
          </cell>
        </row>
        <row r="356">
          <cell r="A356">
            <v>46009</v>
          </cell>
          <cell r="B356">
            <v>478</v>
          </cell>
        </row>
        <row r="357">
          <cell r="A357">
            <v>46010</v>
          </cell>
          <cell r="B357">
            <v>446</v>
          </cell>
        </row>
        <row r="358">
          <cell r="A358">
            <v>46011</v>
          </cell>
          <cell r="B358">
            <v>101</v>
          </cell>
        </row>
        <row r="359">
          <cell r="A359">
            <v>46012</v>
          </cell>
          <cell r="B359">
            <v>89</v>
          </cell>
        </row>
        <row r="360">
          <cell r="A360">
            <v>46013</v>
          </cell>
          <cell r="B360">
            <v>371</v>
          </cell>
        </row>
        <row r="361">
          <cell r="A361">
            <v>46014</v>
          </cell>
          <cell r="B361">
            <v>300</v>
          </cell>
        </row>
        <row r="362">
          <cell r="A362">
            <v>46015</v>
          </cell>
          <cell r="B362">
            <v>62</v>
          </cell>
        </row>
        <row r="363">
          <cell r="A363">
            <v>46016</v>
          </cell>
          <cell r="B363">
            <v>42</v>
          </cell>
        </row>
        <row r="364">
          <cell r="A364">
            <v>46017</v>
          </cell>
          <cell r="B364">
            <v>68</v>
          </cell>
        </row>
        <row r="365">
          <cell r="A365">
            <v>46018</v>
          </cell>
          <cell r="B365">
            <v>81</v>
          </cell>
        </row>
        <row r="366">
          <cell r="A366">
            <v>46019</v>
          </cell>
          <cell r="B366">
            <v>79</v>
          </cell>
        </row>
        <row r="367">
          <cell r="A367">
            <v>46020</v>
          </cell>
          <cell r="B367">
            <v>336</v>
          </cell>
        </row>
        <row r="368">
          <cell r="A368">
            <v>46021</v>
          </cell>
          <cell r="B368">
            <v>261</v>
          </cell>
        </row>
        <row r="369">
          <cell r="A369">
            <v>46022</v>
          </cell>
          <cell r="B369">
            <v>146</v>
          </cell>
        </row>
        <row r="370">
          <cell r="A370">
            <v>46023</v>
          </cell>
          <cell r="B370">
            <v>49</v>
          </cell>
        </row>
        <row r="371">
          <cell r="A371">
            <v>46024</v>
          </cell>
          <cell r="B371">
            <v>142</v>
          </cell>
        </row>
        <row r="372">
          <cell r="A372">
            <v>46025</v>
          </cell>
          <cell r="B372">
            <v>111</v>
          </cell>
        </row>
        <row r="373">
          <cell r="A373">
            <v>46026</v>
          </cell>
          <cell r="B373">
            <v>114</v>
          </cell>
        </row>
        <row r="374">
          <cell r="A374">
            <v>46027</v>
          </cell>
          <cell r="B374">
            <v>530</v>
          </cell>
        </row>
        <row r="375">
          <cell r="A375">
            <v>46028</v>
          </cell>
          <cell r="B375">
            <v>501</v>
          </cell>
        </row>
        <row r="376">
          <cell r="A376">
            <v>46029</v>
          </cell>
          <cell r="B376">
            <v>437</v>
          </cell>
        </row>
        <row r="377">
          <cell r="A377">
            <v>46030</v>
          </cell>
          <cell r="B377">
            <v>471</v>
          </cell>
        </row>
        <row r="378">
          <cell r="A378">
            <v>46031</v>
          </cell>
          <cell r="B378">
            <v>384</v>
          </cell>
        </row>
        <row r="379">
          <cell r="A379">
            <v>46032</v>
          </cell>
          <cell r="B379">
            <v>182</v>
          </cell>
        </row>
        <row r="380">
          <cell r="A380">
            <v>46033</v>
          </cell>
          <cell r="B380">
            <v>98</v>
          </cell>
        </row>
        <row r="381">
          <cell r="A381">
            <v>46034</v>
          </cell>
          <cell r="B381">
            <v>471</v>
          </cell>
        </row>
        <row r="382">
          <cell r="A382">
            <v>46035</v>
          </cell>
          <cell r="B382">
            <v>427</v>
          </cell>
        </row>
        <row r="383">
          <cell r="A383">
            <v>46036</v>
          </cell>
          <cell r="B383">
            <v>456</v>
          </cell>
        </row>
        <row r="384">
          <cell r="A384">
            <v>46037</v>
          </cell>
          <cell r="B384">
            <v>435</v>
          </cell>
        </row>
        <row r="385">
          <cell r="A385">
            <v>46038</v>
          </cell>
          <cell r="B385">
            <v>329</v>
          </cell>
        </row>
        <row r="386">
          <cell r="A386">
            <v>46039</v>
          </cell>
          <cell r="B386">
            <v>82</v>
          </cell>
        </row>
        <row r="387">
          <cell r="A387">
            <v>46040</v>
          </cell>
          <cell r="B387">
            <v>85</v>
          </cell>
        </row>
        <row r="388">
          <cell r="A388">
            <v>46041</v>
          </cell>
          <cell r="B388">
            <v>448</v>
          </cell>
        </row>
        <row r="389">
          <cell r="A389">
            <v>46042</v>
          </cell>
          <cell r="B389">
            <v>451</v>
          </cell>
        </row>
        <row r="390">
          <cell r="A390">
            <v>46043</v>
          </cell>
          <cell r="B390">
            <v>417</v>
          </cell>
        </row>
        <row r="391">
          <cell r="A391">
            <v>46044</v>
          </cell>
          <cell r="B391">
            <v>404</v>
          </cell>
        </row>
        <row r="392">
          <cell r="A392">
            <v>46045</v>
          </cell>
          <cell r="B392">
            <v>345</v>
          </cell>
        </row>
        <row r="393">
          <cell r="A393">
            <v>46046</v>
          </cell>
          <cell r="B393">
            <v>78</v>
          </cell>
        </row>
        <row r="394">
          <cell r="A394">
            <v>46047</v>
          </cell>
          <cell r="B394">
            <v>97</v>
          </cell>
        </row>
        <row r="395">
          <cell r="A395">
            <v>46048</v>
          </cell>
          <cell r="B395">
            <v>472</v>
          </cell>
        </row>
        <row r="396">
          <cell r="A396">
            <v>46049</v>
          </cell>
          <cell r="B396">
            <v>449</v>
          </cell>
        </row>
        <row r="397">
          <cell r="A397">
            <v>46050</v>
          </cell>
          <cell r="B397">
            <v>417</v>
          </cell>
        </row>
        <row r="398">
          <cell r="A398">
            <v>46051</v>
          </cell>
          <cell r="B398">
            <v>403</v>
          </cell>
        </row>
        <row r="399">
          <cell r="A399">
            <v>46052</v>
          </cell>
          <cell r="B399">
            <v>488</v>
          </cell>
        </row>
        <row r="400">
          <cell r="A400">
            <v>46053</v>
          </cell>
          <cell r="B400">
            <v>126</v>
          </cell>
        </row>
        <row r="401">
          <cell r="A401" t="str">
            <v>Végösszeg</v>
          </cell>
          <cell r="B401">
            <v>172220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L425" sqref="L425"/>
    </sheetView>
  </sheetViews>
  <sheetFormatPr defaultRowHeight="15" x14ac:dyDescent="0.25"/>
  <cols>
    <col min="1" max="1" width="9.7109375" customWidth="1"/>
    <col min="2" max="2" width="16.5703125" customWidth="1"/>
    <col min="3" max="3" width="23.140625" customWidth="1"/>
    <col min="4" max="4" width="20.5703125" customWidth="1"/>
    <col min="5" max="5" width="32.85546875" customWidth="1"/>
    <col min="6" max="6" width="22.7109375" customWidth="1"/>
    <col min="7" max="7" width="20.7109375" customWidth="1"/>
    <col min="8" max="8" width="22.140625" bestFit="1" customWidth="1"/>
    <col min="9" max="9" width="26" bestFit="1" customWidth="1"/>
  </cols>
  <sheetData>
    <row r="1" spans="1:9" x14ac:dyDescent="0.25">
      <c r="A1" s="39" t="s">
        <v>0</v>
      </c>
      <c r="B1" s="40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5" t="s">
        <v>66</v>
      </c>
      <c r="I1" s="5" t="s">
        <v>67</v>
      </c>
    </row>
    <row r="2" spans="1:9" x14ac:dyDescent="0.25">
      <c r="A2">
        <v>1</v>
      </c>
      <c r="B2" s="41">
        <v>45658</v>
      </c>
      <c r="C2">
        <f>_xlfn.IFNA(VLOOKUP(B2,SZO!A:B,2,0),"")</f>
        <v>0</v>
      </c>
      <c r="D2">
        <f>VLOOKUP(B2,[1]Pivot!$A:$B,2,0)</f>
        <v>86</v>
      </c>
      <c r="E2" t="str">
        <f>_xlfn.IFNA(VLOOKUP(B2,Nyers!A:E,5,0),"")</f>
        <v/>
      </c>
      <c r="F2" t="str">
        <f>_xlfn.IFNA(VLOOKUP(B2,Nyers!A:F,6,0),"")</f>
        <v/>
      </c>
      <c r="G2" t="str">
        <f>_xlfn.IFNA(VLOOKUP(B2,Nyers!A:H,8,0),"")</f>
        <v/>
      </c>
      <c r="H2" t="str">
        <f>_xlfn.IFNA(VLOOKUP(B2,Nyers!A:D,4,0),"")</f>
        <v/>
      </c>
      <c r="I2" t="str">
        <f>_xlfn.IFNA(VLOOKUP(B2,Nyers!A:G,7,0),"")</f>
        <v/>
      </c>
    </row>
    <row r="3" spans="1:9" x14ac:dyDescent="0.25">
      <c r="A3">
        <v>1</v>
      </c>
      <c r="B3" s="41">
        <v>45659</v>
      </c>
      <c r="C3">
        <f>_xlfn.IFNA(VLOOKUP(B3,SZO!A:B,2,0),"")</f>
        <v>0</v>
      </c>
      <c r="D3">
        <f>VLOOKUP(B3,[1]Pivot!$A:$B,2,0)</f>
        <v>398</v>
      </c>
      <c r="E3">
        <f>_xlfn.IFNA(VLOOKUP(B3,Nyers!A:E,5,0),"")</f>
        <v>537</v>
      </c>
      <c r="F3">
        <f>_xlfn.IFNA(VLOOKUP(B3,Nyers!A:F,6,0),"")</f>
        <v>53</v>
      </c>
      <c r="G3">
        <f>_xlfn.IFNA(VLOOKUP(B3,Nyers!A:H,8,0),"")</f>
        <v>408</v>
      </c>
      <c r="H3">
        <f>_xlfn.IFNA(VLOOKUP(B3,Nyers!A:D,4,0),"")</f>
        <v>523</v>
      </c>
      <c r="I3">
        <f>_xlfn.IFNA(VLOOKUP(B3,Nyers!A:G,7,0),"")</f>
        <v>7775</v>
      </c>
    </row>
    <row r="4" spans="1:9" x14ac:dyDescent="0.25">
      <c r="A4">
        <v>2</v>
      </c>
      <c r="B4" s="41">
        <v>45660</v>
      </c>
      <c r="C4">
        <f>_xlfn.IFNA(VLOOKUP(B4,SZO!A:B,2,0),"")</f>
        <v>5</v>
      </c>
      <c r="D4">
        <f>VLOOKUP(B4,[1]Pivot!$A:$B,2,0)</f>
        <v>349</v>
      </c>
      <c r="E4">
        <f>_xlfn.IFNA(VLOOKUP(B4,Nyers!A:E,5,0),"")</f>
        <v>541</v>
      </c>
      <c r="F4">
        <f>_xlfn.IFNA(VLOOKUP(B4,Nyers!A:F,6,0),"")</f>
        <v>30</v>
      </c>
      <c r="G4">
        <f>_xlfn.IFNA(VLOOKUP(B4,Nyers!A:H,8,0),"")</f>
        <v>413</v>
      </c>
      <c r="H4">
        <f>_xlfn.IFNA(VLOOKUP(B4,Nyers!A:D,4,0),"")</f>
        <v>580</v>
      </c>
      <c r="I4">
        <f>_xlfn.IFNA(VLOOKUP(B4,Nyers!A:G,7,0),"")</f>
        <v>7970</v>
      </c>
    </row>
    <row r="5" spans="1:9" x14ac:dyDescent="0.25">
      <c r="A5">
        <v>2</v>
      </c>
      <c r="B5" s="41">
        <v>45661</v>
      </c>
      <c r="C5" t="str">
        <f>_xlfn.IFNA(VLOOKUP(B5,SZO!A:B,2,0),"")</f>
        <v/>
      </c>
      <c r="D5">
        <f>VLOOKUP(B5,[1]Pivot!$A:$B,2,0)</f>
        <v>99</v>
      </c>
      <c r="E5" t="str">
        <f>_xlfn.IFNA(VLOOKUP(B5,Nyers!A:E,5,0),"")</f>
        <v/>
      </c>
      <c r="F5" t="str">
        <f>_xlfn.IFNA(VLOOKUP(B5,Nyers!A:F,6,0),"")</f>
        <v/>
      </c>
      <c r="G5" t="str">
        <f>_xlfn.IFNA(VLOOKUP(B5,Nyers!A:H,8,0),"")</f>
        <v/>
      </c>
      <c r="H5" t="str">
        <f>_xlfn.IFNA(VLOOKUP(B5,Nyers!A:D,4,0),"")</f>
        <v/>
      </c>
      <c r="I5" t="str">
        <f>_xlfn.IFNA(VLOOKUP(B5,Nyers!A:G,7,0),"")</f>
        <v/>
      </c>
    </row>
    <row r="6" spans="1:9" x14ac:dyDescent="0.25">
      <c r="A6">
        <v>2</v>
      </c>
      <c r="B6" s="41">
        <v>45662</v>
      </c>
      <c r="C6" t="str">
        <f>_xlfn.IFNA(VLOOKUP(B6,SZO!A:B,2,0),"")</f>
        <v/>
      </c>
      <c r="D6">
        <f>VLOOKUP(B6,[1]Pivot!$A:$B,2,0)</f>
        <v>118</v>
      </c>
      <c r="E6" t="str">
        <f>_xlfn.IFNA(VLOOKUP(B6,Nyers!A:E,5,0),"")</f>
        <v/>
      </c>
      <c r="F6" t="str">
        <f>_xlfn.IFNA(VLOOKUP(B6,Nyers!A:F,6,0),"")</f>
        <v/>
      </c>
      <c r="G6" t="str">
        <f>_xlfn.IFNA(VLOOKUP(B6,Nyers!A:H,8,0),"")</f>
        <v/>
      </c>
      <c r="H6" t="str">
        <f>_xlfn.IFNA(VLOOKUP(B6,Nyers!A:D,4,0),"")</f>
        <v/>
      </c>
      <c r="I6" t="str">
        <f>_xlfn.IFNA(VLOOKUP(B6,Nyers!A:G,7,0),"")</f>
        <v/>
      </c>
    </row>
    <row r="7" spans="1:9" x14ac:dyDescent="0.25">
      <c r="A7">
        <v>2</v>
      </c>
      <c r="B7" s="41">
        <v>45663</v>
      </c>
      <c r="C7">
        <f>_xlfn.IFNA(VLOOKUP(B7,SZO!A:B,2,0),"")</f>
        <v>0</v>
      </c>
      <c r="D7">
        <f>VLOOKUP(B7,[1]Pivot!$A:$B,2,0)</f>
        <v>565</v>
      </c>
      <c r="E7">
        <f>_xlfn.IFNA(VLOOKUP(B7,Nyers!A:E,5,0),"")</f>
        <v>727</v>
      </c>
      <c r="F7">
        <f>_xlfn.IFNA(VLOOKUP(B7,Nyers!A:F,6,0),"")</f>
        <v>58</v>
      </c>
      <c r="G7">
        <f>_xlfn.IFNA(VLOOKUP(B7,Nyers!A:H,8,0),"")</f>
        <v>737</v>
      </c>
      <c r="H7">
        <f>_xlfn.IFNA(VLOOKUP(B7,Nyers!A:D,4,0),"")</f>
        <v>745</v>
      </c>
      <c r="I7">
        <f>_xlfn.IFNA(VLOOKUP(B7,Nyers!A:G,7,0),"")</f>
        <v>7705</v>
      </c>
    </row>
    <row r="8" spans="1:9" x14ac:dyDescent="0.25">
      <c r="A8">
        <v>2</v>
      </c>
      <c r="B8" s="41">
        <v>45664</v>
      </c>
      <c r="C8">
        <f>_xlfn.IFNA(VLOOKUP(B8,SZO!A:B,2,0),"")</f>
        <v>0</v>
      </c>
      <c r="D8">
        <f>VLOOKUP(B8,[1]Pivot!$A:$B,2,0)</f>
        <v>519</v>
      </c>
      <c r="E8">
        <f>_xlfn.IFNA(VLOOKUP(B8,Nyers!A:E,5,0),"")</f>
        <v>693</v>
      </c>
      <c r="F8">
        <f>_xlfn.IFNA(VLOOKUP(B8,Nyers!A:F,6,0),"")</f>
        <v>52</v>
      </c>
      <c r="G8">
        <f>_xlfn.IFNA(VLOOKUP(B8,Nyers!A:H,8,0),"")</f>
        <v>545</v>
      </c>
      <c r="H8">
        <f>_xlfn.IFNA(VLOOKUP(B8,Nyers!A:D,4,0),"")</f>
        <v>742</v>
      </c>
      <c r="I8">
        <f>_xlfn.IFNA(VLOOKUP(B8,Nyers!A:G,7,0),"")</f>
        <v>7392</v>
      </c>
    </row>
    <row r="9" spans="1:9" x14ac:dyDescent="0.25">
      <c r="A9">
        <v>3</v>
      </c>
      <c r="B9" s="41">
        <v>45665</v>
      </c>
      <c r="C9">
        <f>_xlfn.IFNA(VLOOKUP(B9,SZO!A:B,2,0),"")</f>
        <v>3550</v>
      </c>
      <c r="D9">
        <f>VLOOKUP(B9,[1]Pivot!$A:$B,2,0)</f>
        <v>616</v>
      </c>
      <c r="E9">
        <f>_xlfn.IFNA(VLOOKUP(B9,Nyers!A:E,5,0),"")</f>
        <v>647</v>
      </c>
      <c r="F9">
        <f>_xlfn.IFNA(VLOOKUP(B9,Nyers!A:F,6,0),"")</f>
        <v>68</v>
      </c>
      <c r="G9">
        <f>_xlfn.IFNA(VLOOKUP(B9,Nyers!A:H,8,0),"")</f>
        <v>559</v>
      </c>
      <c r="H9">
        <f>_xlfn.IFNA(VLOOKUP(B9,Nyers!A:D,4,0),"")</f>
        <v>756</v>
      </c>
      <c r="I9">
        <f>_xlfn.IFNA(VLOOKUP(B9,Nyers!A:G,7,0),"")</f>
        <v>7158</v>
      </c>
    </row>
    <row r="10" spans="1:9" x14ac:dyDescent="0.25">
      <c r="A10">
        <v>3</v>
      </c>
      <c r="B10" s="41">
        <v>45666</v>
      </c>
      <c r="C10">
        <f>_xlfn.IFNA(VLOOKUP(B10,SZO!A:B,2,0),"")</f>
        <v>5139</v>
      </c>
      <c r="D10">
        <f>VLOOKUP(B10,[1]Pivot!$A:$B,2,0)</f>
        <v>562</v>
      </c>
      <c r="E10">
        <f>_xlfn.IFNA(VLOOKUP(B10,Nyers!A:E,5,0),"")</f>
        <v>571</v>
      </c>
      <c r="F10">
        <f>_xlfn.IFNA(VLOOKUP(B10,Nyers!A:F,6,0),"")</f>
        <v>47</v>
      </c>
      <c r="G10">
        <f>_xlfn.IFNA(VLOOKUP(B10,Nyers!A:H,8,0),"")</f>
        <v>455</v>
      </c>
      <c r="H10">
        <f>_xlfn.IFNA(VLOOKUP(B10,Nyers!A:D,4,0),"")</f>
        <v>780</v>
      </c>
      <c r="I10">
        <f>_xlfn.IFNA(VLOOKUP(B10,Nyers!A:G,7,0),"")</f>
        <v>6883</v>
      </c>
    </row>
    <row r="11" spans="1:9" x14ac:dyDescent="0.25">
      <c r="A11">
        <v>3</v>
      </c>
      <c r="B11" s="41">
        <v>45667</v>
      </c>
      <c r="C11">
        <f>_xlfn.IFNA(VLOOKUP(B11,SZO!A:B,2,0),"")</f>
        <v>4250</v>
      </c>
      <c r="D11">
        <f>VLOOKUP(B11,[1]Pivot!$A:$B,2,0)</f>
        <v>518</v>
      </c>
      <c r="E11">
        <f>_xlfn.IFNA(VLOOKUP(B11,Nyers!A:E,5,0),"")</f>
        <v>625</v>
      </c>
      <c r="F11">
        <f>_xlfn.IFNA(VLOOKUP(B11,Nyers!A:F,6,0),"")</f>
        <v>49</v>
      </c>
      <c r="G11">
        <f>_xlfn.IFNA(VLOOKUP(B11,Nyers!A:H,8,0),"")</f>
        <v>444</v>
      </c>
      <c r="H11">
        <f>_xlfn.IFNA(VLOOKUP(B11,Nyers!A:D,4,0),"")</f>
        <v>653</v>
      </c>
      <c r="I11">
        <f>_xlfn.IFNA(VLOOKUP(B11,Nyers!A:G,7,0),"")</f>
        <v>6879</v>
      </c>
    </row>
    <row r="12" spans="1:9" x14ac:dyDescent="0.25">
      <c r="A12">
        <v>3</v>
      </c>
      <c r="B12" s="41">
        <v>45668</v>
      </c>
      <c r="C12" t="str">
        <f>_xlfn.IFNA(VLOOKUP(B12,SZO!A:B,2,0),"")</f>
        <v/>
      </c>
      <c r="D12">
        <f>VLOOKUP(B12,[1]Pivot!$A:$B,2,0)</f>
        <v>88</v>
      </c>
      <c r="E12" t="str">
        <f>_xlfn.IFNA(VLOOKUP(B12,Nyers!A:E,5,0),"")</f>
        <v/>
      </c>
      <c r="F12" t="str">
        <f>_xlfn.IFNA(VLOOKUP(B12,Nyers!A:F,6,0),"")</f>
        <v/>
      </c>
      <c r="G12" t="str">
        <f>_xlfn.IFNA(VLOOKUP(B12,Nyers!A:H,8,0),"")</f>
        <v/>
      </c>
      <c r="H12" t="str">
        <f>_xlfn.IFNA(VLOOKUP(B12,Nyers!A:D,4,0),"")</f>
        <v/>
      </c>
      <c r="I12" t="str">
        <f>_xlfn.IFNA(VLOOKUP(B12,Nyers!A:G,7,0),"")</f>
        <v/>
      </c>
    </row>
    <row r="13" spans="1:9" x14ac:dyDescent="0.25">
      <c r="A13">
        <v>3</v>
      </c>
      <c r="B13" s="41">
        <v>45669</v>
      </c>
      <c r="C13" t="str">
        <f>_xlfn.IFNA(VLOOKUP(B13,SZO!A:B,2,0),"")</f>
        <v/>
      </c>
      <c r="D13">
        <f>VLOOKUP(B13,[1]Pivot!$A:$B,2,0)</f>
        <v>102</v>
      </c>
      <c r="E13" t="str">
        <f>_xlfn.IFNA(VLOOKUP(B13,Nyers!A:E,5,0),"")</f>
        <v/>
      </c>
      <c r="F13" t="str">
        <f>_xlfn.IFNA(VLOOKUP(B13,Nyers!A:F,6,0),"")</f>
        <v/>
      </c>
      <c r="G13" t="str">
        <f>_xlfn.IFNA(VLOOKUP(B13,Nyers!A:H,8,0),"")</f>
        <v/>
      </c>
      <c r="H13" t="str">
        <f>_xlfn.IFNA(VLOOKUP(B13,Nyers!A:D,4,0),"")</f>
        <v/>
      </c>
      <c r="I13" t="str">
        <f>_xlfn.IFNA(VLOOKUP(B13,Nyers!A:G,7,0),"")</f>
        <v/>
      </c>
    </row>
    <row r="14" spans="1:9" x14ac:dyDescent="0.25">
      <c r="A14">
        <v>4</v>
      </c>
      <c r="B14" s="41">
        <v>45670</v>
      </c>
      <c r="C14">
        <f>_xlfn.IFNA(VLOOKUP(B14,SZO!A:B,2,0),"")</f>
        <v>4223</v>
      </c>
      <c r="D14">
        <f>VLOOKUP(B14,[1]Pivot!$A:$B,2,0)</f>
        <v>682</v>
      </c>
      <c r="E14">
        <f>_xlfn.IFNA(VLOOKUP(B14,Nyers!A:E,5,0),"")</f>
        <v>666</v>
      </c>
      <c r="F14">
        <f>_xlfn.IFNA(VLOOKUP(B14,Nyers!A:F,6,0),"")</f>
        <v>69</v>
      </c>
      <c r="G14">
        <f>_xlfn.IFNA(VLOOKUP(B14,Nyers!A:H,8,0),"")</f>
        <v>732</v>
      </c>
      <c r="H14">
        <f>_xlfn.IFNA(VLOOKUP(B14,Nyers!A:D,4,0),"")</f>
        <v>605</v>
      </c>
      <c r="I14">
        <f>_xlfn.IFNA(VLOOKUP(B14,Nyers!A:G,7,0),"")</f>
        <v>6923</v>
      </c>
    </row>
    <row r="15" spans="1:9" x14ac:dyDescent="0.25">
      <c r="A15">
        <v>4</v>
      </c>
      <c r="B15" s="41">
        <v>45671</v>
      </c>
      <c r="C15">
        <f>_xlfn.IFNA(VLOOKUP(B15,SZO!A:B,2,0),"")</f>
        <v>4118</v>
      </c>
      <c r="D15">
        <f>VLOOKUP(B15,[1]Pivot!$A:$B,2,0)</f>
        <v>743</v>
      </c>
      <c r="E15">
        <f>_xlfn.IFNA(VLOOKUP(B15,Nyers!A:E,5,0),"")</f>
        <v>739</v>
      </c>
      <c r="F15">
        <f>_xlfn.IFNA(VLOOKUP(B15,Nyers!A:F,6,0),"")</f>
        <v>55</v>
      </c>
      <c r="G15">
        <f>_xlfn.IFNA(VLOOKUP(B15,Nyers!A:H,8,0),"")</f>
        <v>647</v>
      </c>
      <c r="H15">
        <f>_xlfn.IFNA(VLOOKUP(B15,Nyers!A:D,4,0),"")</f>
        <v>560</v>
      </c>
      <c r="I15">
        <f>_xlfn.IFNA(VLOOKUP(B15,Nyers!A:G,7,0),"")</f>
        <v>7017</v>
      </c>
    </row>
    <row r="16" spans="1:9" x14ac:dyDescent="0.25">
      <c r="A16">
        <v>4</v>
      </c>
      <c r="B16" s="41">
        <v>45672</v>
      </c>
      <c r="C16">
        <f>_xlfn.IFNA(VLOOKUP(B16,SZO!A:B,2,0),"")</f>
        <v>3917</v>
      </c>
      <c r="D16">
        <f>VLOOKUP(B16,[1]Pivot!$A:$B,2,0)</f>
        <v>940</v>
      </c>
      <c r="E16">
        <f>_xlfn.IFNA(VLOOKUP(B16,Nyers!A:E,5,0),"")</f>
        <v>693</v>
      </c>
      <c r="F16">
        <f>_xlfn.IFNA(VLOOKUP(B16,Nyers!A:F,6,0),"")</f>
        <v>77</v>
      </c>
      <c r="G16">
        <f>_xlfn.IFNA(VLOOKUP(B16,Nyers!A:H,8,0),"")</f>
        <v>693</v>
      </c>
      <c r="H16">
        <f>_xlfn.IFNA(VLOOKUP(B16,Nyers!A:D,4,0),"")</f>
        <v>577</v>
      </c>
      <c r="I16">
        <f>_xlfn.IFNA(VLOOKUP(B16,Nyers!A:G,7,0),"")</f>
        <v>7359</v>
      </c>
    </row>
    <row r="17" spans="1:9" x14ac:dyDescent="0.25">
      <c r="A17">
        <v>4</v>
      </c>
      <c r="B17" s="41">
        <v>45673</v>
      </c>
      <c r="C17">
        <f>_xlfn.IFNA(VLOOKUP(B17,SZO!A:B,2,0),"")</f>
        <v>0</v>
      </c>
      <c r="D17">
        <f>VLOOKUP(B17,[1]Pivot!$A:$B,2,0)</f>
        <v>804</v>
      </c>
      <c r="E17">
        <f>_xlfn.IFNA(VLOOKUP(B17,Nyers!A:E,5,0),"")</f>
        <v>696</v>
      </c>
      <c r="F17">
        <f>_xlfn.IFNA(VLOOKUP(B17,Nyers!A:F,6,0),"")</f>
        <v>70</v>
      </c>
      <c r="G17">
        <f>_xlfn.IFNA(VLOOKUP(B17,Nyers!A:H,8,0),"")</f>
        <v>784</v>
      </c>
      <c r="H17">
        <f>_xlfn.IFNA(VLOOKUP(B17,Nyers!A:D,4,0),"")</f>
        <v>606</v>
      </c>
      <c r="I17">
        <f>_xlfn.IFNA(VLOOKUP(B17,Nyers!A:G,7,0),"")</f>
        <v>7500</v>
      </c>
    </row>
    <row r="18" spans="1:9" x14ac:dyDescent="0.25">
      <c r="A18">
        <v>4</v>
      </c>
      <c r="B18" s="41">
        <v>45674</v>
      </c>
      <c r="C18">
        <f>_xlfn.IFNA(VLOOKUP(B18,SZO!A:B,2,0),"")</f>
        <v>4</v>
      </c>
      <c r="D18">
        <f>VLOOKUP(B18,[1]Pivot!$A:$B,2,0)</f>
        <v>766</v>
      </c>
      <c r="E18">
        <f>_xlfn.IFNA(VLOOKUP(B18,Nyers!A:E,5,0),"")</f>
        <v>751</v>
      </c>
      <c r="F18">
        <f>_xlfn.IFNA(VLOOKUP(B18,Nyers!A:F,6,0),"")</f>
        <v>70</v>
      </c>
      <c r="G18">
        <f>_xlfn.IFNA(VLOOKUP(B18,Nyers!A:H,8,0),"")</f>
        <v>831</v>
      </c>
      <c r="H18">
        <f>_xlfn.IFNA(VLOOKUP(B18,Nyers!A:D,4,0),"")</f>
        <v>495</v>
      </c>
      <c r="I18">
        <f>_xlfn.IFNA(VLOOKUP(B18,Nyers!A:G,7,0),"")</f>
        <v>8053</v>
      </c>
    </row>
    <row r="19" spans="1:9" x14ac:dyDescent="0.25">
      <c r="A19">
        <v>5</v>
      </c>
      <c r="B19" s="41">
        <v>45675</v>
      </c>
      <c r="C19" t="str">
        <f>_xlfn.IFNA(VLOOKUP(B19,SZO!A:B,2,0),"")</f>
        <v/>
      </c>
      <c r="D19">
        <f>VLOOKUP(B19,[1]Pivot!$A:$B,2,0)</f>
        <v>129</v>
      </c>
      <c r="E19" t="str">
        <f>_xlfn.IFNA(VLOOKUP(B19,Nyers!A:E,5,0),"")</f>
        <v/>
      </c>
      <c r="F19" t="str">
        <f>_xlfn.IFNA(VLOOKUP(B19,Nyers!A:F,6,0),"")</f>
        <v/>
      </c>
      <c r="G19" t="str">
        <f>_xlfn.IFNA(VLOOKUP(B19,Nyers!A:H,8,0),"")</f>
        <v/>
      </c>
      <c r="H19" t="str">
        <f>_xlfn.IFNA(VLOOKUP(B19,Nyers!A:D,4,0),"")</f>
        <v/>
      </c>
      <c r="I19" t="str">
        <f>_xlfn.IFNA(VLOOKUP(B19,Nyers!A:G,7,0),"")</f>
        <v/>
      </c>
    </row>
    <row r="20" spans="1:9" x14ac:dyDescent="0.25">
      <c r="A20">
        <v>5</v>
      </c>
      <c r="B20" s="41">
        <v>45676</v>
      </c>
      <c r="C20" t="str">
        <f>_xlfn.IFNA(VLOOKUP(B20,SZO!A:B,2,0),"")</f>
        <v/>
      </c>
      <c r="D20">
        <f>VLOOKUP(B20,[1]Pivot!$A:$B,2,0)</f>
        <v>168</v>
      </c>
      <c r="E20" t="str">
        <f>_xlfn.IFNA(VLOOKUP(B20,Nyers!A:E,5,0),"")</f>
        <v/>
      </c>
      <c r="F20" t="str">
        <f>_xlfn.IFNA(VLOOKUP(B20,Nyers!A:F,6,0),"")</f>
        <v/>
      </c>
      <c r="G20" t="str">
        <f>_xlfn.IFNA(VLOOKUP(B20,Nyers!A:H,8,0),"")</f>
        <v/>
      </c>
      <c r="H20" t="str">
        <f>_xlfn.IFNA(VLOOKUP(B20,Nyers!A:D,4,0),"")</f>
        <v/>
      </c>
      <c r="I20" t="str">
        <f>_xlfn.IFNA(VLOOKUP(B20,Nyers!A:G,7,0),"")</f>
        <v/>
      </c>
    </row>
    <row r="21" spans="1:9" x14ac:dyDescent="0.25">
      <c r="A21">
        <v>5</v>
      </c>
      <c r="B21" s="41">
        <v>45677</v>
      </c>
      <c r="C21">
        <f>_xlfn.IFNA(VLOOKUP(B21,SZO!A:B,2,0),"")</f>
        <v>0</v>
      </c>
      <c r="D21">
        <f>VLOOKUP(B21,[1]Pivot!$A:$B,2,0)</f>
        <v>815</v>
      </c>
      <c r="E21">
        <f>_xlfn.IFNA(VLOOKUP(B21,Nyers!A:E,5,0),"")</f>
        <v>804</v>
      </c>
      <c r="F21">
        <f>_xlfn.IFNA(VLOOKUP(B21,Nyers!A:F,6,0),"")</f>
        <v>121</v>
      </c>
      <c r="G21">
        <f>_xlfn.IFNA(VLOOKUP(B21,Nyers!A:H,8,0),"")</f>
        <v>828</v>
      </c>
      <c r="H21">
        <f>_xlfn.IFNA(VLOOKUP(B21,Nyers!A:D,4,0),"")</f>
        <v>531</v>
      </c>
      <c r="I21">
        <f>_xlfn.IFNA(VLOOKUP(B21,Nyers!A:G,7,0),"")</f>
        <v>8320</v>
      </c>
    </row>
    <row r="22" spans="1:9" x14ac:dyDescent="0.25">
      <c r="A22">
        <v>5</v>
      </c>
      <c r="B22" s="41">
        <v>45678</v>
      </c>
      <c r="C22">
        <f>_xlfn.IFNA(VLOOKUP(B22,SZO!A:B,2,0),"")</f>
        <v>0</v>
      </c>
      <c r="D22">
        <f>VLOOKUP(B22,[1]Pivot!$A:$B,2,0)</f>
        <v>875</v>
      </c>
      <c r="E22">
        <f>_xlfn.IFNA(VLOOKUP(B22,Nyers!A:E,5,0),"")</f>
        <v>693</v>
      </c>
      <c r="F22">
        <f>_xlfn.IFNA(VLOOKUP(B22,Nyers!A:F,6,0),"")</f>
        <v>98</v>
      </c>
      <c r="G22">
        <f>_xlfn.IFNA(VLOOKUP(B22,Nyers!A:H,8,0),"")</f>
        <v>685</v>
      </c>
      <c r="H22">
        <f>_xlfn.IFNA(VLOOKUP(B22,Nyers!A:D,4,0),"")</f>
        <v>551</v>
      </c>
      <c r="I22">
        <f>_xlfn.IFNA(VLOOKUP(B22,Nyers!A:G,7,0),"")</f>
        <v>8582</v>
      </c>
    </row>
    <row r="23" spans="1:9" x14ac:dyDescent="0.25">
      <c r="A23">
        <v>5</v>
      </c>
      <c r="B23" s="41">
        <v>45679</v>
      </c>
      <c r="C23">
        <f>_xlfn.IFNA(VLOOKUP(B23,SZO!A:B,2,0),"")</f>
        <v>0</v>
      </c>
      <c r="D23">
        <f>VLOOKUP(B23,[1]Pivot!$A:$B,2,0)</f>
        <v>805</v>
      </c>
      <c r="E23">
        <f>_xlfn.IFNA(VLOOKUP(B23,Nyers!A:E,5,0),"")</f>
        <v>802</v>
      </c>
      <c r="F23">
        <f>_xlfn.IFNA(VLOOKUP(B23,Nyers!A:F,6,0),"")</f>
        <v>67</v>
      </c>
      <c r="G23">
        <f>_xlfn.IFNA(VLOOKUP(B23,Nyers!A:H,8,0),"")</f>
        <v>584</v>
      </c>
      <c r="H23">
        <f>_xlfn.IFNA(VLOOKUP(B23,Nyers!A:D,4,0),"")</f>
        <v>589</v>
      </c>
      <c r="I23">
        <f>_xlfn.IFNA(VLOOKUP(B23,Nyers!A:G,7,0),"")</f>
        <v>8807</v>
      </c>
    </row>
    <row r="24" spans="1:9" x14ac:dyDescent="0.25">
      <c r="A24">
        <v>6</v>
      </c>
      <c r="B24" s="41">
        <v>45680</v>
      </c>
      <c r="C24">
        <f>_xlfn.IFNA(VLOOKUP(B24,SZO!A:B,2,0),"")</f>
        <v>0</v>
      </c>
      <c r="D24">
        <f>VLOOKUP(B24,[1]Pivot!$A:$B,2,0)</f>
        <v>797</v>
      </c>
      <c r="E24">
        <f>_xlfn.IFNA(VLOOKUP(B24,Nyers!A:E,5,0),"")</f>
        <v>740</v>
      </c>
      <c r="F24">
        <f>_xlfn.IFNA(VLOOKUP(B24,Nyers!A:F,6,0),"")</f>
        <v>87</v>
      </c>
      <c r="G24">
        <f>_xlfn.IFNA(VLOOKUP(B24,Nyers!A:H,8,0),"")</f>
        <v>581</v>
      </c>
      <c r="H24">
        <f>_xlfn.IFNA(VLOOKUP(B24,Nyers!A:D,4,0),"")</f>
        <v>597</v>
      </c>
      <c r="I24">
        <f>_xlfn.IFNA(VLOOKUP(B24,Nyers!A:G,7,0),"")</f>
        <v>8850</v>
      </c>
    </row>
    <row r="25" spans="1:9" x14ac:dyDescent="0.25">
      <c r="A25">
        <v>6</v>
      </c>
      <c r="B25" s="41">
        <v>45681</v>
      </c>
      <c r="C25">
        <f>_xlfn.IFNA(VLOOKUP(B25,SZO!A:B,2,0),"")</f>
        <v>6</v>
      </c>
      <c r="D25">
        <f>VLOOKUP(B25,[1]Pivot!$A:$B,2,0)</f>
        <v>565</v>
      </c>
      <c r="E25">
        <f>_xlfn.IFNA(VLOOKUP(B25,Nyers!A:E,5,0),"")</f>
        <v>878</v>
      </c>
      <c r="F25">
        <f>_xlfn.IFNA(VLOOKUP(B25,Nyers!A:F,6,0),"")</f>
        <v>69</v>
      </c>
      <c r="G25">
        <f>_xlfn.IFNA(VLOOKUP(B25,Nyers!A:H,8,0),"")</f>
        <v>507</v>
      </c>
      <c r="H25">
        <f>_xlfn.IFNA(VLOOKUP(B25,Nyers!A:D,4,0),"")</f>
        <v>495</v>
      </c>
      <c r="I25">
        <f>_xlfn.IFNA(VLOOKUP(B25,Nyers!A:G,7,0),"")</f>
        <v>8935</v>
      </c>
    </row>
    <row r="26" spans="1:9" x14ac:dyDescent="0.25">
      <c r="A26">
        <v>6</v>
      </c>
      <c r="B26" s="41">
        <v>45682</v>
      </c>
      <c r="C26" t="str">
        <f>_xlfn.IFNA(VLOOKUP(B26,SZO!A:B,2,0),"")</f>
        <v/>
      </c>
      <c r="D26">
        <f>VLOOKUP(B26,[1]Pivot!$A:$B,2,0)</f>
        <v>102</v>
      </c>
      <c r="E26" t="str">
        <f>_xlfn.IFNA(VLOOKUP(B26,Nyers!A:E,5,0),"")</f>
        <v/>
      </c>
      <c r="F26" t="str">
        <f>_xlfn.IFNA(VLOOKUP(B26,Nyers!A:F,6,0),"")</f>
        <v/>
      </c>
      <c r="G26" t="str">
        <f>_xlfn.IFNA(VLOOKUP(B26,Nyers!A:H,8,0),"")</f>
        <v/>
      </c>
      <c r="H26" t="str">
        <f>_xlfn.IFNA(VLOOKUP(B26,Nyers!A:D,4,0),"")</f>
        <v/>
      </c>
      <c r="I26" t="str">
        <f>_xlfn.IFNA(VLOOKUP(B26,Nyers!A:G,7,0),"")</f>
        <v/>
      </c>
    </row>
    <row r="27" spans="1:9" x14ac:dyDescent="0.25">
      <c r="A27">
        <v>6</v>
      </c>
      <c r="B27" s="41">
        <v>45683</v>
      </c>
      <c r="C27" t="str">
        <f>_xlfn.IFNA(VLOOKUP(B27,SZO!A:B,2,0),"")</f>
        <v/>
      </c>
      <c r="D27">
        <f>VLOOKUP(B27,[1]Pivot!$A:$B,2,0)</f>
        <v>129</v>
      </c>
      <c r="E27" t="str">
        <f>_xlfn.IFNA(VLOOKUP(B27,Nyers!A:E,5,0),"")</f>
        <v/>
      </c>
      <c r="F27" t="str">
        <f>_xlfn.IFNA(VLOOKUP(B27,Nyers!A:F,6,0),"")</f>
        <v/>
      </c>
      <c r="G27" t="str">
        <f>_xlfn.IFNA(VLOOKUP(B27,Nyers!A:H,8,0),"")</f>
        <v/>
      </c>
      <c r="H27" t="str">
        <f>_xlfn.IFNA(VLOOKUP(B27,Nyers!A:D,4,0),"")</f>
        <v/>
      </c>
      <c r="I27" t="str">
        <f>_xlfn.IFNA(VLOOKUP(B27,Nyers!A:G,7,0),"")</f>
        <v/>
      </c>
    </row>
    <row r="28" spans="1:9" x14ac:dyDescent="0.25">
      <c r="A28">
        <v>6</v>
      </c>
      <c r="B28" s="41">
        <v>45684</v>
      </c>
      <c r="C28">
        <f>_xlfn.IFNA(VLOOKUP(B28,SZO!A:B,2,0),"")</f>
        <v>0</v>
      </c>
      <c r="D28">
        <f>VLOOKUP(B28,[1]Pivot!$A:$B,2,0)</f>
        <v>640</v>
      </c>
      <c r="E28">
        <f>_xlfn.IFNA(VLOOKUP(B28,Nyers!A:E,5,0),"")</f>
        <v>1072</v>
      </c>
      <c r="F28">
        <f>_xlfn.IFNA(VLOOKUP(B28,Nyers!A:F,6,0),"")</f>
        <v>84</v>
      </c>
      <c r="G28">
        <f>_xlfn.IFNA(VLOOKUP(B28,Nyers!A:H,8,0),"")</f>
        <v>729</v>
      </c>
      <c r="H28">
        <f>_xlfn.IFNA(VLOOKUP(B28,Nyers!A:D,4,0),"")</f>
        <v>655</v>
      </c>
      <c r="I28">
        <f>_xlfn.IFNA(VLOOKUP(B28,Nyers!A:G,7,0),"")</f>
        <v>8911</v>
      </c>
    </row>
    <row r="29" spans="1:9" x14ac:dyDescent="0.25">
      <c r="A29">
        <v>7</v>
      </c>
      <c r="B29" s="41">
        <v>45685</v>
      </c>
      <c r="C29">
        <f>_xlfn.IFNA(VLOOKUP(B29,SZO!A:B,2,0),"")</f>
        <v>3484</v>
      </c>
      <c r="D29">
        <f>VLOOKUP(B29,[1]Pivot!$A:$B,2,0)</f>
        <v>933</v>
      </c>
      <c r="E29">
        <f>_xlfn.IFNA(VLOOKUP(B29,Nyers!A:E,5,0),"")</f>
        <v>1084</v>
      </c>
      <c r="F29">
        <f>_xlfn.IFNA(VLOOKUP(B29,Nyers!A:F,6,0),"")</f>
        <v>86</v>
      </c>
      <c r="G29">
        <f>_xlfn.IFNA(VLOOKUP(B29,Nyers!A:H,8,0),"")</f>
        <v>652</v>
      </c>
      <c r="H29">
        <f>_xlfn.IFNA(VLOOKUP(B29,Nyers!A:D,4,0),"")</f>
        <v>734</v>
      </c>
      <c r="I29">
        <f>_xlfn.IFNA(VLOOKUP(B29,Nyers!A:G,7,0),"")</f>
        <v>9024</v>
      </c>
    </row>
    <row r="30" spans="1:9" x14ac:dyDescent="0.25">
      <c r="A30">
        <v>7</v>
      </c>
      <c r="B30" s="41">
        <v>45686</v>
      </c>
      <c r="C30">
        <f>_xlfn.IFNA(VLOOKUP(B30,SZO!A:B,2,0),"")</f>
        <v>2223</v>
      </c>
      <c r="D30">
        <f>VLOOKUP(B30,[1]Pivot!$A:$B,2,0)</f>
        <v>685</v>
      </c>
      <c r="E30">
        <f>_xlfn.IFNA(VLOOKUP(B30,Nyers!A:E,5,0),"")</f>
        <v>1127</v>
      </c>
      <c r="F30">
        <f>_xlfn.IFNA(VLOOKUP(B30,Nyers!A:F,6,0),"")</f>
        <v>62</v>
      </c>
      <c r="G30">
        <f>_xlfn.IFNA(VLOOKUP(B30,Nyers!A:H,8,0),"")</f>
        <v>617</v>
      </c>
      <c r="H30">
        <f>_xlfn.IFNA(VLOOKUP(B30,Nyers!A:D,4,0),"")</f>
        <v>729</v>
      </c>
      <c r="I30">
        <f>_xlfn.IFNA(VLOOKUP(B30,Nyers!A:G,7,0),"")</f>
        <v>8875</v>
      </c>
    </row>
    <row r="31" spans="1:9" x14ac:dyDescent="0.25">
      <c r="A31">
        <v>7</v>
      </c>
      <c r="B31" s="41">
        <v>45687</v>
      </c>
      <c r="C31">
        <f>_xlfn.IFNA(VLOOKUP(B31,SZO!A:B,2,0),"")</f>
        <v>2398</v>
      </c>
      <c r="D31">
        <f>VLOOKUP(B31,[1]Pivot!$A:$B,2,0)</f>
        <v>706</v>
      </c>
      <c r="E31">
        <f>_xlfn.IFNA(VLOOKUP(B31,Nyers!A:E,5,0),"")</f>
        <v>1191</v>
      </c>
      <c r="F31">
        <f>_xlfn.IFNA(VLOOKUP(B31,Nyers!A:F,6,0),"")</f>
        <v>69</v>
      </c>
      <c r="G31">
        <f>_xlfn.IFNA(VLOOKUP(B31,Nyers!A:H,8,0),"")</f>
        <v>661</v>
      </c>
      <c r="H31">
        <f>_xlfn.IFNA(VLOOKUP(B31,Nyers!A:D,4,0),"")</f>
        <v>730</v>
      </c>
      <c r="I31">
        <f>_xlfn.IFNA(VLOOKUP(B31,Nyers!A:G,7,0),"")</f>
        <v>8852</v>
      </c>
    </row>
    <row r="32" spans="1:9" x14ac:dyDescent="0.25">
      <c r="A32">
        <v>7</v>
      </c>
      <c r="B32" s="41">
        <v>45688</v>
      </c>
      <c r="C32">
        <f>_xlfn.IFNA(VLOOKUP(B32,SZO!A:B,2,0),"")</f>
        <v>2472</v>
      </c>
      <c r="D32">
        <f>VLOOKUP(B32,[1]Pivot!$A:$B,2,0)</f>
        <v>611</v>
      </c>
      <c r="E32">
        <f>_xlfn.IFNA(VLOOKUP(B32,Nyers!A:E,5,0),"")</f>
        <v>1206</v>
      </c>
      <c r="F32">
        <f>_xlfn.IFNA(VLOOKUP(B32,Nyers!A:F,6,0),"")</f>
        <v>147</v>
      </c>
      <c r="G32">
        <f>_xlfn.IFNA(VLOOKUP(B32,Nyers!A:H,8,0),"")</f>
        <v>1004</v>
      </c>
      <c r="H32">
        <f>_xlfn.IFNA(VLOOKUP(B32,Nyers!A:D,4,0),"")</f>
        <v>660</v>
      </c>
      <c r="I32">
        <f>_xlfn.IFNA(VLOOKUP(B32,Nyers!A:G,7,0),"")</f>
        <v>8411</v>
      </c>
    </row>
    <row r="33" spans="1:9" x14ac:dyDescent="0.25">
      <c r="A33">
        <v>7</v>
      </c>
      <c r="B33" s="41">
        <v>45689</v>
      </c>
      <c r="C33" t="str">
        <f>_xlfn.IFNA(VLOOKUP(B33,SZO!A:B,2,0),"")</f>
        <v/>
      </c>
      <c r="D33">
        <f>VLOOKUP(B33,[1]Pivot!$A:$B,2,0)</f>
        <v>260</v>
      </c>
      <c r="E33" t="str">
        <f>_xlfn.IFNA(VLOOKUP(B33,Nyers!A:E,5,0),"")</f>
        <v/>
      </c>
      <c r="F33" t="str">
        <f>_xlfn.IFNA(VLOOKUP(B33,Nyers!A:F,6,0),"")</f>
        <v/>
      </c>
      <c r="G33" t="str">
        <f>_xlfn.IFNA(VLOOKUP(B33,Nyers!A:H,8,0),"")</f>
        <v/>
      </c>
      <c r="H33" t="str">
        <f>_xlfn.IFNA(VLOOKUP(B33,Nyers!A:D,4,0),"")</f>
        <v/>
      </c>
      <c r="I33" t="str">
        <f>_xlfn.IFNA(VLOOKUP(B33,Nyers!A:G,7,0),"")</f>
        <v/>
      </c>
    </row>
    <row r="34" spans="1:9" x14ac:dyDescent="0.25">
      <c r="A34">
        <v>8</v>
      </c>
      <c r="B34" s="41">
        <v>45690</v>
      </c>
      <c r="C34" t="str">
        <f>_xlfn.IFNA(VLOOKUP(B34,SZO!A:B,2,0),"")</f>
        <v/>
      </c>
      <c r="D34">
        <f>VLOOKUP(B34,[1]Pivot!$A:$B,2,0)</f>
        <v>189</v>
      </c>
      <c r="E34" t="str">
        <f>_xlfn.IFNA(VLOOKUP(B34,Nyers!A:E,5,0),"")</f>
        <v/>
      </c>
      <c r="F34" t="str">
        <f>_xlfn.IFNA(VLOOKUP(B34,Nyers!A:F,6,0),"")</f>
        <v/>
      </c>
      <c r="G34" t="str">
        <f>_xlfn.IFNA(VLOOKUP(B34,Nyers!A:H,8,0),"")</f>
        <v/>
      </c>
      <c r="H34" t="str">
        <f>_xlfn.IFNA(VLOOKUP(B34,Nyers!A:D,4,0),"")</f>
        <v/>
      </c>
      <c r="I34" t="str">
        <f>_xlfn.IFNA(VLOOKUP(B34,Nyers!A:G,7,0),"")</f>
        <v/>
      </c>
    </row>
    <row r="35" spans="1:9" x14ac:dyDescent="0.25">
      <c r="A35">
        <v>8</v>
      </c>
      <c r="B35" s="41">
        <v>45691</v>
      </c>
      <c r="C35">
        <f>_xlfn.IFNA(VLOOKUP(B35,SZO!A:B,2,0),"")</f>
        <v>13</v>
      </c>
      <c r="D35">
        <f>VLOOKUP(B35,[1]Pivot!$A:$B,2,0)</f>
        <v>913</v>
      </c>
      <c r="E35">
        <f>_xlfn.IFNA(VLOOKUP(B35,Nyers!A:E,5,0),"")</f>
        <v>922</v>
      </c>
      <c r="F35">
        <f>_xlfn.IFNA(VLOOKUP(B35,Nyers!A:F,6,0),"")</f>
        <v>165</v>
      </c>
      <c r="G35">
        <f>_xlfn.IFNA(VLOOKUP(B35,Nyers!A:H,8,0),"")</f>
        <v>971</v>
      </c>
      <c r="H35">
        <f>_xlfn.IFNA(VLOOKUP(B35,Nyers!A:D,4,0),"")</f>
        <v>816</v>
      </c>
      <c r="I35">
        <f>_xlfn.IFNA(VLOOKUP(B35,Nyers!A:G,7,0),"")</f>
        <v>8538</v>
      </c>
    </row>
    <row r="36" spans="1:9" x14ac:dyDescent="0.25">
      <c r="A36">
        <v>8</v>
      </c>
      <c r="B36" s="41">
        <v>45692</v>
      </c>
      <c r="C36">
        <f>_xlfn.IFNA(VLOOKUP(B36,SZO!A:B,2,0),"")</f>
        <v>0</v>
      </c>
      <c r="D36">
        <f>VLOOKUP(B36,[1]Pivot!$A:$B,2,0)</f>
        <v>874</v>
      </c>
      <c r="E36">
        <f>_xlfn.IFNA(VLOOKUP(B36,Nyers!A:E,5,0),"")</f>
        <v>742</v>
      </c>
      <c r="F36">
        <f>_xlfn.IFNA(VLOOKUP(B36,Nyers!A:F,6,0),"")</f>
        <v>111</v>
      </c>
      <c r="G36">
        <f>_xlfn.IFNA(VLOOKUP(B36,Nyers!A:H,8,0),"")</f>
        <v>879</v>
      </c>
      <c r="H36">
        <f>_xlfn.IFNA(VLOOKUP(B36,Nyers!A:D,4,0),"")</f>
        <v>813</v>
      </c>
      <c r="I36">
        <f>_xlfn.IFNA(VLOOKUP(B36,Nyers!A:G,7,0),"")</f>
        <v>8537</v>
      </c>
    </row>
    <row r="37" spans="1:9" x14ac:dyDescent="0.25">
      <c r="A37">
        <v>8</v>
      </c>
      <c r="B37" s="41">
        <v>45693</v>
      </c>
      <c r="C37">
        <f>_xlfn.IFNA(VLOOKUP(B37,SZO!A:B,2,0),"")</f>
        <v>0</v>
      </c>
      <c r="D37">
        <f>VLOOKUP(B37,[1]Pivot!$A:$B,2,0)</f>
        <v>800</v>
      </c>
      <c r="E37">
        <f>_xlfn.IFNA(VLOOKUP(B37,Nyers!A:E,5,0),"")</f>
        <v>736</v>
      </c>
      <c r="F37">
        <f>_xlfn.IFNA(VLOOKUP(B37,Nyers!A:F,6,0),"")</f>
        <v>104</v>
      </c>
      <c r="G37">
        <f>_xlfn.IFNA(VLOOKUP(B37,Nyers!A:H,8,0),"")</f>
        <v>767</v>
      </c>
      <c r="H37">
        <f>_xlfn.IFNA(VLOOKUP(B37,Nyers!A:D,4,0),"")</f>
        <v>766</v>
      </c>
      <c r="I37">
        <f>_xlfn.IFNA(VLOOKUP(B37,Nyers!A:G,7,0),"")</f>
        <v>8471</v>
      </c>
    </row>
    <row r="38" spans="1:9" x14ac:dyDescent="0.25">
      <c r="A38">
        <v>8</v>
      </c>
      <c r="B38" s="41">
        <v>45694</v>
      </c>
      <c r="C38">
        <f>_xlfn.IFNA(VLOOKUP(B38,SZO!A:B,2,0),"")</f>
        <v>0</v>
      </c>
      <c r="D38">
        <f>VLOOKUP(B38,[1]Pivot!$A:$B,2,0)</f>
        <v>740</v>
      </c>
      <c r="E38">
        <f>_xlfn.IFNA(VLOOKUP(B38,Nyers!A:E,5,0),"")</f>
        <v>584</v>
      </c>
      <c r="F38">
        <f>_xlfn.IFNA(VLOOKUP(B38,Nyers!A:F,6,0),"")</f>
        <v>106</v>
      </c>
      <c r="G38">
        <f>_xlfn.IFNA(VLOOKUP(B38,Nyers!A:H,8,0),"")</f>
        <v>659</v>
      </c>
      <c r="H38">
        <f>_xlfn.IFNA(VLOOKUP(B38,Nyers!A:D,4,0),"")</f>
        <v>720</v>
      </c>
      <c r="I38">
        <f>_xlfn.IFNA(VLOOKUP(B38,Nyers!A:G,7,0),"")</f>
        <v>8441</v>
      </c>
    </row>
    <row r="39" spans="1:9" x14ac:dyDescent="0.25">
      <c r="A39">
        <v>9</v>
      </c>
      <c r="B39" s="41">
        <v>45695</v>
      </c>
      <c r="C39">
        <f>_xlfn.IFNA(VLOOKUP(B39,SZO!A:B,2,0),"")</f>
        <v>0</v>
      </c>
      <c r="D39">
        <f>VLOOKUP(B39,[1]Pivot!$A:$B,2,0)</f>
        <v>621</v>
      </c>
      <c r="E39">
        <f>_xlfn.IFNA(VLOOKUP(B39,Nyers!A:E,5,0),"")</f>
        <v>646</v>
      </c>
      <c r="F39">
        <f>_xlfn.IFNA(VLOOKUP(B39,Nyers!A:F,6,0),"")</f>
        <v>109</v>
      </c>
      <c r="G39">
        <f>_xlfn.IFNA(VLOOKUP(B39,Nyers!A:H,8,0),"")</f>
        <v>632</v>
      </c>
      <c r="H39">
        <f>_xlfn.IFNA(VLOOKUP(B39,Nyers!A:D,4,0),"")</f>
        <v>739</v>
      </c>
      <c r="I39">
        <f>_xlfn.IFNA(VLOOKUP(B39,Nyers!A:G,7,0),"")</f>
        <v>7743</v>
      </c>
    </row>
    <row r="40" spans="1:9" x14ac:dyDescent="0.25">
      <c r="A40">
        <v>9</v>
      </c>
      <c r="B40" s="41">
        <v>45696</v>
      </c>
      <c r="C40" t="str">
        <f>_xlfn.IFNA(VLOOKUP(B40,SZO!A:B,2,0),"")</f>
        <v/>
      </c>
      <c r="D40">
        <f>VLOOKUP(B40,[1]Pivot!$A:$B,2,0)</f>
        <v>214</v>
      </c>
      <c r="E40" t="str">
        <f>_xlfn.IFNA(VLOOKUP(B40,Nyers!A:E,5,0),"")</f>
        <v/>
      </c>
      <c r="F40" t="str">
        <f>_xlfn.IFNA(VLOOKUP(B40,Nyers!A:F,6,0),"")</f>
        <v/>
      </c>
      <c r="G40" t="str">
        <f>_xlfn.IFNA(VLOOKUP(B40,Nyers!A:H,8,0),"")</f>
        <v/>
      </c>
      <c r="H40" t="str">
        <f>_xlfn.IFNA(VLOOKUP(B40,Nyers!A:D,4,0),"")</f>
        <v/>
      </c>
      <c r="I40" t="str">
        <f>_xlfn.IFNA(VLOOKUP(B40,Nyers!A:G,7,0),"")</f>
        <v/>
      </c>
    </row>
    <row r="41" spans="1:9" x14ac:dyDescent="0.25">
      <c r="A41">
        <v>9</v>
      </c>
      <c r="B41" s="41">
        <v>45697</v>
      </c>
      <c r="C41" t="str">
        <f>_xlfn.IFNA(VLOOKUP(B41,SZO!A:B,2,0),"")</f>
        <v/>
      </c>
      <c r="D41">
        <f>VLOOKUP(B41,[1]Pivot!$A:$B,2,0)</f>
        <v>149</v>
      </c>
      <c r="E41" t="str">
        <f>_xlfn.IFNA(VLOOKUP(B41,Nyers!A:E,5,0),"")</f>
        <v/>
      </c>
      <c r="F41" t="str">
        <f>_xlfn.IFNA(VLOOKUP(B41,Nyers!A:F,6,0),"")</f>
        <v/>
      </c>
      <c r="G41" t="str">
        <f>_xlfn.IFNA(VLOOKUP(B41,Nyers!A:H,8,0),"")</f>
        <v/>
      </c>
      <c r="H41" t="str">
        <f>_xlfn.IFNA(VLOOKUP(B41,Nyers!A:D,4,0),"")</f>
        <v/>
      </c>
      <c r="I41" t="str">
        <f>_xlfn.IFNA(VLOOKUP(B41,Nyers!A:G,7,0),"")</f>
        <v/>
      </c>
    </row>
    <row r="42" spans="1:9" x14ac:dyDescent="0.25">
      <c r="A42">
        <v>9</v>
      </c>
      <c r="B42" s="41">
        <v>45698</v>
      </c>
      <c r="C42">
        <f>_xlfn.IFNA(VLOOKUP(B42,SZO!A:B,2,0),"")</f>
        <v>0</v>
      </c>
      <c r="D42">
        <f>VLOOKUP(B42,[1]Pivot!$A:$B,2,0)</f>
        <v>720</v>
      </c>
      <c r="E42">
        <f>_xlfn.IFNA(VLOOKUP(B42,Nyers!A:E,5,0),"")</f>
        <v>580</v>
      </c>
      <c r="F42">
        <f>_xlfn.IFNA(VLOOKUP(B42,Nyers!A:F,6,0),"")</f>
        <v>116</v>
      </c>
      <c r="G42">
        <f>_xlfn.IFNA(VLOOKUP(B42,Nyers!A:H,8,0),"")</f>
        <v>814</v>
      </c>
      <c r="H42">
        <f>_xlfn.IFNA(VLOOKUP(B42,Nyers!A:D,4,0),"")</f>
        <v>751</v>
      </c>
      <c r="I42">
        <f>_xlfn.IFNA(VLOOKUP(B42,Nyers!A:G,7,0),"")</f>
        <v>7651</v>
      </c>
    </row>
    <row r="43" spans="1:9" x14ac:dyDescent="0.25">
      <c r="A43">
        <v>9</v>
      </c>
      <c r="B43" s="41">
        <v>45699</v>
      </c>
      <c r="C43">
        <f>_xlfn.IFNA(VLOOKUP(B43,SZO!A:B,2,0),"")</f>
        <v>0</v>
      </c>
      <c r="D43">
        <f>VLOOKUP(B43,[1]Pivot!$A:$B,2,0)</f>
        <v>771</v>
      </c>
      <c r="E43">
        <f>_xlfn.IFNA(VLOOKUP(B43,Nyers!A:E,5,0),"")</f>
        <v>518</v>
      </c>
      <c r="F43">
        <f>_xlfn.IFNA(VLOOKUP(B43,Nyers!A:F,6,0),"")</f>
        <v>104</v>
      </c>
      <c r="G43">
        <f>_xlfn.IFNA(VLOOKUP(B43,Nyers!A:H,8,0),"")</f>
        <v>625</v>
      </c>
      <c r="H43">
        <f>_xlfn.IFNA(VLOOKUP(B43,Nyers!A:D,4,0),"")</f>
        <v>592</v>
      </c>
      <c r="I43">
        <f>_xlfn.IFNA(VLOOKUP(B43,Nyers!A:G,7,0),"")</f>
        <v>7632</v>
      </c>
    </row>
    <row r="44" spans="1:9" x14ac:dyDescent="0.25">
      <c r="A44">
        <v>10</v>
      </c>
      <c r="B44" s="41">
        <v>45700</v>
      </c>
      <c r="C44">
        <f>_xlfn.IFNA(VLOOKUP(B44,SZO!A:B,2,0),"")</f>
        <v>0</v>
      </c>
      <c r="D44">
        <f>VLOOKUP(B44,[1]Pivot!$A:$B,2,0)</f>
        <v>557</v>
      </c>
      <c r="E44">
        <f>_xlfn.IFNA(VLOOKUP(B44,Nyers!A:E,5,0),"")</f>
        <v>534</v>
      </c>
      <c r="F44">
        <f>_xlfn.IFNA(VLOOKUP(B44,Nyers!A:F,6,0),"")</f>
        <v>103</v>
      </c>
      <c r="G44">
        <f>_xlfn.IFNA(VLOOKUP(B44,Nyers!A:H,8,0),"")</f>
        <v>531</v>
      </c>
      <c r="H44">
        <f>_xlfn.IFNA(VLOOKUP(B44,Nyers!A:D,4,0),"")</f>
        <v>660</v>
      </c>
      <c r="I44">
        <f>_xlfn.IFNA(VLOOKUP(B44,Nyers!A:G,7,0),"")</f>
        <v>7485</v>
      </c>
    </row>
    <row r="45" spans="1:9" x14ac:dyDescent="0.25">
      <c r="A45">
        <v>10</v>
      </c>
      <c r="B45" s="41">
        <v>45701</v>
      </c>
      <c r="C45">
        <f>_xlfn.IFNA(VLOOKUP(B45,SZO!A:B,2,0),"")</f>
        <v>0</v>
      </c>
      <c r="D45">
        <f>VLOOKUP(B45,[1]Pivot!$A:$B,2,0)</f>
        <v>507</v>
      </c>
      <c r="E45">
        <f>_xlfn.IFNA(VLOOKUP(B45,Nyers!A:E,5,0),"")</f>
        <v>411</v>
      </c>
      <c r="F45">
        <f>_xlfn.IFNA(VLOOKUP(B45,Nyers!A:F,6,0),"")</f>
        <v>86</v>
      </c>
      <c r="G45">
        <f>_xlfn.IFNA(VLOOKUP(B45,Nyers!A:H,8,0),"")</f>
        <v>466</v>
      </c>
      <c r="H45">
        <f>_xlfn.IFNA(VLOOKUP(B45,Nyers!A:D,4,0),"")</f>
        <v>697</v>
      </c>
      <c r="I45">
        <f>_xlfn.IFNA(VLOOKUP(B45,Nyers!A:G,7,0),"")</f>
        <v>7232</v>
      </c>
    </row>
    <row r="46" spans="1:9" x14ac:dyDescent="0.25">
      <c r="A46">
        <v>10</v>
      </c>
      <c r="B46" s="41">
        <v>45702</v>
      </c>
      <c r="C46">
        <f>_xlfn.IFNA(VLOOKUP(B46,SZO!A:B,2,0),"")</f>
        <v>6607</v>
      </c>
      <c r="D46">
        <f>VLOOKUP(B46,[1]Pivot!$A:$B,2,0)</f>
        <v>376</v>
      </c>
      <c r="E46">
        <f>_xlfn.IFNA(VLOOKUP(B46,Nyers!A:E,5,0),"")</f>
        <v>454</v>
      </c>
      <c r="F46">
        <f>_xlfn.IFNA(VLOOKUP(B46,Nyers!A:F,6,0),"")</f>
        <v>69</v>
      </c>
      <c r="G46">
        <f>_xlfn.IFNA(VLOOKUP(B46,Nyers!A:H,8,0),"")</f>
        <v>458</v>
      </c>
      <c r="H46">
        <f>_xlfn.IFNA(VLOOKUP(B46,Nyers!A:D,4,0),"")</f>
        <v>613</v>
      </c>
      <c r="I46">
        <f>_xlfn.IFNA(VLOOKUP(B46,Nyers!A:G,7,0),"")</f>
        <v>6329</v>
      </c>
    </row>
    <row r="47" spans="1:9" x14ac:dyDescent="0.25">
      <c r="A47">
        <v>10</v>
      </c>
      <c r="B47" s="41">
        <v>45703</v>
      </c>
      <c r="C47" t="str">
        <f>_xlfn.IFNA(VLOOKUP(B47,SZO!A:B,2,0),"")</f>
        <v/>
      </c>
      <c r="D47">
        <f>VLOOKUP(B47,[1]Pivot!$A:$B,2,0)</f>
        <v>111</v>
      </c>
      <c r="E47" t="str">
        <f>_xlfn.IFNA(VLOOKUP(B47,Nyers!A:E,5,0),"")</f>
        <v/>
      </c>
      <c r="F47" t="str">
        <f>_xlfn.IFNA(VLOOKUP(B47,Nyers!A:F,6,0),"")</f>
        <v/>
      </c>
      <c r="G47" t="str">
        <f>_xlfn.IFNA(VLOOKUP(B47,Nyers!A:H,8,0),"")</f>
        <v/>
      </c>
      <c r="H47" t="str">
        <f>_xlfn.IFNA(VLOOKUP(B47,Nyers!A:D,4,0),"")</f>
        <v/>
      </c>
      <c r="I47" t="str">
        <f>_xlfn.IFNA(VLOOKUP(B47,Nyers!A:G,7,0),"")</f>
        <v/>
      </c>
    </row>
    <row r="48" spans="1:9" x14ac:dyDescent="0.25">
      <c r="A48">
        <v>10</v>
      </c>
      <c r="B48" s="41">
        <v>45704</v>
      </c>
      <c r="C48" t="str">
        <f>_xlfn.IFNA(VLOOKUP(B48,SZO!A:B,2,0),"")</f>
        <v/>
      </c>
      <c r="D48">
        <f>VLOOKUP(B48,[1]Pivot!$A:$B,2,0)</f>
        <v>116</v>
      </c>
      <c r="E48" t="str">
        <f>_xlfn.IFNA(VLOOKUP(B48,Nyers!A:E,5,0),"")</f>
        <v/>
      </c>
      <c r="F48" t="str">
        <f>_xlfn.IFNA(VLOOKUP(B48,Nyers!A:F,6,0),"")</f>
        <v/>
      </c>
      <c r="G48" t="str">
        <f>_xlfn.IFNA(VLOOKUP(B48,Nyers!A:H,8,0),"")</f>
        <v/>
      </c>
      <c r="H48" t="str">
        <f>_xlfn.IFNA(VLOOKUP(B48,Nyers!A:D,4,0),"")</f>
        <v/>
      </c>
      <c r="I48" t="str">
        <f>_xlfn.IFNA(VLOOKUP(B48,Nyers!A:G,7,0),"")</f>
        <v/>
      </c>
    </row>
    <row r="49" spans="1:9" x14ac:dyDescent="0.25">
      <c r="A49">
        <v>11</v>
      </c>
      <c r="B49" s="41">
        <v>45705</v>
      </c>
      <c r="C49">
        <f>_xlfn.IFNA(VLOOKUP(B49,SZO!A:B,2,0),"")</f>
        <v>4005</v>
      </c>
      <c r="D49">
        <f>VLOOKUP(B49,[1]Pivot!$A:$B,2,0)</f>
        <v>588</v>
      </c>
      <c r="E49">
        <f>_xlfn.IFNA(VLOOKUP(B49,Nyers!A:E,5,0),"")</f>
        <v>421</v>
      </c>
      <c r="F49">
        <f>_xlfn.IFNA(VLOOKUP(B49,Nyers!A:F,6,0),"")</f>
        <v>81</v>
      </c>
      <c r="G49">
        <f>_xlfn.IFNA(VLOOKUP(B49,Nyers!A:H,8,0),"")</f>
        <v>546</v>
      </c>
      <c r="H49">
        <f>_xlfn.IFNA(VLOOKUP(B49,Nyers!A:D,4,0),"")</f>
        <v>741</v>
      </c>
      <c r="I49">
        <f>_xlfn.IFNA(VLOOKUP(B49,Nyers!A:G,7,0),"")</f>
        <v>6152</v>
      </c>
    </row>
    <row r="50" spans="1:9" x14ac:dyDescent="0.25">
      <c r="A50">
        <v>11</v>
      </c>
      <c r="B50" s="41">
        <v>45706</v>
      </c>
      <c r="C50">
        <f>_xlfn.IFNA(VLOOKUP(B50,SZO!A:B,2,0),"")</f>
        <v>5542</v>
      </c>
      <c r="D50">
        <f>VLOOKUP(B50,[1]Pivot!$A:$B,2,0)</f>
        <v>812</v>
      </c>
      <c r="E50">
        <f>_xlfn.IFNA(VLOOKUP(B50,Nyers!A:E,5,0),"")</f>
        <v>461</v>
      </c>
      <c r="F50">
        <f>_xlfn.IFNA(VLOOKUP(B50,Nyers!A:F,6,0),"")</f>
        <v>90</v>
      </c>
      <c r="G50">
        <f>_xlfn.IFNA(VLOOKUP(B50,Nyers!A:H,8,0),"")</f>
        <v>634</v>
      </c>
      <c r="H50">
        <f>_xlfn.IFNA(VLOOKUP(B50,Nyers!A:D,4,0),"")</f>
        <v>706</v>
      </c>
      <c r="I50">
        <f>_xlfn.IFNA(VLOOKUP(B50,Nyers!A:G,7,0),"")</f>
        <v>6169</v>
      </c>
    </row>
    <row r="51" spans="1:9" x14ac:dyDescent="0.25">
      <c r="A51">
        <v>11</v>
      </c>
      <c r="B51" s="41">
        <v>45707</v>
      </c>
      <c r="C51">
        <f>_xlfn.IFNA(VLOOKUP(B51,SZO!A:B,2,0),"")</f>
        <v>7019</v>
      </c>
      <c r="D51">
        <f>VLOOKUP(B51,[1]Pivot!$A:$B,2,0)</f>
        <v>819</v>
      </c>
      <c r="E51">
        <f>_xlfn.IFNA(VLOOKUP(B51,Nyers!A:E,5,0),"")</f>
        <v>611</v>
      </c>
      <c r="F51">
        <f>_xlfn.IFNA(VLOOKUP(B51,Nyers!A:F,6,0),"")</f>
        <v>140</v>
      </c>
      <c r="G51">
        <f>_xlfn.IFNA(VLOOKUP(B51,Nyers!A:H,8,0),"")</f>
        <v>681</v>
      </c>
      <c r="H51">
        <f>_xlfn.IFNA(VLOOKUP(B51,Nyers!A:D,4,0),"")</f>
        <v>739</v>
      </c>
      <c r="I51">
        <f>_xlfn.IFNA(VLOOKUP(B51,Nyers!A:G,7,0),"")</f>
        <v>6188</v>
      </c>
    </row>
    <row r="52" spans="1:9" x14ac:dyDescent="0.25">
      <c r="A52">
        <v>11</v>
      </c>
      <c r="B52" s="41">
        <v>45708</v>
      </c>
      <c r="C52">
        <f>_xlfn.IFNA(VLOOKUP(B52,SZO!A:B,2,0),"")</f>
        <v>0</v>
      </c>
      <c r="D52">
        <f>VLOOKUP(B52,[1]Pivot!$A:$B,2,0)</f>
        <v>820</v>
      </c>
      <c r="E52">
        <f>_xlfn.IFNA(VLOOKUP(B52,Nyers!A:E,5,0),"")</f>
        <v>578</v>
      </c>
      <c r="F52">
        <f>_xlfn.IFNA(VLOOKUP(B52,Nyers!A:F,6,0),"")</f>
        <v>148</v>
      </c>
      <c r="G52">
        <f>_xlfn.IFNA(VLOOKUP(B52,Nyers!A:H,8,0),"")</f>
        <v>583</v>
      </c>
      <c r="H52">
        <f>_xlfn.IFNA(VLOOKUP(B52,Nyers!A:D,4,0),"")</f>
        <v>777</v>
      </c>
      <c r="I52">
        <f>_xlfn.IFNA(VLOOKUP(B52,Nyers!A:G,7,0),"")</f>
        <v>6300</v>
      </c>
    </row>
    <row r="53" spans="1:9" x14ac:dyDescent="0.25">
      <c r="A53">
        <v>11</v>
      </c>
      <c r="B53" s="41">
        <v>45709</v>
      </c>
      <c r="C53">
        <f>_xlfn.IFNA(VLOOKUP(B53,SZO!A:B,2,0),"")</f>
        <v>0</v>
      </c>
      <c r="D53">
        <f>VLOOKUP(B53,[1]Pivot!$A:$B,2,0)</f>
        <v>873</v>
      </c>
      <c r="E53">
        <f>_xlfn.IFNA(VLOOKUP(B53,Nyers!A:E,5,0),"")</f>
        <v>696</v>
      </c>
      <c r="F53">
        <f>_xlfn.IFNA(VLOOKUP(B53,Nyers!A:F,6,0),"")</f>
        <v>153</v>
      </c>
      <c r="G53">
        <f>_xlfn.IFNA(VLOOKUP(B53,Nyers!A:H,8,0),"")</f>
        <v>757</v>
      </c>
      <c r="H53">
        <f>_xlfn.IFNA(VLOOKUP(B53,Nyers!A:D,4,0),"")</f>
        <v>661</v>
      </c>
      <c r="I53">
        <f>_xlfn.IFNA(VLOOKUP(B53,Nyers!A:G,7,0),"")</f>
        <v>5807</v>
      </c>
    </row>
    <row r="54" spans="1:9" x14ac:dyDescent="0.25">
      <c r="A54">
        <v>12</v>
      </c>
      <c r="B54" s="41">
        <v>45710</v>
      </c>
      <c r="C54" t="str">
        <f>_xlfn.IFNA(VLOOKUP(B54,SZO!A:B,2,0),"")</f>
        <v/>
      </c>
      <c r="D54">
        <f>VLOOKUP(B54,[1]Pivot!$A:$B,2,0)</f>
        <v>230</v>
      </c>
      <c r="E54" t="str">
        <f>_xlfn.IFNA(VLOOKUP(B54,Nyers!A:E,5,0),"")</f>
        <v/>
      </c>
      <c r="F54" t="str">
        <f>_xlfn.IFNA(VLOOKUP(B54,Nyers!A:F,6,0),"")</f>
        <v/>
      </c>
      <c r="G54" t="str">
        <f>_xlfn.IFNA(VLOOKUP(B54,Nyers!A:H,8,0),"")</f>
        <v/>
      </c>
      <c r="H54" t="str">
        <f>_xlfn.IFNA(VLOOKUP(B54,Nyers!A:D,4,0),"")</f>
        <v/>
      </c>
      <c r="I54" t="str">
        <f>_xlfn.IFNA(VLOOKUP(B54,Nyers!A:G,7,0),"")</f>
        <v/>
      </c>
    </row>
    <row r="55" spans="1:9" x14ac:dyDescent="0.25">
      <c r="A55">
        <v>12</v>
      </c>
      <c r="B55" s="41">
        <v>45711</v>
      </c>
      <c r="C55" t="str">
        <f>_xlfn.IFNA(VLOOKUP(B55,SZO!A:B,2,0),"")</f>
        <v/>
      </c>
      <c r="D55">
        <f>VLOOKUP(B55,[1]Pivot!$A:$B,2,0)</f>
        <v>153</v>
      </c>
      <c r="E55" t="str">
        <f>_xlfn.IFNA(VLOOKUP(B55,Nyers!A:E,5,0),"")</f>
        <v/>
      </c>
      <c r="F55" t="str">
        <f>_xlfn.IFNA(VLOOKUP(B55,Nyers!A:F,6,0),"")</f>
        <v/>
      </c>
      <c r="G55" t="str">
        <f>_xlfn.IFNA(VLOOKUP(B55,Nyers!A:H,8,0),"")</f>
        <v/>
      </c>
      <c r="H55" t="str">
        <f>_xlfn.IFNA(VLOOKUP(B55,Nyers!A:D,4,0),"")</f>
        <v/>
      </c>
      <c r="I55" t="str">
        <f>_xlfn.IFNA(VLOOKUP(B55,Nyers!A:G,7,0),"")</f>
        <v/>
      </c>
    </row>
    <row r="56" spans="1:9" x14ac:dyDescent="0.25">
      <c r="A56">
        <v>12</v>
      </c>
      <c r="B56" s="41">
        <v>45712</v>
      </c>
      <c r="C56">
        <f>_xlfn.IFNA(VLOOKUP(B56,SZO!A:B,2,0),"")</f>
        <v>0</v>
      </c>
      <c r="D56">
        <f>VLOOKUP(B56,[1]Pivot!$A:$B,2,0)</f>
        <v>924</v>
      </c>
      <c r="E56">
        <f>_xlfn.IFNA(VLOOKUP(B56,Nyers!A:E,5,0),"")</f>
        <v>703</v>
      </c>
      <c r="F56">
        <f>_xlfn.IFNA(VLOOKUP(B56,Nyers!A:F,6,0),"")</f>
        <v>172</v>
      </c>
      <c r="G56">
        <f>_xlfn.IFNA(VLOOKUP(B56,Nyers!A:H,8,0),"")</f>
        <v>820</v>
      </c>
      <c r="H56">
        <f>_xlfn.IFNA(VLOOKUP(B56,Nyers!A:D,4,0),"")</f>
        <v>828</v>
      </c>
      <c r="I56">
        <f>_xlfn.IFNA(VLOOKUP(B56,Nyers!A:G,7,0),"")</f>
        <v>6121</v>
      </c>
    </row>
    <row r="57" spans="1:9" x14ac:dyDescent="0.25">
      <c r="A57">
        <v>12</v>
      </c>
      <c r="B57" s="41">
        <v>45713</v>
      </c>
      <c r="C57">
        <f>_xlfn.IFNA(VLOOKUP(B57,SZO!A:B,2,0),"")</f>
        <v>0</v>
      </c>
      <c r="D57">
        <f>VLOOKUP(B57,[1]Pivot!$A:$B,2,0)</f>
        <v>837</v>
      </c>
      <c r="E57">
        <f>_xlfn.IFNA(VLOOKUP(B57,Nyers!A:E,5,0),"")</f>
        <v>679</v>
      </c>
      <c r="F57">
        <f>_xlfn.IFNA(VLOOKUP(B57,Nyers!A:F,6,0),"")</f>
        <v>139</v>
      </c>
      <c r="G57">
        <f>_xlfn.IFNA(VLOOKUP(B57,Nyers!A:H,8,0),"")</f>
        <v>601</v>
      </c>
      <c r="H57">
        <f>_xlfn.IFNA(VLOOKUP(B57,Nyers!A:D,4,0),"")</f>
        <v>714</v>
      </c>
      <c r="I57">
        <f>_xlfn.IFNA(VLOOKUP(B57,Nyers!A:G,7,0),"")</f>
        <v>6233</v>
      </c>
    </row>
    <row r="58" spans="1:9" x14ac:dyDescent="0.25">
      <c r="A58">
        <v>12</v>
      </c>
      <c r="B58" s="41">
        <v>45714</v>
      </c>
      <c r="C58">
        <f>_xlfn.IFNA(VLOOKUP(B58,SZO!A:B,2,0),"")</f>
        <v>0</v>
      </c>
      <c r="D58">
        <f>VLOOKUP(B58,[1]Pivot!$A:$B,2,0)</f>
        <v>770</v>
      </c>
      <c r="E58">
        <f>_xlfn.IFNA(VLOOKUP(B58,Nyers!A:E,5,0),"")</f>
        <v>611</v>
      </c>
      <c r="F58">
        <f>_xlfn.IFNA(VLOOKUP(B58,Nyers!A:F,6,0),"")</f>
        <v>138</v>
      </c>
      <c r="G58">
        <f>_xlfn.IFNA(VLOOKUP(B58,Nyers!A:H,8,0),"")</f>
        <v>557</v>
      </c>
      <c r="H58">
        <f>_xlfn.IFNA(VLOOKUP(B58,Nyers!A:D,4,0),"")</f>
        <v>730</v>
      </c>
      <c r="I58">
        <f>_xlfn.IFNA(VLOOKUP(B58,Nyers!A:G,7,0),"")</f>
        <v>6202</v>
      </c>
    </row>
    <row r="59" spans="1:9" x14ac:dyDescent="0.25">
      <c r="A59">
        <v>13</v>
      </c>
      <c r="B59" s="41">
        <v>45715</v>
      </c>
      <c r="C59">
        <f>_xlfn.IFNA(VLOOKUP(B59,SZO!A:B,2,0),"")</f>
        <v>0</v>
      </c>
      <c r="D59">
        <f>VLOOKUP(B59,[1]Pivot!$A:$B,2,0)</f>
        <v>729</v>
      </c>
      <c r="E59">
        <f>_xlfn.IFNA(VLOOKUP(B59,Nyers!A:E,5,0),"")</f>
        <v>537</v>
      </c>
      <c r="F59">
        <f>_xlfn.IFNA(VLOOKUP(B59,Nyers!A:F,6,0),"")</f>
        <v>145</v>
      </c>
      <c r="G59">
        <f>_xlfn.IFNA(VLOOKUP(B59,Nyers!A:H,8,0),"")</f>
        <v>514</v>
      </c>
      <c r="H59">
        <f>_xlfn.IFNA(VLOOKUP(B59,Nyers!A:D,4,0),"")</f>
        <v>782</v>
      </c>
      <c r="I59">
        <f>_xlfn.IFNA(VLOOKUP(B59,Nyers!A:G,7,0),"")</f>
        <v>5986</v>
      </c>
    </row>
    <row r="60" spans="1:9" x14ac:dyDescent="0.25">
      <c r="A60">
        <v>13</v>
      </c>
      <c r="B60" s="41">
        <v>45716</v>
      </c>
      <c r="C60">
        <f>_xlfn.IFNA(VLOOKUP(B60,SZO!A:B,2,0),"")</f>
        <v>0</v>
      </c>
      <c r="D60">
        <f>VLOOKUP(B60,[1]Pivot!$A:$B,2,0)</f>
        <v>598</v>
      </c>
      <c r="E60">
        <f>_xlfn.IFNA(VLOOKUP(B60,Nyers!A:E,5,0),"")</f>
        <v>528</v>
      </c>
      <c r="F60">
        <f>_xlfn.IFNA(VLOOKUP(B60,Nyers!A:F,6,0),"")</f>
        <v>135</v>
      </c>
      <c r="G60">
        <f>_xlfn.IFNA(VLOOKUP(B60,Nyers!A:H,8,0),"")</f>
        <v>476</v>
      </c>
      <c r="H60">
        <f>_xlfn.IFNA(VLOOKUP(B60,Nyers!A:D,4,0),"")</f>
        <v>681</v>
      </c>
      <c r="I60">
        <f>_xlfn.IFNA(VLOOKUP(B60,Nyers!A:G,7,0),"")</f>
        <v>6125</v>
      </c>
    </row>
    <row r="61" spans="1:9" x14ac:dyDescent="0.25">
      <c r="A61">
        <v>13</v>
      </c>
      <c r="B61" s="41">
        <v>45717</v>
      </c>
      <c r="C61" t="str">
        <f>_xlfn.IFNA(VLOOKUP(B61,SZO!A:B,2,0),"")</f>
        <v/>
      </c>
      <c r="D61">
        <f>VLOOKUP(B61,[1]Pivot!$A:$B,2,0)</f>
        <v>132</v>
      </c>
      <c r="E61" t="str">
        <f>_xlfn.IFNA(VLOOKUP(B61,Nyers!A:E,5,0),"")</f>
        <v/>
      </c>
      <c r="F61" t="str">
        <f>_xlfn.IFNA(VLOOKUP(B61,Nyers!A:F,6,0),"")</f>
        <v/>
      </c>
      <c r="G61" t="str">
        <f>_xlfn.IFNA(VLOOKUP(B61,Nyers!A:H,8,0),"")</f>
        <v/>
      </c>
      <c r="H61" t="str">
        <f>_xlfn.IFNA(VLOOKUP(B61,Nyers!A:D,4,0),"")</f>
        <v/>
      </c>
      <c r="I61" t="str">
        <f>_xlfn.IFNA(VLOOKUP(B61,Nyers!A:G,7,0),"")</f>
        <v/>
      </c>
    </row>
    <row r="62" spans="1:9" x14ac:dyDescent="0.25">
      <c r="A62">
        <v>13</v>
      </c>
      <c r="B62" s="41">
        <v>45718</v>
      </c>
      <c r="C62" t="str">
        <f>_xlfn.IFNA(VLOOKUP(B62,SZO!A:B,2,0),"")</f>
        <v/>
      </c>
      <c r="D62">
        <f>VLOOKUP(B62,[1]Pivot!$A:$B,2,0)</f>
        <v>151</v>
      </c>
      <c r="E62" t="str">
        <f>_xlfn.IFNA(VLOOKUP(B62,Nyers!A:E,5,0),"")</f>
        <v/>
      </c>
      <c r="F62" t="str">
        <f>_xlfn.IFNA(VLOOKUP(B62,Nyers!A:F,6,0),"")</f>
        <v/>
      </c>
      <c r="G62" t="str">
        <f>_xlfn.IFNA(VLOOKUP(B62,Nyers!A:H,8,0),"")</f>
        <v/>
      </c>
      <c r="H62" t="str">
        <f>_xlfn.IFNA(VLOOKUP(B62,Nyers!A:D,4,0),"")</f>
        <v/>
      </c>
      <c r="I62" t="str">
        <f>_xlfn.IFNA(VLOOKUP(B62,Nyers!A:G,7,0),"")</f>
        <v/>
      </c>
    </row>
    <row r="63" spans="1:9" x14ac:dyDescent="0.25">
      <c r="A63">
        <v>13</v>
      </c>
      <c r="B63" s="41">
        <v>45719</v>
      </c>
      <c r="C63">
        <f>_xlfn.IFNA(VLOOKUP(B63,SZO!A:B,2,0),"")</f>
        <v>0</v>
      </c>
      <c r="D63">
        <f>VLOOKUP(B63,[1]Pivot!$A:$B,2,0)</f>
        <v>697</v>
      </c>
      <c r="E63">
        <f>_xlfn.IFNA(VLOOKUP(B63,Nyers!A:E,5,0),"")</f>
        <v>505</v>
      </c>
      <c r="F63">
        <f>_xlfn.IFNA(VLOOKUP(B63,Nyers!A:F,6,0),"")</f>
        <v>105</v>
      </c>
      <c r="G63">
        <f>_xlfn.IFNA(VLOOKUP(B63,Nyers!A:H,8,0),"")</f>
        <v>549</v>
      </c>
      <c r="H63">
        <f>_xlfn.IFNA(VLOOKUP(B63,Nyers!A:D,4,0),"")</f>
        <v>793</v>
      </c>
      <c r="I63">
        <f>_xlfn.IFNA(VLOOKUP(B63,Nyers!A:G,7,0),"")</f>
        <v>5847</v>
      </c>
    </row>
    <row r="64" spans="1:9" x14ac:dyDescent="0.25">
      <c r="A64">
        <v>14</v>
      </c>
      <c r="B64" s="41">
        <v>45720</v>
      </c>
      <c r="C64">
        <f>_xlfn.IFNA(VLOOKUP(B64,SZO!A:B,2,0),"")</f>
        <v>0</v>
      </c>
      <c r="D64">
        <f>VLOOKUP(B64,[1]Pivot!$A:$B,2,0)</f>
        <v>706</v>
      </c>
      <c r="E64">
        <f>_xlfn.IFNA(VLOOKUP(B64,Nyers!A:E,5,0),"")</f>
        <v>435</v>
      </c>
      <c r="F64">
        <f>_xlfn.IFNA(VLOOKUP(B64,Nyers!A:F,6,0),"")</f>
        <v>113</v>
      </c>
      <c r="G64">
        <f>_xlfn.IFNA(VLOOKUP(B64,Nyers!A:H,8,0),"")</f>
        <v>490</v>
      </c>
      <c r="H64">
        <f>_xlfn.IFNA(VLOOKUP(B64,Nyers!A:D,4,0),"")</f>
        <v>824</v>
      </c>
      <c r="I64">
        <f>_xlfn.IFNA(VLOOKUP(B64,Nyers!A:G,7,0),"")</f>
        <v>5588</v>
      </c>
    </row>
    <row r="65" spans="1:9" x14ac:dyDescent="0.25">
      <c r="A65">
        <v>14</v>
      </c>
      <c r="B65" s="41">
        <v>45721</v>
      </c>
      <c r="C65">
        <f>_xlfn.IFNA(VLOOKUP(B65,SZO!A:B,2,0),"")</f>
        <v>0</v>
      </c>
      <c r="D65">
        <f>VLOOKUP(B65,[1]Pivot!$A:$B,2,0)</f>
        <v>640</v>
      </c>
      <c r="E65">
        <f>_xlfn.IFNA(VLOOKUP(B65,Nyers!A:E,5,0),"")</f>
        <v>450</v>
      </c>
      <c r="F65">
        <f>_xlfn.IFNA(VLOOKUP(B65,Nyers!A:F,6,0),"")</f>
        <v>89</v>
      </c>
      <c r="G65">
        <f>_xlfn.IFNA(VLOOKUP(B65,Nyers!A:H,8,0),"")</f>
        <v>465</v>
      </c>
      <c r="H65">
        <f>_xlfn.IFNA(VLOOKUP(B65,Nyers!A:D,4,0),"")</f>
        <v>814</v>
      </c>
      <c r="I65">
        <f>_xlfn.IFNA(VLOOKUP(B65,Nyers!A:G,7,0),"")</f>
        <v>5275</v>
      </c>
    </row>
    <row r="66" spans="1:9" x14ac:dyDescent="0.25">
      <c r="A66">
        <v>14</v>
      </c>
      <c r="B66" s="41">
        <v>45722</v>
      </c>
      <c r="C66">
        <f>_xlfn.IFNA(VLOOKUP(B66,SZO!A:B,2,0),"")</f>
        <v>0</v>
      </c>
      <c r="D66">
        <f>VLOOKUP(B66,[1]Pivot!$A:$B,2,0)</f>
        <v>699</v>
      </c>
      <c r="E66">
        <f>_xlfn.IFNA(VLOOKUP(B66,Nyers!A:E,5,0),"")</f>
        <v>414</v>
      </c>
      <c r="F66">
        <f>_xlfn.IFNA(VLOOKUP(B66,Nyers!A:F,6,0),"")</f>
        <v>113</v>
      </c>
      <c r="G66">
        <f>_xlfn.IFNA(VLOOKUP(B66,Nyers!A:H,8,0),"")</f>
        <v>456</v>
      </c>
      <c r="H66">
        <f>_xlfn.IFNA(VLOOKUP(B66,Nyers!A:D,4,0),"")</f>
        <v>835</v>
      </c>
      <c r="I66">
        <f>_xlfn.IFNA(VLOOKUP(B66,Nyers!A:G,7,0),"")</f>
        <v>5000</v>
      </c>
    </row>
    <row r="67" spans="1:9" x14ac:dyDescent="0.25">
      <c r="A67">
        <v>14</v>
      </c>
      <c r="B67" s="41">
        <v>45723</v>
      </c>
      <c r="C67">
        <f>_xlfn.IFNA(VLOOKUP(B67,SZO!A:B,2,0),"")</f>
        <v>0</v>
      </c>
      <c r="D67">
        <f>VLOOKUP(B67,[1]Pivot!$A:$B,2,0)</f>
        <v>530</v>
      </c>
      <c r="E67">
        <f>_xlfn.IFNA(VLOOKUP(B67,Nyers!A:E,5,0),"")</f>
        <v>437</v>
      </c>
      <c r="F67">
        <f>_xlfn.IFNA(VLOOKUP(B67,Nyers!A:F,6,0),"")</f>
        <v>132</v>
      </c>
      <c r="G67">
        <f>_xlfn.IFNA(VLOOKUP(B67,Nyers!A:H,8,0),"")</f>
        <v>403</v>
      </c>
      <c r="H67">
        <f>_xlfn.IFNA(VLOOKUP(B67,Nyers!A:D,4,0),"")</f>
        <v>623</v>
      </c>
      <c r="I67">
        <f>_xlfn.IFNA(VLOOKUP(B67,Nyers!A:G,7,0),"")</f>
        <v>3981</v>
      </c>
    </row>
    <row r="68" spans="1:9" x14ac:dyDescent="0.25">
      <c r="A68">
        <v>14</v>
      </c>
      <c r="B68" s="41">
        <v>45724</v>
      </c>
      <c r="C68" t="str">
        <f>_xlfn.IFNA(VLOOKUP(B68,SZO!A:B,2,0),"")</f>
        <v/>
      </c>
      <c r="D68">
        <f>VLOOKUP(B68,[1]Pivot!$A:$B,2,0)</f>
        <v>93</v>
      </c>
      <c r="E68" t="str">
        <f>_xlfn.IFNA(VLOOKUP(B68,Nyers!A:E,5,0),"")</f>
        <v/>
      </c>
      <c r="F68" t="str">
        <f>_xlfn.IFNA(VLOOKUP(B68,Nyers!A:F,6,0),"")</f>
        <v/>
      </c>
      <c r="G68" t="str">
        <f>_xlfn.IFNA(VLOOKUP(B68,Nyers!A:H,8,0),"")</f>
        <v/>
      </c>
      <c r="H68" t="str">
        <f>_xlfn.IFNA(VLOOKUP(B68,Nyers!A:D,4,0),"")</f>
        <v/>
      </c>
      <c r="I68" t="str">
        <f>_xlfn.IFNA(VLOOKUP(B68,Nyers!A:G,7,0),"")</f>
        <v/>
      </c>
    </row>
    <row r="69" spans="1:9" x14ac:dyDescent="0.25">
      <c r="A69">
        <v>15</v>
      </c>
      <c r="B69" s="41">
        <v>45725</v>
      </c>
      <c r="C69" t="str">
        <f>_xlfn.IFNA(VLOOKUP(B69,SZO!A:B,2,0),"")</f>
        <v/>
      </c>
      <c r="D69">
        <f>VLOOKUP(B69,[1]Pivot!$A:$B,2,0)</f>
        <v>123</v>
      </c>
      <c r="E69" t="str">
        <f>_xlfn.IFNA(VLOOKUP(B69,Nyers!A:E,5,0),"")</f>
        <v/>
      </c>
      <c r="F69" t="str">
        <f>_xlfn.IFNA(VLOOKUP(B69,Nyers!A:F,6,0),"")</f>
        <v/>
      </c>
      <c r="G69" t="str">
        <f>_xlfn.IFNA(VLOOKUP(B69,Nyers!A:H,8,0),"")</f>
        <v/>
      </c>
      <c r="H69" t="str">
        <f>_xlfn.IFNA(VLOOKUP(B69,Nyers!A:D,4,0),"")</f>
        <v/>
      </c>
      <c r="I69" t="str">
        <f>_xlfn.IFNA(VLOOKUP(B69,Nyers!A:G,7,0),"")</f>
        <v/>
      </c>
    </row>
    <row r="70" spans="1:9" x14ac:dyDescent="0.25">
      <c r="A70">
        <v>15</v>
      </c>
      <c r="B70" s="41">
        <v>45726</v>
      </c>
      <c r="C70">
        <f>_xlfn.IFNA(VLOOKUP(B70,SZO!A:B,2,0),"")</f>
        <v>0</v>
      </c>
      <c r="D70">
        <f>VLOOKUP(B70,[1]Pivot!$A:$B,2,0)</f>
        <v>574</v>
      </c>
      <c r="E70">
        <f>_xlfn.IFNA(VLOOKUP(B70,Nyers!A:E,5,0),"")</f>
        <v>384</v>
      </c>
      <c r="F70">
        <f>_xlfn.IFNA(VLOOKUP(B70,Nyers!A:F,6,0),"")</f>
        <v>114</v>
      </c>
      <c r="G70">
        <f>_xlfn.IFNA(VLOOKUP(B70,Nyers!A:H,8,0),"")</f>
        <v>447</v>
      </c>
      <c r="H70">
        <f>_xlfn.IFNA(VLOOKUP(B70,Nyers!A:D,4,0),"")</f>
        <v>710</v>
      </c>
      <c r="I70">
        <f>_xlfn.IFNA(VLOOKUP(B70,Nyers!A:G,7,0),"")</f>
        <v>3680</v>
      </c>
    </row>
    <row r="71" spans="1:9" x14ac:dyDescent="0.25">
      <c r="A71">
        <v>15</v>
      </c>
      <c r="B71" s="41">
        <v>45727</v>
      </c>
      <c r="C71">
        <f>_xlfn.IFNA(VLOOKUP(B71,SZO!A:B,2,0),"")</f>
        <v>0</v>
      </c>
      <c r="D71">
        <f>VLOOKUP(B71,[1]Pivot!$A:$B,2,0)</f>
        <v>703</v>
      </c>
      <c r="E71">
        <f>_xlfn.IFNA(VLOOKUP(B71,Nyers!A:E,5,0),"")</f>
        <v>375</v>
      </c>
      <c r="F71">
        <f>_xlfn.IFNA(VLOOKUP(B71,Nyers!A:F,6,0),"")</f>
        <v>115</v>
      </c>
      <c r="G71">
        <f>_xlfn.IFNA(VLOOKUP(B71,Nyers!A:H,8,0),"")</f>
        <v>383</v>
      </c>
      <c r="H71">
        <f>_xlfn.IFNA(VLOOKUP(B71,Nyers!A:D,4,0),"")</f>
        <v>775</v>
      </c>
      <c r="I71">
        <f>_xlfn.IFNA(VLOOKUP(B71,Nyers!A:G,7,0),"")</f>
        <v>3560</v>
      </c>
    </row>
    <row r="72" spans="1:9" x14ac:dyDescent="0.25">
      <c r="A72">
        <v>15</v>
      </c>
      <c r="B72" s="41">
        <v>45728</v>
      </c>
      <c r="C72">
        <f>_xlfn.IFNA(VLOOKUP(B72,SZO!A:B,2,0),"")</f>
        <v>4318</v>
      </c>
      <c r="D72">
        <f>VLOOKUP(B72,[1]Pivot!$A:$B,2,0)</f>
        <v>446</v>
      </c>
      <c r="E72">
        <f>_xlfn.IFNA(VLOOKUP(B72,Nyers!A:E,5,0),"")</f>
        <v>394</v>
      </c>
      <c r="F72">
        <f>_xlfn.IFNA(VLOOKUP(B72,Nyers!A:F,6,0),"")</f>
        <v>97</v>
      </c>
      <c r="G72">
        <f>_xlfn.IFNA(VLOOKUP(B72,Nyers!A:H,8,0),"")</f>
        <v>389</v>
      </c>
      <c r="H72">
        <f>_xlfn.IFNA(VLOOKUP(B72,Nyers!A:D,4,0),"")</f>
        <v>763</v>
      </c>
      <c r="I72">
        <f>_xlfn.IFNA(VLOOKUP(B72,Nyers!A:G,7,0),"")</f>
        <v>3218</v>
      </c>
    </row>
    <row r="73" spans="1:9" x14ac:dyDescent="0.25">
      <c r="A73">
        <v>15</v>
      </c>
      <c r="B73" s="41">
        <v>45729</v>
      </c>
      <c r="C73">
        <f>_xlfn.IFNA(VLOOKUP(B73,SZO!A:B,2,0),"")</f>
        <v>6497</v>
      </c>
      <c r="D73">
        <f>VLOOKUP(B73,[1]Pivot!$A:$B,2,0)</f>
        <v>493</v>
      </c>
      <c r="E73">
        <f>_xlfn.IFNA(VLOOKUP(B73,Nyers!A:E,5,0),"")</f>
        <v>377</v>
      </c>
      <c r="F73">
        <f>_xlfn.IFNA(VLOOKUP(B73,Nyers!A:F,6,0),"")</f>
        <v>95</v>
      </c>
      <c r="G73">
        <f>_xlfn.IFNA(VLOOKUP(B73,Nyers!A:H,8,0),"")</f>
        <v>403</v>
      </c>
      <c r="H73">
        <f>_xlfn.IFNA(VLOOKUP(B73,Nyers!A:D,4,0),"")</f>
        <v>757</v>
      </c>
      <c r="I73">
        <f>_xlfn.IFNA(VLOOKUP(B73,Nyers!A:G,7,0),"")</f>
        <v>2896</v>
      </c>
    </row>
    <row r="74" spans="1:9" x14ac:dyDescent="0.25">
      <c r="A74">
        <v>16</v>
      </c>
      <c r="B74" s="41">
        <v>45730</v>
      </c>
      <c r="C74">
        <f>_xlfn.IFNA(VLOOKUP(B74,SZO!A:B,2,0),"")</f>
        <v>2814</v>
      </c>
      <c r="D74">
        <f>VLOOKUP(B74,[1]Pivot!$A:$B,2,0)</f>
        <v>413</v>
      </c>
      <c r="E74">
        <f>_xlfn.IFNA(VLOOKUP(B74,Nyers!A:E,5,0),"")</f>
        <v>438</v>
      </c>
      <c r="F74">
        <f>_xlfn.IFNA(VLOOKUP(B74,Nyers!A:F,6,0),"")</f>
        <v>133</v>
      </c>
      <c r="G74">
        <f>_xlfn.IFNA(VLOOKUP(B74,Nyers!A:H,8,0),"")</f>
        <v>385</v>
      </c>
      <c r="H74">
        <f>_xlfn.IFNA(VLOOKUP(B74,Nyers!A:D,4,0),"")</f>
        <v>460</v>
      </c>
      <c r="I74">
        <f>_xlfn.IFNA(VLOOKUP(B74,Nyers!A:G,7,0),"")</f>
        <v>3103</v>
      </c>
    </row>
    <row r="75" spans="1:9" x14ac:dyDescent="0.25">
      <c r="A75">
        <v>16</v>
      </c>
      <c r="B75" s="41">
        <v>45731</v>
      </c>
      <c r="C75" t="str">
        <f>_xlfn.IFNA(VLOOKUP(B75,SZO!A:B,2,0),"")</f>
        <v/>
      </c>
      <c r="D75">
        <f>VLOOKUP(B75,[1]Pivot!$A:$B,2,0)</f>
        <v>83</v>
      </c>
      <c r="E75" t="str">
        <f>_xlfn.IFNA(VLOOKUP(B75,Nyers!A:E,5,0),"")</f>
        <v/>
      </c>
      <c r="F75" t="str">
        <f>_xlfn.IFNA(VLOOKUP(B75,Nyers!A:F,6,0),"")</f>
        <v/>
      </c>
      <c r="G75" t="str">
        <f>_xlfn.IFNA(VLOOKUP(B75,Nyers!A:H,8,0),"")</f>
        <v/>
      </c>
      <c r="H75" t="str">
        <f>_xlfn.IFNA(VLOOKUP(B75,Nyers!A:D,4,0),"")</f>
        <v/>
      </c>
      <c r="I75" t="str">
        <f>_xlfn.IFNA(VLOOKUP(B75,Nyers!A:G,7,0),"")</f>
        <v/>
      </c>
    </row>
    <row r="76" spans="1:9" x14ac:dyDescent="0.25">
      <c r="A76">
        <v>16</v>
      </c>
      <c r="B76" s="41">
        <v>45732</v>
      </c>
      <c r="C76" t="str">
        <f>_xlfn.IFNA(VLOOKUP(B76,SZO!A:B,2,0),"")</f>
        <v/>
      </c>
      <c r="D76">
        <f>VLOOKUP(B76,[1]Pivot!$A:$B,2,0)</f>
        <v>89</v>
      </c>
      <c r="E76" t="str">
        <f>_xlfn.IFNA(VLOOKUP(B76,Nyers!A:E,5,0),"")</f>
        <v/>
      </c>
      <c r="F76" t="str">
        <f>_xlfn.IFNA(VLOOKUP(B76,Nyers!A:F,6,0),"")</f>
        <v/>
      </c>
      <c r="G76" t="str">
        <f>_xlfn.IFNA(VLOOKUP(B76,Nyers!A:H,8,0),"")</f>
        <v/>
      </c>
      <c r="H76" t="str">
        <f>_xlfn.IFNA(VLOOKUP(B76,Nyers!A:D,4,0),"")</f>
        <v/>
      </c>
      <c r="I76" t="str">
        <f>_xlfn.IFNA(VLOOKUP(B76,Nyers!A:G,7,0),"")</f>
        <v/>
      </c>
    </row>
    <row r="77" spans="1:9" x14ac:dyDescent="0.25">
      <c r="A77">
        <v>16</v>
      </c>
      <c r="B77" s="41">
        <v>45733</v>
      </c>
      <c r="C77">
        <f>_xlfn.IFNA(VLOOKUP(B77,SZO!A:B,2,0),"")</f>
        <v>2336</v>
      </c>
      <c r="D77">
        <f>VLOOKUP(B77,[1]Pivot!$A:$B,2,0)</f>
        <v>743</v>
      </c>
      <c r="E77">
        <f>_xlfn.IFNA(VLOOKUP(B77,Nyers!A:E,5,0),"")</f>
        <v>477</v>
      </c>
      <c r="F77">
        <f>_xlfn.IFNA(VLOOKUP(B77,Nyers!A:F,6,0),"")</f>
        <v>152</v>
      </c>
      <c r="G77">
        <f>_xlfn.IFNA(VLOOKUP(B77,Nyers!A:H,8,0),"")</f>
        <v>797</v>
      </c>
      <c r="H77">
        <f>_xlfn.IFNA(VLOOKUP(B77,Nyers!A:D,4,0),"")</f>
        <v>590</v>
      </c>
      <c r="I77">
        <f>_xlfn.IFNA(VLOOKUP(B77,Nyers!A:G,7,0),"")</f>
        <v>3034</v>
      </c>
    </row>
    <row r="78" spans="1:9" x14ac:dyDescent="0.25">
      <c r="A78">
        <v>17</v>
      </c>
      <c r="B78" s="41">
        <v>45734</v>
      </c>
      <c r="C78">
        <f>_xlfn.IFNA(VLOOKUP(B78,SZO!A:B,2,0),"")</f>
        <v>2332</v>
      </c>
      <c r="D78">
        <f>VLOOKUP(B78,[1]Pivot!$A:$B,2,0)</f>
        <v>940</v>
      </c>
      <c r="E78">
        <f>_xlfn.IFNA(VLOOKUP(B78,Nyers!A:E,5,0),"")</f>
        <v>515</v>
      </c>
      <c r="F78">
        <f>_xlfn.IFNA(VLOOKUP(B78,Nyers!A:F,6,0),"")</f>
        <v>208</v>
      </c>
      <c r="G78">
        <f>_xlfn.IFNA(VLOOKUP(B78,Nyers!A:H,8,0),"")</f>
        <v>663</v>
      </c>
      <c r="H78">
        <f>_xlfn.IFNA(VLOOKUP(B78,Nyers!A:D,4,0),"")</f>
        <v>624</v>
      </c>
      <c r="I78">
        <f>_xlfn.IFNA(VLOOKUP(B78,Nyers!A:G,7,0),"")</f>
        <v>3316</v>
      </c>
    </row>
    <row r="79" spans="1:9" x14ac:dyDescent="0.25">
      <c r="A79">
        <v>17</v>
      </c>
      <c r="B79" s="41">
        <v>45735</v>
      </c>
      <c r="C79">
        <f>_xlfn.IFNA(VLOOKUP(B79,SZO!A:B,2,0),"")</f>
        <v>2032</v>
      </c>
      <c r="D79">
        <f>VLOOKUP(B79,[1]Pivot!$A:$B,2,0)</f>
        <v>775</v>
      </c>
      <c r="E79">
        <f>_xlfn.IFNA(VLOOKUP(B79,Nyers!A:E,5,0),"")</f>
        <v>637</v>
      </c>
      <c r="F79">
        <f>_xlfn.IFNA(VLOOKUP(B79,Nyers!A:F,6,0),"")</f>
        <v>178</v>
      </c>
      <c r="G79">
        <f>_xlfn.IFNA(VLOOKUP(B79,Nyers!A:H,8,0),"")</f>
        <v>710</v>
      </c>
      <c r="H79">
        <f>_xlfn.IFNA(VLOOKUP(B79,Nyers!A:D,4,0),"")</f>
        <v>305</v>
      </c>
      <c r="I79">
        <f>_xlfn.IFNA(VLOOKUP(B79,Nyers!A:G,7,0),"")</f>
        <v>3880</v>
      </c>
    </row>
    <row r="80" spans="1:9" x14ac:dyDescent="0.25">
      <c r="A80">
        <v>17</v>
      </c>
      <c r="B80" s="41">
        <v>45736</v>
      </c>
      <c r="C80">
        <f>_xlfn.IFNA(VLOOKUP(B80,SZO!A:B,2,0),"")</f>
        <v>2541</v>
      </c>
      <c r="D80">
        <f>VLOOKUP(B80,[1]Pivot!$A:$B,2,0)</f>
        <v>786</v>
      </c>
      <c r="E80">
        <f>_xlfn.IFNA(VLOOKUP(B80,Nyers!A:E,5,0),"")</f>
        <v>619</v>
      </c>
      <c r="F80">
        <f>_xlfn.IFNA(VLOOKUP(B80,Nyers!A:F,6,0),"")</f>
        <v>165</v>
      </c>
      <c r="G80">
        <f>_xlfn.IFNA(VLOOKUP(B80,Nyers!A:H,8,0),"")</f>
        <v>665</v>
      </c>
      <c r="H80">
        <f>_xlfn.IFNA(VLOOKUP(B80,Nyers!A:D,4,0),"")</f>
        <v>637</v>
      </c>
      <c r="I80">
        <f>_xlfn.IFNA(VLOOKUP(B80,Nyers!A:G,7,0),"")</f>
        <v>3984</v>
      </c>
    </row>
    <row r="81" spans="1:9" x14ac:dyDescent="0.25">
      <c r="A81">
        <v>17</v>
      </c>
      <c r="B81" s="41">
        <v>45737</v>
      </c>
      <c r="C81">
        <f>_xlfn.IFNA(VLOOKUP(B81,SZO!A:B,2,0),"")</f>
        <v>2463</v>
      </c>
      <c r="D81">
        <f>VLOOKUP(B81,[1]Pivot!$A:$B,2,0)</f>
        <v>669</v>
      </c>
      <c r="E81">
        <f>_xlfn.IFNA(VLOOKUP(B81,Nyers!A:E,5,0),"")</f>
        <v>611</v>
      </c>
      <c r="F81">
        <f>_xlfn.IFNA(VLOOKUP(B81,Nyers!A:F,6,0),"")</f>
        <v>197</v>
      </c>
      <c r="G81">
        <f>_xlfn.IFNA(VLOOKUP(B81,Nyers!A:H,8,0),"")</f>
        <v>594</v>
      </c>
      <c r="H81">
        <f>_xlfn.IFNA(VLOOKUP(B81,Nyers!A:D,4,0),"")</f>
        <v>397</v>
      </c>
      <c r="I81">
        <f>_xlfn.IFNA(VLOOKUP(B81,Nyers!A:G,7,0),"")</f>
        <v>4545</v>
      </c>
    </row>
    <row r="82" spans="1:9" x14ac:dyDescent="0.25">
      <c r="A82">
        <v>18</v>
      </c>
      <c r="B82" s="41">
        <v>45738</v>
      </c>
      <c r="C82" t="str">
        <f>_xlfn.IFNA(VLOOKUP(B82,SZO!A:B,2,0),"")</f>
        <v/>
      </c>
      <c r="D82">
        <f>VLOOKUP(B82,[1]Pivot!$A:$B,2,0)</f>
        <v>141</v>
      </c>
      <c r="E82" t="str">
        <f>_xlfn.IFNA(VLOOKUP(B82,Nyers!A:E,5,0),"")</f>
        <v/>
      </c>
      <c r="F82" t="str">
        <f>_xlfn.IFNA(VLOOKUP(B82,Nyers!A:F,6,0),"")</f>
        <v/>
      </c>
      <c r="G82" t="str">
        <f>_xlfn.IFNA(VLOOKUP(B82,Nyers!A:H,8,0),"")</f>
        <v/>
      </c>
      <c r="H82" t="str">
        <f>_xlfn.IFNA(VLOOKUP(B82,Nyers!A:D,4,0),"")</f>
        <v/>
      </c>
      <c r="I82" t="str">
        <f>_xlfn.IFNA(VLOOKUP(B82,Nyers!A:G,7,0),"")</f>
        <v/>
      </c>
    </row>
    <row r="83" spans="1:9" x14ac:dyDescent="0.25">
      <c r="A83">
        <v>18</v>
      </c>
      <c r="B83" s="41">
        <v>45739</v>
      </c>
      <c r="C83" t="str">
        <f>_xlfn.IFNA(VLOOKUP(B83,SZO!A:B,2,0),"")</f>
        <v/>
      </c>
      <c r="D83">
        <f>VLOOKUP(B83,[1]Pivot!$A:$B,2,0)</f>
        <v>167</v>
      </c>
      <c r="E83" t="str">
        <f>_xlfn.IFNA(VLOOKUP(B83,Nyers!A:E,5,0),"")</f>
        <v/>
      </c>
      <c r="F83" t="str">
        <f>_xlfn.IFNA(VLOOKUP(B83,Nyers!A:F,6,0),"")</f>
        <v/>
      </c>
      <c r="G83" t="str">
        <f>_xlfn.IFNA(VLOOKUP(B83,Nyers!A:H,8,0),"")</f>
        <v/>
      </c>
      <c r="H83" t="str">
        <f>_xlfn.IFNA(VLOOKUP(B83,Nyers!A:D,4,0),"")</f>
        <v/>
      </c>
      <c r="I83" t="str">
        <f>_xlfn.IFNA(VLOOKUP(B83,Nyers!A:G,7,0),"")</f>
        <v/>
      </c>
    </row>
    <row r="84" spans="1:9" x14ac:dyDescent="0.25">
      <c r="A84">
        <v>18</v>
      </c>
      <c r="B84" s="41">
        <v>45740</v>
      </c>
      <c r="C84">
        <f>_xlfn.IFNA(VLOOKUP(B84,SZO!A:B,2,0),"")</f>
        <v>3750</v>
      </c>
      <c r="D84">
        <f>VLOOKUP(B84,[1]Pivot!$A:$B,2,0)</f>
        <v>759</v>
      </c>
      <c r="E84">
        <f>_xlfn.IFNA(VLOOKUP(B84,Nyers!A:E,5,0),"")</f>
        <v>637</v>
      </c>
      <c r="F84">
        <f>_xlfn.IFNA(VLOOKUP(B84,Nyers!A:F,6,0),"")</f>
        <v>189</v>
      </c>
      <c r="G84">
        <f>_xlfn.IFNA(VLOOKUP(B84,Nyers!A:H,8,0),"")</f>
        <v>697</v>
      </c>
      <c r="H84">
        <f>_xlfn.IFNA(VLOOKUP(B84,Nyers!A:D,4,0),"")</f>
        <v>684</v>
      </c>
      <c r="I84">
        <f>_xlfn.IFNA(VLOOKUP(B84,Nyers!A:G,7,0),"")</f>
        <v>4662</v>
      </c>
    </row>
    <row r="85" spans="1:9" x14ac:dyDescent="0.25">
      <c r="A85">
        <v>19</v>
      </c>
      <c r="B85" s="41">
        <v>45741</v>
      </c>
      <c r="C85">
        <f>_xlfn.IFNA(VLOOKUP(B85,SZO!A:B,2,0),"")</f>
        <v>0</v>
      </c>
      <c r="D85">
        <f>VLOOKUP(B85,[1]Pivot!$A:$B,2,0)</f>
        <v>901</v>
      </c>
      <c r="E85">
        <f>_xlfn.IFNA(VLOOKUP(B85,Nyers!A:E,5,0),"")</f>
        <v>549</v>
      </c>
      <c r="F85">
        <f>_xlfn.IFNA(VLOOKUP(B85,Nyers!A:F,6,0),"")</f>
        <v>179</v>
      </c>
      <c r="G85">
        <f>_xlfn.IFNA(VLOOKUP(B85,Nyers!A:H,8,0),"")</f>
        <v>608</v>
      </c>
      <c r="H85">
        <f>_xlfn.IFNA(VLOOKUP(B85,Nyers!A:D,4,0),"")</f>
        <v>537</v>
      </c>
      <c r="I85">
        <f>_xlfn.IFNA(VLOOKUP(B85,Nyers!A:G,7,0),"")</f>
        <v>4937</v>
      </c>
    </row>
    <row r="86" spans="1:9" x14ac:dyDescent="0.25">
      <c r="A86">
        <v>19</v>
      </c>
      <c r="B86" s="41">
        <v>45742</v>
      </c>
      <c r="C86">
        <f>_xlfn.IFNA(VLOOKUP(B86,SZO!A:B,2,0),"")</f>
        <v>0</v>
      </c>
      <c r="D86">
        <f>VLOOKUP(B86,[1]Pivot!$A:$B,2,0)</f>
        <v>815</v>
      </c>
      <c r="E86">
        <f>_xlfn.IFNA(VLOOKUP(B86,Nyers!A:E,5,0),"")</f>
        <v>623</v>
      </c>
      <c r="F86">
        <f>_xlfn.IFNA(VLOOKUP(B86,Nyers!A:F,6,0),"")</f>
        <v>157</v>
      </c>
      <c r="G86">
        <f>_xlfn.IFNA(VLOOKUP(B86,Nyers!A:H,8,0),"")</f>
        <v>732</v>
      </c>
      <c r="H86">
        <f>_xlfn.IFNA(VLOOKUP(B86,Nyers!A:D,4,0),"")</f>
        <v>635</v>
      </c>
      <c r="I86">
        <f>_xlfn.IFNA(VLOOKUP(B86,Nyers!A:G,7,0),"")</f>
        <v>5012</v>
      </c>
    </row>
    <row r="87" spans="1:9" x14ac:dyDescent="0.25">
      <c r="A87">
        <v>19</v>
      </c>
      <c r="B87" s="41">
        <v>45743</v>
      </c>
      <c r="C87">
        <f>_xlfn.IFNA(VLOOKUP(B87,SZO!A:B,2,0),"")</f>
        <v>0</v>
      </c>
      <c r="D87">
        <f>VLOOKUP(B87,[1]Pivot!$A:$B,2,0)</f>
        <v>828</v>
      </c>
      <c r="E87">
        <f>_xlfn.IFNA(VLOOKUP(B87,Nyers!A:E,5,0),"")</f>
        <v>547</v>
      </c>
      <c r="F87">
        <f>_xlfn.IFNA(VLOOKUP(B87,Nyers!A:F,6,0),"")</f>
        <v>174</v>
      </c>
      <c r="G87">
        <f>_xlfn.IFNA(VLOOKUP(B87,Nyers!A:H,8,0),"")</f>
        <v>588</v>
      </c>
      <c r="H87">
        <f>_xlfn.IFNA(VLOOKUP(B87,Nyers!A:D,4,0),"")</f>
        <v>624</v>
      </c>
      <c r="I87">
        <f>_xlfn.IFNA(VLOOKUP(B87,Nyers!A:G,7,0),"")</f>
        <v>5123</v>
      </c>
    </row>
    <row r="88" spans="1:9" x14ac:dyDescent="0.25">
      <c r="A88">
        <v>19</v>
      </c>
      <c r="B88" s="41">
        <v>45744</v>
      </c>
      <c r="C88">
        <f>_xlfn.IFNA(VLOOKUP(B88,SZO!A:B,2,0),"")</f>
        <v>0</v>
      </c>
      <c r="D88">
        <f>VLOOKUP(B88,[1]Pivot!$A:$B,2,0)</f>
        <v>649</v>
      </c>
      <c r="E88">
        <f>_xlfn.IFNA(VLOOKUP(B88,Nyers!A:E,5,0),"")</f>
        <v>556</v>
      </c>
      <c r="F88">
        <f>_xlfn.IFNA(VLOOKUP(B88,Nyers!A:F,6,0),"")</f>
        <v>208</v>
      </c>
      <c r="G88">
        <f>_xlfn.IFNA(VLOOKUP(B88,Nyers!A:H,8,0),"")</f>
        <v>499</v>
      </c>
      <c r="H88">
        <f>_xlfn.IFNA(VLOOKUP(B88,Nyers!A:D,4,0),"")</f>
        <v>530</v>
      </c>
      <c r="I88">
        <f>_xlfn.IFNA(VLOOKUP(B88,Nyers!A:G,7,0),"")</f>
        <v>5377</v>
      </c>
    </row>
    <row r="89" spans="1:9" x14ac:dyDescent="0.25">
      <c r="A89">
        <v>19</v>
      </c>
      <c r="B89" s="41">
        <v>45745</v>
      </c>
      <c r="C89" t="str">
        <f>_xlfn.IFNA(VLOOKUP(B89,SZO!A:B,2,0),"")</f>
        <v/>
      </c>
      <c r="D89">
        <f>VLOOKUP(B89,[1]Pivot!$A:$B,2,0)</f>
        <v>125</v>
      </c>
      <c r="E89" t="str">
        <f>_xlfn.IFNA(VLOOKUP(B89,Nyers!A:E,5,0),"")</f>
        <v/>
      </c>
      <c r="F89" t="str">
        <f>_xlfn.IFNA(VLOOKUP(B89,Nyers!A:F,6,0),"")</f>
        <v/>
      </c>
      <c r="G89" t="str">
        <f>_xlfn.IFNA(VLOOKUP(B89,Nyers!A:H,8,0),"")</f>
        <v/>
      </c>
      <c r="H89" t="str">
        <f>_xlfn.IFNA(VLOOKUP(B89,Nyers!A:D,4,0),"")</f>
        <v/>
      </c>
      <c r="I89" t="str">
        <f>_xlfn.IFNA(VLOOKUP(B89,Nyers!A:G,7,0),"")</f>
        <v/>
      </c>
    </row>
    <row r="90" spans="1:9" x14ac:dyDescent="0.25">
      <c r="A90">
        <v>20</v>
      </c>
      <c r="B90" s="41">
        <v>45746</v>
      </c>
      <c r="C90" t="str">
        <f>_xlfn.IFNA(VLOOKUP(B90,SZO!A:B,2,0),"")</f>
        <v/>
      </c>
      <c r="D90">
        <f>VLOOKUP(B90,[1]Pivot!$A:$B,2,0)</f>
        <v>127</v>
      </c>
      <c r="E90" t="str">
        <f>_xlfn.IFNA(VLOOKUP(B90,Nyers!A:E,5,0),"")</f>
        <v/>
      </c>
      <c r="F90" t="str">
        <f>_xlfn.IFNA(VLOOKUP(B90,Nyers!A:F,6,0),"")</f>
        <v/>
      </c>
      <c r="G90" t="str">
        <f>_xlfn.IFNA(VLOOKUP(B90,Nyers!A:H,8,0),"")</f>
        <v/>
      </c>
      <c r="H90" t="str">
        <f>_xlfn.IFNA(VLOOKUP(B90,Nyers!A:D,4,0),"")</f>
        <v/>
      </c>
      <c r="I90" t="str">
        <f>_xlfn.IFNA(VLOOKUP(B90,Nyers!A:G,7,0),"")</f>
        <v/>
      </c>
    </row>
    <row r="91" spans="1:9" x14ac:dyDescent="0.25">
      <c r="A91">
        <v>20</v>
      </c>
      <c r="B91" s="41">
        <v>45747</v>
      </c>
      <c r="C91">
        <f>_xlfn.IFNA(VLOOKUP(B91,SZO!A:B,2,0),"")</f>
        <v>0</v>
      </c>
      <c r="D91">
        <f>VLOOKUP(B91,[1]Pivot!$A:$B,2,0)</f>
        <v>707</v>
      </c>
      <c r="E91">
        <f>_xlfn.IFNA(VLOOKUP(B91,Nyers!A:E,5,0),"")</f>
        <v>537</v>
      </c>
      <c r="F91">
        <f>_xlfn.IFNA(VLOOKUP(B91,Nyers!A:F,6,0),"")</f>
        <v>150</v>
      </c>
      <c r="G91">
        <f>_xlfn.IFNA(VLOOKUP(B91,Nyers!A:H,8,0),"")</f>
        <v>500</v>
      </c>
      <c r="H91">
        <f>_xlfn.IFNA(VLOOKUP(B91,Nyers!A:D,4,0),"")</f>
        <v>666</v>
      </c>
      <c r="I91">
        <f>_xlfn.IFNA(VLOOKUP(B91,Nyers!A:G,7,0),"")</f>
        <v>5301</v>
      </c>
    </row>
    <row r="92" spans="1:9" x14ac:dyDescent="0.25">
      <c r="A92">
        <v>20</v>
      </c>
      <c r="B92" s="41">
        <v>45748</v>
      </c>
      <c r="C92">
        <f>_xlfn.IFNA(VLOOKUP(B92,SZO!A:B,2,0),"")</f>
        <v>0</v>
      </c>
      <c r="D92">
        <f>VLOOKUP(B92,[1]Pivot!$A:$B,2,0)</f>
        <v>696</v>
      </c>
      <c r="E92">
        <f>_xlfn.IFNA(VLOOKUP(B92,Nyers!A:E,5,0),"")</f>
        <v>455</v>
      </c>
      <c r="F92">
        <f>_xlfn.IFNA(VLOOKUP(B92,Nyers!A:F,6,0),"")</f>
        <v>128</v>
      </c>
      <c r="G92">
        <f>_xlfn.IFNA(VLOOKUP(B92,Nyers!A:H,8,0),"")</f>
        <v>500</v>
      </c>
      <c r="H92">
        <f>_xlfn.IFNA(VLOOKUP(B92,Nyers!A:D,4,0),"")</f>
        <v>593</v>
      </c>
      <c r="I92">
        <f>_xlfn.IFNA(VLOOKUP(B92,Nyers!A:G,7,0),"")</f>
        <v>5368</v>
      </c>
    </row>
    <row r="93" spans="1:9" x14ac:dyDescent="0.25">
      <c r="A93">
        <v>20</v>
      </c>
      <c r="B93" s="41">
        <v>45749</v>
      </c>
      <c r="C93">
        <f>_xlfn.IFNA(VLOOKUP(B93,SZO!A:B,2,0),"")</f>
        <v>3177</v>
      </c>
      <c r="D93">
        <f>VLOOKUP(B93,[1]Pivot!$A:$B,2,0)</f>
        <v>620</v>
      </c>
      <c r="E93">
        <f>_xlfn.IFNA(VLOOKUP(B93,Nyers!A:E,5,0),"")</f>
        <v>483</v>
      </c>
      <c r="F93">
        <f>_xlfn.IFNA(VLOOKUP(B93,Nyers!A:F,6,0),"")</f>
        <v>119</v>
      </c>
      <c r="G93">
        <f>_xlfn.IFNA(VLOOKUP(B93,Nyers!A:H,8,0),"")</f>
        <v>477</v>
      </c>
      <c r="H93">
        <f>_xlfn.IFNA(VLOOKUP(B93,Nyers!A:D,4,0),"")</f>
        <v>737</v>
      </c>
      <c r="I93">
        <f>_xlfn.IFNA(VLOOKUP(B93,Nyers!A:G,7,0),"")</f>
        <v>5075</v>
      </c>
    </row>
    <row r="94" spans="1:9" x14ac:dyDescent="0.25">
      <c r="A94">
        <v>20</v>
      </c>
      <c r="B94" s="41">
        <v>45750</v>
      </c>
      <c r="C94">
        <f>_xlfn.IFNA(VLOOKUP(B94,SZO!A:B,2,0),"")</f>
        <v>4402</v>
      </c>
      <c r="D94">
        <f>VLOOKUP(B94,[1]Pivot!$A:$B,2,0)</f>
        <v>518</v>
      </c>
      <c r="E94">
        <f>_xlfn.IFNA(VLOOKUP(B94,Nyers!A:E,5,0),"")</f>
        <v>478</v>
      </c>
      <c r="F94">
        <f>_xlfn.IFNA(VLOOKUP(B94,Nyers!A:F,6,0),"")</f>
        <v>145</v>
      </c>
      <c r="G94">
        <f>_xlfn.IFNA(VLOOKUP(B94,Nyers!A:H,8,0),"")</f>
        <v>500</v>
      </c>
      <c r="H94">
        <f>_xlfn.IFNA(VLOOKUP(B94,Nyers!A:D,4,0),"")</f>
        <v>874</v>
      </c>
      <c r="I94">
        <f>_xlfn.IFNA(VLOOKUP(B94,Nyers!A:G,7,0),"")</f>
        <v>4615</v>
      </c>
    </row>
    <row r="95" spans="1:9" x14ac:dyDescent="0.25">
      <c r="A95">
        <v>20</v>
      </c>
      <c r="B95" s="41">
        <v>45751</v>
      </c>
      <c r="C95">
        <f>_xlfn.IFNA(VLOOKUP(B95,SZO!A:B,2,0),"")</f>
        <v>2</v>
      </c>
      <c r="D95">
        <f>VLOOKUP(B95,[1]Pivot!$A:$B,2,0)</f>
        <v>463</v>
      </c>
      <c r="E95">
        <f>_xlfn.IFNA(VLOOKUP(B95,Nyers!A:E,5,0),"")</f>
        <v>541</v>
      </c>
      <c r="F95">
        <f>_xlfn.IFNA(VLOOKUP(B95,Nyers!A:F,6,0),"")</f>
        <v>157</v>
      </c>
      <c r="G95">
        <f>_xlfn.IFNA(VLOOKUP(B95,Nyers!A:H,8,0),"")</f>
        <v>450</v>
      </c>
      <c r="H95">
        <f>_xlfn.IFNA(VLOOKUP(B95,Nyers!A:D,4,0),"")</f>
        <v>819</v>
      </c>
      <c r="I95">
        <f>_xlfn.IFNA(VLOOKUP(B95,Nyers!A:G,7,0),"")</f>
        <v>4521</v>
      </c>
    </row>
    <row r="96" spans="1:9" x14ac:dyDescent="0.25">
      <c r="A96">
        <v>21</v>
      </c>
      <c r="B96" s="41">
        <v>45752</v>
      </c>
      <c r="C96" t="str">
        <f>_xlfn.IFNA(VLOOKUP(B96,SZO!A:B,2,0),"")</f>
        <v/>
      </c>
      <c r="D96">
        <f>VLOOKUP(B96,[1]Pivot!$A:$B,2,0)</f>
        <v>86</v>
      </c>
      <c r="E96" t="str">
        <f>_xlfn.IFNA(VLOOKUP(B96,Nyers!A:E,5,0),"")</f>
        <v/>
      </c>
      <c r="F96" t="str">
        <f>_xlfn.IFNA(VLOOKUP(B96,Nyers!A:F,6,0),"")</f>
        <v/>
      </c>
      <c r="G96" t="str">
        <f>_xlfn.IFNA(VLOOKUP(B96,Nyers!A:H,8,0),"")</f>
        <v/>
      </c>
      <c r="H96" t="str">
        <f>_xlfn.IFNA(VLOOKUP(B96,Nyers!A:D,4,0),"")</f>
        <v/>
      </c>
      <c r="I96" t="str">
        <f>_xlfn.IFNA(VLOOKUP(B96,Nyers!A:G,7,0),"")</f>
        <v/>
      </c>
    </row>
    <row r="97" spans="1:9" x14ac:dyDescent="0.25">
      <c r="A97">
        <v>21</v>
      </c>
      <c r="B97" s="41">
        <v>45753</v>
      </c>
      <c r="C97" t="str">
        <f>_xlfn.IFNA(VLOOKUP(B97,SZO!A:B,2,0),"")</f>
        <v/>
      </c>
      <c r="D97">
        <f>VLOOKUP(B97,[1]Pivot!$A:$B,2,0)</f>
        <v>131</v>
      </c>
      <c r="E97" t="str">
        <f>_xlfn.IFNA(VLOOKUP(B97,Nyers!A:E,5,0),"")</f>
        <v/>
      </c>
      <c r="F97" t="str">
        <f>_xlfn.IFNA(VLOOKUP(B97,Nyers!A:F,6,0),"")</f>
        <v/>
      </c>
      <c r="G97" t="str">
        <f>_xlfn.IFNA(VLOOKUP(B97,Nyers!A:H,8,0),"")</f>
        <v/>
      </c>
      <c r="H97" t="str">
        <f>_xlfn.IFNA(VLOOKUP(B97,Nyers!A:D,4,0),"")</f>
        <v/>
      </c>
      <c r="I97" t="str">
        <f>_xlfn.IFNA(VLOOKUP(B97,Nyers!A:G,7,0),"")</f>
        <v/>
      </c>
    </row>
    <row r="98" spans="1:9" x14ac:dyDescent="0.25">
      <c r="A98">
        <v>21</v>
      </c>
      <c r="B98" s="41">
        <v>45754</v>
      </c>
      <c r="C98">
        <f>_xlfn.IFNA(VLOOKUP(B98,SZO!A:B,2,0),"")</f>
        <v>6498</v>
      </c>
      <c r="D98">
        <f>VLOOKUP(B98,[1]Pivot!$A:$B,2,0)</f>
        <v>885</v>
      </c>
      <c r="E98">
        <f>_xlfn.IFNA(VLOOKUP(B98,Nyers!A:E,5,0),"")</f>
        <v>538</v>
      </c>
      <c r="F98">
        <f>_xlfn.IFNA(VLOOKUP(B98,Nyers!A:F,6,0),"")</f>
        <v>188</v>
      </c>
      <c r="G98">
        <f>_xlfn.IFNA(VLOOKUP(B98,Nyers!A:H,8,0),"")</f>
        <v>680</v>
      </c>
      <c r="H98">
        <f>_xlfn.IFNA(VLOOKUP(B98,Nyers!A:D,4,0),"")</f>
        <v>928</v>
      </c>
      <c r="I98">
        <f>_xlfn.IFNA(VLOOKUP(B98,Nyers!A:G,7,0),"")</f>
        <v>4430</v>
      </c>
    </row>
    <row r="99" spans="1:9" x14ac:dyDescent="0.25">
      <c r="A99">
        <v>21</v>
      </c>
      <c r="B99" s="41">
        <v>45755</v>
      </c>
      <c r="C99">
        <f>_xlfn.IFNA(VLOOKUP(B99,SZO!A:B,2,0),"")</f>
        <v>3312</v>
      </c>
      <c r="D99">
        <f>VLOOKUP(B99,[1]Pivot!$A:$B,2,0)</f>
        <v>641</v>
      </c>
      <c r="E99">
        <f>_xlfn.IFNA(VLOOKUP(B99,Nyers!A:E,5,0),"")</f>
        <v>526</v>
      </c>
      <c r="F99">
        <f>_xlfn.IFNA(VLOOKUP(B99,Nyers!A:F,6,0),"")</f>
        <v>120</v>
      </c>
      <c r="G99">
        <f>_xlfn.IFNA(VLOOKUP(B99,Nyers!A:H,8,0),"")</f>
        <v>570</v>
      </c>
      <c r="H99">
        <f>_xlfn.IFNA(VLOOKUP(B99,Nyers!A:D,4,0),"")</f>
        <v>883</v>
      </c>
      <c r="I99">
        <f>_xlfn.IFNA(VLOOKUP(B99,Nyers!A:G,7,0),"")</f>
        <v>4164</v>
      </c>
    </row>
    <row r="100" spans="1:9" x14ac:dyDescent="0.25">
      <c r="A100">
        <v>21</v>
      </c>
      <c r="B100" s="41">
        <v>45756</v>
      </c>
      <c r="C100">
        <f>_xlfn.IFNA(VLOOKUP(B100,SZO!A:B,2,0),"")</f>
        <v>3031</v>
      </c>
      <c r="D100">
        <f>VLOOKUP(B100,[1]Pivot!$A:$B,2,0)</f>
        <v>715</v>
      </c>
      <c r="E100">
        <f>_xlfn.IFNA(VLOOKUP(B100,Nyers!A:E,5,0),"")</f>
        <v>590</v>
      </c>
      <c r="F100">
        <f>_xlfn.IFNA(VLOOKUP(B100,Nyers!A:F,6,0),"")</f>
        <v>165</v>
      </c>
      <c r="G100">
        <f>_xlfn.IFNA(VLOOKUP(B100,Nyers!A:H,8,0),"")</f>
        <v>565</v>
      </c>
      <c r="H100">
        <f>_xlfn.IFNA(VLOOKUP(B100,Nyers!A:D,4,0),"")</f>
        <v>725</v>
      </c>
      <c r="I100">
        <f>_xlfn.IFNA(VLOOKUP(B100,Nyers!A:G,7,0),"")</f>
        <v>4071</v>
      </c>
    </row>
    <row r="101" spans="1:9" x14ac:dyDescent="0.25">
      <c r="A101">
        <v>22</v>
      </c>
      <c r="B101" s="41">
        <v>45757</v>
      </c>
      <c r="C101">
        <f>_xlfn.IFNA(VLOOKUP(B101,SZO!A:B,2,0),"")</f>
        <v>0</v>
      </c>
      <c r="D101">
        <f>VLOOKUP(B101,[1]Pivot!$A:$B,2,0)</f>
        <v>776</v>
      </c>
      <c r="E101">
        <f>_xlfn.IFNA(VLOOKUP(B101,Nyers!A:E,5,0),"")</f>
        <v>561</v>
      </c>
      <c r="F101">
        <f>_xlfn.IFNA(VLOOKUP(B101,Nyers!A:F,6,0),"")</f>
        <v>173</v>
      </c>
      <c r="G101">
        <f>_xlfn.IFNA(VLOOKUP(B101,Nyers!A:H,8,0),"")</f>
        <v>677</v>
      </c>
      <c r="H101">
        <f>_xlfn.IFNA(VLOOKUP(B101,Nyers!A:D,4,0),"")</f>
        <v>764</v>
      </c>
      <c r="I101">
        <f>_xlfn.IFNA(VLOOKUP(B101,Nyers!A:G,7,0),"")</f>
        <v>4060</v>
      </c>
    </row>
    <row r="102" spans="1:9" x14ac:dyDescent="0.25">
      <c r="A102">
        <v>22</v>
      </c>
      <c r="B102" s="41">
        <v>45758</v>
      </c>
      <c r="C102">
        <f>_xlfn.IFNA(VLOOKUP(B102,SZO!A:B,2,0),"")</f>
        <v>18</v>
      </c>
      <c r="D102">
        <f>VLOOKUP(B102,[1]Pivot!$A:$B,2,0)</f>
        <v>699</v>
      </c>
      <c r="E102">
        <f>_xlfn.IFNA(VLOOKUP(B102,Nyers!A:E,5,0),"")</f>
        <v>639</v>
      </c>
      <c r="F102">
        <f>_xlfn.IFNA(VLOOKUP(B102,Nyers!A:F,6,0),"")</f>
        <v>191</v>
      </c>
      <c r="G102">
        <f>_xlfn.IFNA(VLOOKUP(B102,Nyers!A:H,8,0),"")</f>
        <v>616</v>
      </c>
      <c r="H102">
        <f>_xlfn.IFNA(VLOOKUP(B102,Nyers!A:D,4,0),"")</f>
        <v>665</v>
      </c>
      <c r="I102">
        <f>_xlfn.IFNA(VLOOKUP(B102,Nyers!A:G,7,0),"")</f>
        <v>4374</v>
      </c>
    </row>
    <row r="103" spans="1:9" x14ac:dyDescent="0.25">
      <c r="A103">
        <v>22</v>
      </c>
      <c r="B103" s="41">
        <v>45759</v>
      </c>
      <c r="C103" t="str">
        <f>_xlfn.IFNA(VLOOKUP(B103,SZO!A:B,2,0),"")</f>
        <v/>
      </c>
      <c r="D103">
        <f>VLOOKUP(B103,[1]Pivot!$A:$B,2,0)</f>
        <v>140</v>
      </c>
      <c r="E103" t="str">
        <f>_xlfn.IFNA(VLOOKUP(B103,Nyers!A:E,5,0),"")</f>
        <v/>
      </c>
      <c r="F103" t="str">
        <f>_xlfn.IFNA(VLOOKUP(B103,Nyers!A:F,6,0),"")</f>
        <v/>
      </c>
      <c r="G103" t="str">
        <f>_xlfn.IFNA(VLOOKUP(B103,Nyers!A:H,8,0),"")</f>
        <v/>
      </c>
      <c r="H103" t="str">
        <f>_xlfn.IFNA(VLOOKUP(B103,Nyers!A:D,4,0),"")</f>
        <v/>
      </c>
      <c r="I103" t="str">
        <f>_xlfn.IFNA(VLOOKUP(B103,Nyers!A:G,7,0),"")</f>
        <v/>
      </c>
    </row>
    <row r="104" spans="1:9" x14ac:dyDescent="0.25">
      <c r="A104">
        <v>22</v>
      </c>
      <c r="B104" s="41">
        <v>45760</v>
      </c>
      <c r="C104" t="str">
        <f>_xlfn.IFNA(VLOOKUP(B104,SZO!A:B,2,0),"")</f>
        <v/>
      </c>
      <c r="D104">
        <f>VLOOKUP(B104,[1]Pivot!$A:$B,2,0)</f>
        <v>160</v>
      </c>
      <c r="E104" t="str">
        <f>_xlfn.IFNA(VLOOKUP(B104,Nyers!A:E,5,0),"")</f>
        <v/>
      </c>
      <c r="F104" t="str">
        <f>_xlfn.IFNA(VLOOKUP(B104,Nyers!A:F,6,0),"")</f>
        <v/>
      </c>
      <c r="G104" t="str">
        <f>_xlfn.IFNA(VLOOKUP(B104,Nyers!A:H,8,0),"")</f>
        <v/>
      </c>
      <c r="H104" t="str">
        <f>_xlfn.IFNA(VLOOKUP(B104,Nyers!A:D,4,0),"")</f>
        <v/>
      </c>
      <c r="I104" t="str">
        <f>_xlfn.IFNA(VLOOKUP(B104,Nyers!A:G,7,0),"")</f>
        <v/>
      </c>
    </row>
    <row r="105" spans="1:9" x14ac:dyDescent="0.25">
      <c r="A105">
        <v>22</v>
      </c>
      <c r="B105" s="41">
        <v>45761</v>
      </c>
      <c r="C105">
        <f>_xlfn.IFNA(VLOOKUP(B105,SZO!A:B,2,0),"")</f>
        <v>0</v>
      </c>
      <c r="D105">
        <f>VLOOKUP(B105,[1]Pivot!$A:$B,2,0)</f>
        <v>748</v>
      </c>
      <c r="E105">
        <f>_xlfn.IFNA(VLOOKUP(B105,Nyers!A:E,5,0),"")</f>
        <v>574</v>
      </c>
      <c r="F105">
        <f>_xlfn.IFNA(VLOOKUP(B105,Nyers!A:F,6,0),"")</f>
        <v>176</v>
      </c>
      <c r="G105">
        <f>_xlfn.IFNA(VLOOKUP(B105,Nyers!A:H,8,0),"")</f>
        <v>724</v>
      </c>
      <c r="H105">
        <f>_xlfn.IFNA(VLOOKUP(B105,Nyers!A:D,4,0),"")</f>
        <v>796</v>
      </c>
      <c r="I105">
        <f>_xlfn.IFNA(VLOOKUP(B105,Nyers!A:G,7,0),"")</f>
        <v>4377</v>
      </c>
    </row>
    <row r="106" spans="1:9" x14ac:dyDescent="0.25">
      <c r="A106">
        <v>23</v>
      </c>
      <c r="B106" s="41">
        <v>45762</v>
      </c>
      <c r="C106">
        <f>_xlfn.IFNA(VLOOKUP(B106,SZO!A:B,2,0),"")</f>
        <v>0</v>
      </c>
      <c r="D106">
        <f>VLOOKUP(B106,[1]Pivot!$A:$B,2,0)</f>
        <v>718</v>
      </c>
      <c r="E106">
        <f>_xlfn.IFNA(VLOOKUP(B106,Nyers!A:E,5,0),"")</f>
        <v>570</v>
      </c>
      <c r="F106">
        <f>_xlfn.IFNA(VLOOKUP(B106,Nyers!A:F,6,0),"")</f>
        <v>170</v>
      </c>
      <c r="G106">
        <f>_xlfn.IFNA(VLOOKUP(B106,Nyers!A:H,8,0),"")</f>
        <v>572</v>
      </c>
      <c r="H106">
        <f>_xlfn.IFNA(VLOOKUP(B106,Nyers!A:D,4,0),"")</f>
        <v>685</v>
      </c>
      <c r="I106">
        <f>_xlfn.IFNA(VLOOKUP(B106,Nyers!A:G,7,0),"")</f>
        <v>4303</v>
      </c>
    </row>
    <row r="107" spans="1:9" x14ac:dyDescent="0.25">
      <c r="A107">
        <v>23</v>
      </c>
      <c r="B107" s="41">
        <v>45763</v>
      </c>
      <c r="C107">
        <f>_xlfn.IFNA(VLOOKUP(B107,SZO!A:B,2,0),"")</f>
        <v>0</v>
      </c>
      <c r="D107">
        <f>VLOOKUP(B107,[1]Pivot!$A:$B,2,0)</f>
        <v>665</v>
      </c>
      <c r="E107">
        <f>_xlfn.IFNA(VLOOKUP(B107,Nyers!A:E,5,0),"")</f>
        <v>569</v>
      </c>
      <c r="F107">
        <f>_xlfn.IFNA(VLOOKUP(B107,Nyers!A:F,6,0),"")</f>
        <v>152</v>
      </c>
      <c r="G107">
        <f>_xlfn.IFNA(VLOOKUP(B107,Nyers!A:H,8,0),"")</f>
        <v>538</v>
      </c>
      <c r="H107">
        <f>_xlfn.IFNA(VLOOKUP(B107,Nyers!A:D,4,0),"")</f>
        <v>735</v>
      </c>
      <c r="I107">
        <f>_xlfn.IFNA(VLOOKUP(B107,Nyers!A:G,7,0),"")</f>
        <v>4264</v>
      </c>
    </row>
    <row r="108" spans="1:9" x14ac:dyDescent="0.25">
      <c r="A108">
        <v>23</v>
      </c>
      <c r="B108" s="41">
        <v>45764</v>
      </c>
      <c r="C108">
        <f>_xlfn.IFNA(VLOOKUP(B108,SZO!A:B,2,0),"")</f>
        <v>0</v>
      </c>
      <c r="D108">
        <f>VLOOKUP(B108,[1]Pivot!$A:$B,2,0)</f>
        <v>564</v>
      </c>
      <c r="E108">
        <f>_xlfn.IFNA(VLOOKUP(B108,Nyers!A:E,5,0),"")</f>
        <v>562</v>
      </c>
      <c r="F108">
        <f>_xlfn.IFNA(VLOOKUP(B108,Nyers!A:F,6,0),"")</f>
        <v>187</v>
      </c>
      <c r="G108">
        <f>_xlfn.IFNA(VLOOKUP(B108,Nyers!A:H,8,0),"")</f>
        <v>473</v>
      </c>
      <c r="H108">
        <f>_xlfn.IFNA(VLOOKUP(B108,Nyers!A:D,4,0),"")</f>
        <v>620</v>
      </c>
      <c r="I108">
        <f>_xlfn.IFNA(VLOOKUP(B108,Nyers!A:G,7,0),"")</f>
        <v>4494</v>
      </c>
    </row>
    <row r="109" spans="1:9" x14ac:dyDescent="0.25">
      <c r="A109">
        <v>23</v>
      </c>
      <c r="B109" s="41">
        <v>45765</v>
      </c>
      <c r="C109">
        <f>_xlfn.IFNA(VLOOKUP(B109,SZO!A:B,2,0),"")</f>
        <v>0</v>
      </c>
      <c r="D109">
        <f>VLOOKUP(B109,[1]Pivot!$A:$B,2,0)</f>
        <v>118</v>
      </c>
      <c r="E109" t="str">
        <f>_xlfn.IFNA(VLOOKUP(B109,Nyers!A:E,5,0),"")</f>
        <v/>
      </c>
      <c r="F109" t="str">
        <f>_xlfn.IFNA(VLOOKUP(B109,Nyers!A:F,6,0),"")</f>
        <v/>
      </c>
      <c r="G109" t="str">
        <f>_xlfn.IFNA(VLOOKUP(B109,Nyers!A:H,8,0),"")</f>
        <v/>
      </c>
      <c r="H109" t="str">
        <f>_xlfn.IFNA(VLOOKUP(B109,Nyers!A:D,4,0),"")</f>
        <v/>
      </c>
      <c r="I109" t="str">
        <f>_xlfn.IFNA(VLOOKUP(B109,Nyers!A:G,7,0),"")</f>
        <v/>
      </c>
    </row>
    <row r="110" spans="1:9" x14ac:dyDescent="0.25">
      <c r="A110">
        <v>23</v>
      </c>
      <c r="B110" s="41">
        <v>45766</v>
      </c>
      <c r="C110" t="str">
        <f>_xlfn.IFNA(VLOOKUP(B110,SZO!A:B,2,0),"")</f>
        <v/>
      </c>
      <c r="D110">
        <f>VLOOKUP(B110,[1]Pivot!$A:$B,2,0)</f>
        <v>59</v>
      </c>
      <c r="E110" t="str">
        <f>_xlfn.IFNA(VLOOKUP(B110,Nyers!A:E,5,0),"")</f>
        <v/>
      </c>
      <c r="F110" t="str">
        <f>_xlfn.IFNA(VLOOKUP(B110,Nyers!A:F,6,0),"")</f>
        <v/>
      </c>
      <c r="G110" t="str">
        <f>_xlfn.IFNA(VLOOKUP(B110,Nyers!A:H,8,0),"")</f>
        <v/>
      </c>
      <c r="H110" t="str">
        <f>_xlfn.IFNA(VLOOKUP(B110,Nyers!A:D,4,0),"")</f>
        <v/>
      </c>
      <c r="I110" t="str">
        <f>_xlfn.IFNA(VLOOKUP(B110,Nyers!A:G,7,0),"")</f>
        <v/>
      </c>
    </row>
    <row r="111" spans="1:9" x14ac:dyDescent="0.25">
      <c r="A111">
        <v>24</v>
      </c>
      <c r="B111" s="41">
        <v>45767</v>
      </c>
      <c r="C111" t="str">
        <f>_xlfn.IFNA(VLOOKUP(B111,SZO!A:B,2,0),"")</f>
        <v/>
      </c>
      <c r="D111">
        <f>VLOOKUP(B111,[1]Pivot!$A:$B,2,0)</f>
        <v>58</v>
      </c>
      <c r="E111" t="str">
        <f>_xlfn.IFNA(VLOOKUP(B111,Nyers!A:E,5,0),"")</f>
        <v/>
      </c>
      <c r="F111" t="str">
        <f>_xlfn.IFNA(VLOOKUP(B111,Nyers!A:F,6,0),"")</f>
        <v/>
      </c>
      <c r="G111" t="str">
        <f>_xlfn.IFNA(VLOOKUP(B111,Nyers!A:H,8,0),"")</f>
        <v/>
      </c>
      <c r="H111" t="str">
        <f>_xlfn.IFNA(VLOOKUP(B111,Nyers!A:D,4,0),"")</f>
        <v/>
      </c>
      <c r="I111" t="str">
        <f>_xlfn.IFNA(VLOOKUP(B111,Nyers!A:G,7,0),"")</f>
        <v/>
      </c>
    </row>
    <row r="112" spans="1:9" x14ac:dyDescent="0.25">
      <c r="A112">
        <v>24</v>
      </c>
      <c r="B112" s="41">
        <v>45768</v>
      </c>
      <c r="C112">
        <f>_xlfn.IFNA(VLOOKUP(B112,SZO!A:B,2,0),"")</f>
        <v>0</v>
      </c>
      <c r="D112">
        <f>VLOOKUP(B112,[1]Pivot!$A:$B,2,0)</f>
        <v>102</v>
      </c>
      <c r="E112" t="str">
        <f>_xlfn.IFNA(VLOOKUP(B112,Nyers!A:E,5,0),"")</f>
        <v/>
      </c>
      <c r="F112" t="str">
        <f>_xlfn.IFNA(VLOOKUP(B112,Nyers!A:F,6,0),"")</f>
        <v/>
      </c>
      <c r="G112" t="str">
        <f>_xlfn.IFNA(VLOOKUP(B112,Nyers!A:H,8,0),"")</f>
        <v/>
      </c>
      <c r="H112" t="str">
        <f>_xlfn.IFNA(VLOOKUP(B112,Nyers!A:D,4,0),"")</f>
        <v/>
      </c>
      <c r="I112" t="str">
        <f>_xlfn.IFNA(VLOOKUP(B112,Nyers!A:G,7,0),"")</f>
        <v/>
      </c>
    </row>
    <row r="113" spans="1:9" x14ac:dyDescent="0.25">
      <c r="A113">
        <v>24</v>
      </c>
      <c r="B113" s="41">
        <v>45769</v>
      </c>
      <c r="C113">
        <f>_xlfn.IFNA(VLOOKUP(B113,SZO!A:B,2,0),"")</f>
        <v>0</v>
      </c>
      <c r="D113">
        <f>VLOOKUP(B113,[1]Pivot!$A:$B,2,0)</f>
        <v>475</v>
      </c>
      <c r="E113">
        <f>_xlfn.IFNA(VLOOKUP(B113,Nyers!A:E,5,0),"")</f>
        <v>474</v>
      </c>
      <c r="F113">
        <f>_xlfn.IFNA(VLOOKUP(B113,Nyers!A:F,6,0),"")</f>
        <v>129</v>
      </c>
      <c r="G113">
        <f>_xlfn.IFNA(VLOOKUP(B113,Nyers!A:H,8,0),"")</f>
        <v>553</v>
      </c>
      <c r="H113">
        <f>_xlfn.IFNA(VLOOKUP(B113,Nyers!A:D,4,0),"")</f>
        <v>662</v>
      </c>
      <c r="I113">
        <f>_xlfn.IFNA(VLOOKUP(B113,Nyers!A:G,7,0),"")</f>
        <v>4356</v>
      </c>
    </row>
    <row r="114" spans="1:9" x14ac:dyDescent="0.25">
      <c r="A114">
        <v>24</v>
      </c>
      <c r="B114" s="41">
        <v>45770</v>
      </c>
      <c r="C114">
        <f>_xlfn.IFNA(VLOOKUP(B114,SZO!A:B,2,0),"")</f>
        <v>0</v>
      </c>
      <c r="D114">
        <f>VLOOKUP(B114,[1]Pivot!$A:$B,2,0)</f>
        <v>546</v>
      </c>
      <c r="E114">
        <f>_xlfn.IFNA(VLOOKUP(B114,Nyers!A:E,5,0),"")</f>
        <v>480</v>
      </c>
      <c r="F114">
        <f>_xlfn.IFNA(VLOOKUP(B114,Nyers!A:F,6,0),"")</f>
        <v>135</v>
      </c>
      <c r="G114">
        <f>_xlfn.IFNA(VLOOKUP(B114,Nyers!A:H,8,0),"")</f>
        <v>452</v>
      </c>
      <c r="H114">
        <f>_xlfn.IFNA(VLOOKUP(B114,Nyers!A:D,4,0),"")</f>
        <v>657</v>
      </c>
      <c r="I114">
        <f>_xlfn.IFNA(VLOOKUP(B114,Nyers!A:G,7,0),"")</f>
        <v>4183</v>
      </c>
    </row>
    <row r="115" spans="1:9" x14ac:dyDescent="0.25">
      <c r="A115">
        <v>25</v>
      </c>
      <c r="B115" s="41">
        <v>45771</v>
      </c>
      <c r="C115">
        <f>_xlfn.IFNA(VLOOKUP(B115,SZO!A:B,2,0),"")</f>
        <v>2738</v>
      </c>
      <c r="D115">
        <f>VLOOKUP(B115,[1]Pivot!$A:$B,2,0)</f>
        <v>445</v>
      </c>
      <c r="E115">
        <f>_xlfn.IFNA(VLOOKUP(B115,Nyers!A:E,5,0),"")</f>
        <v>414</v>
      </c>
      <c r="F115">
        <f>_xlfn.IFNA(VLOOKUP(B115,Nyers!A:F,6,0),"")</f>
        <v>126</v>
      </c>
      <c r="G115">
        <f>_xlfn.IFNA(VLOOKUP(B115,Nyers!A:H,8,0),"")</f>
        <v>445</v>
      </c>
      <c r="H115">
        <f>_xlfn.IFNA(VLOOKUP(B115,Nyers!A:D,4,0),"")</f>
        <v>816</v>
      </c>
      <c r="I115">
        <f>_xlfn.IFNA(VLOOKUP(B115,Nyers!A:G,7,0),"")</f>
        <v>3813</v>
      </c>
    </row>
    <row r="116" spans="1:9" x14ac:dyDescent="0.25">
      <c r="A116">
        <v>25</v>
      </c>
      <c r="B116" s="41">
        <v>45772</v>
      </c>
      <c r="C116">
        <f>_xlfn.IFNA(VLOOKUP(B116,SZO!A:B,2,0),"")</f>
        <v>3481</v>
      </c>
      <c r="D116">
        <f>VLOOKUP(B116,[1]Pivot!$A:$B,2,0)</f>
        <v>377</v>
      </c>
      <c r="E116">
        <f>_xlfn.IFNA(VLOOKUP(B116,Nyers!A:E,5,0),"")</f>
        <v>487</v>
      </c>
      <c r="F116">
        <f>_xlfn.IFNA(VLOOKUP(B116,Nyers!A:F,6,0),"")</f>
        <v>142</v>
      </c>
      <c r="G116">
        <f>_xlfn.IFNA(VLOOKUP(B116,Nyers!A:H,8,0),"")</f>
        <v>393</v>
      </c>
      <c r="H116">
        <f>_xlfn.IFNA(VLOOKUP(B116,Nyers!A:D,4,0),"")</f>
        <v>643</v>
      </c>
      <c r="I116">
        <f>_xlfn.IFNA(VLOOKUP(B116,Nyers!A:G,7,0),"")</f>
        <v>3747</v>
      </c>
    </row>
    <row r="117" spans="1:9" x14ac:dyDescent="0.25">
      <c r="A117">
        <v>25</v>
      </c>
      <c r="B117" s="41">
        <v>45773</v>
      </c>
      <c r="C117" t="str">
        <f>_xlfn.IFNA(VLOOKUP(B117,SZO!A:B,2,0),"")</f>
        <v/>
      </c>
      <c r="D117">
        <f>VLOOKUP(B117,[1]Pivot!$A:$B,2,0)</f>
        <v>99</v>
      </c>
      <c r="E117" t="str">
        <f>_xlfn.IFNA(VLOOKUP(B117,Nyers!A:E,5,0),"")</f>
        <v/>
      </c>
      <c r="F117" t="str">
        <f>_xlfn.IFNA(VLOOKUP(B117,Nyers!A:F,6,0),"")</f>
        <v/>
      </c>
      <c r="G117" t="str">
        <f>_xlfn.IFNA(VLOOKUP(B117,Nyers!A:H,8,0),"")</f>
        <v/>
      </c>
      <c r="H117" t="str">
        <f>_xlfn.IFNA(VLOOKUP(B117,Nyers!A:D,4,0),"")</f>
        <v/>
      </c>
      <c r="I117" t="str">
        <f>_xlfn.IFNA(VLOOKUP(B117,Nyers!A:G,7,0),"")</f>
        <v/>
      </c>
    </row>
    <row r="118" spans="1:9" x14ac:dyDescent="0.25">
      <c r="A118">
        <v>25</v>
      </c>
      <c r="B118" s="41">
        <v>45774</v>
      </c>
      <c r="C118" t="str">
        <f>_xlfn.IFNA(VLOOKUP(B118,SZO!A:B,2,0),"")</f>
        <v/>
      </c>
      <c r="D118">
        <f>VLOOKUP(B118,[1]Pivot!$A:$B,2,0)</f>
        <v>89</v>
      </c>
      <c r="E118" t="str">
        <f>_xlfn.IFNA(VLOOKUP(B118,Nyers!A:E,5,0),"")</f>
        <v/>
      </c>
      <c r="F118" t="str">
        <f>_xlfn.IFNA(VLOOKUP(B118,Nyers!A:F,6,0),"")</f>
        <v/>
      </c>
      <c r="G118" t="str">
        <f>_xlfn.IFNA(VLOOKUP(B118,Nyers!A:H,8,0),"")</f>
        <v/>
      </c>
      <c r="H118" t="str">
        <f>_xlfn.IFNA(VLOOKUP(B118,Nyers!A:D,4,0),"")</f>
        <v/>
      </c>
      <c r="I118" t="str">
        <f>_xlfn.IFNA(VLOOKUP(B118,Nyers!A:G,7,0),"")</f>
        <v/>
      </c>
    </row>
    <row r="119" spans="1:9" x14ac:dyDescent="0.25">
      <c r="A119">
        <v>25</v>
      </c>
      <c r="B119" s="41">
        <v>45775</v>
      </c>
      <c r="C119">
        <f>_xlfn.IFNA(VLOOKUP(B119,SZO!A:B,2,0),"")</f>
        <v>3584</v>
      </c>
      <c r="D119">
        <f>VLOOKUP(B119,[1]Pivot!$A:$B,2,0)</f>
        <v>436</v>
      </c>
      <c r="E119">
        <f>_xlfn.IFNA(VLOOKUP(B119,Nyers!A:E,5,0),"")</f>
        <v>436</v>
      </c>
      <c r="F119">
        <f>_xlfn.IFNA(VLOOKUP(B119,Nyers!A:F,6,0),"")</f>
        <v>145</v>
      </c>
      <c r="G119">
        <f>_xlfn.IFNA(VLOOKUP(B119,Nyers!A:H,8,0),"")</f>
        <v>507</v>
      </c>
      <c r="H119">
        <f>_xlfn.IFNA(VLOOKUP(B119,Nyers!A:D,4,0),"")</f>
        <v>744</v>
      </c>
      <c r="I119">
        <f>_xlfn.IFNA(VLOOKUP(B119,Nyers!A:G,7,0),"")</f>
        <v>3455</v>
      </c>
    </row>
    <row r="120" spans="1:9" x14ac:dyDescent="0.25">
      <c r="A120">
        <v>26</v>
      </c>
      <c r="B120" s="41">
        <v>45776</v>
      </c>
      <c r="C120">
        <f>_xlfn.IFNA(VLOOKUP(B120,SZO!A:B,2,0),"")</f>
        <v>3911</v>
      </c>
      <c r="D120">
        <f>VLOOKUP(B120,[1]Pivot!$A:$B,2,0)</f>
        <v>684</v>
      </c>
      <c r="E120">
        <f>_xlfn.IFNA(VLOOKUP(B120,Nyers!A:E,5,0),"")</f>
        <v>393</v>
      </c>
      <c r="F120">
        <f>_xlfn.IFNA(VLOOKUP(B120,Nyers!A:F,6,0),"")</f>
        <v>156</v>
      </c>
      <c r="G120">
        <f>_xlfn.IFNA(VLOOKUP(B120,Nyers!A:H,8,0),"")</f>
        <v>586</v>
      </c>
      <c r="H120">
        <f>_xlfn.IFNA(VLOOKUP(B120,Nyers!A:D,4,0),"")</f>
        <v>741</v>
      </c>
      <c r="I120">
        <f>_xlfn.IFNA(VLOOKUP(B120,Nyers!A:G,7,0),"")</f>
        <v>3477</v>
      </c>
    </row>
    <row r="121" spans="1:9" x14ac:dyDescent="0.25">
      <c r="A121">
        <v>26</v>
      </c>
      <c r="B121" s="41">
        <v>45777</v>
      </c>
      <c r="C121">
        <f>_xlfn.IFNA(VLOOKUP(B121,SZO!A:B,2,0),"")</f>
        <v>4111</v>
      </c>
      <c r="D121">
        <f>VLOOKUP(B121,[1]Pivot!$A:$B,2,0)</f>
        <v>524</v>
      </c>
      <c r="E121">
        <f>_xlfn.IFNA(VLOOKUP(B121,Nyers!A:E,5,0),"")</f>
        <v>593</v>
      </c>
      <c r="F121">
        <f>_xlfn.IFNA(VLOOKUP(B121,Nyers!A:F,6,0),"")</f>
        <v>203</v>
      </c>
      <c r="G121">
        <f>_xlfn.IFNA(VLOOKUP(B121,Nyers!A:H,8,0),"")</f>
        <v>595</v>
      </c>
      <c r="H121">
        <f>_xlfn.IFNA(VLOOKUP(B121,Nyers!A:D,4,0),"")</f>
        <v>580</v>
      </c>
      <c r="I121">
        <f>_xlfn.IFNA(VLOOKUP(B121,Nyers!A:G,7,0),"")</f>
        <v>3864</v>
      </c>
    </row>
    <row r="122" spans="1:9" x14ac:dyDescent="0.25">
      <c r="A122">
        <v>26</v>
      </c>
      <c r="B122" s="41">
        <v>45778</v>
      </c>
      <c r="C122">
        <f>_xlfn.IFNA(VLOOKUP(B122,SZO!A:B,2,0),"")</f>
        <v>0</v>
      </c>
      <c r="D122">
        <f>VLOOKUP(B122,[1]Pivot!$A:$B,2,0)</f>
        <v>123</v>
      </c>
      <c r="E122" t="str">
        <f>_xlfn.IFNA(VLOOKUP(B122,Nyers!A:E,5,0),"")</f>
        <v/>
      </c>
      <c r="F122" t="str">
        <f>_xlfn.IFNA(VLOOKUP(B122,Nyers!A:F,6,0),"")</f>
        <v/>
      </c>
      <c r="G122" t="str">
        <f>_xlfn.IFNA(VLOOKUP(B122,Nyers!A:H,8,0),"")</f>
        <v/>
      </c>
      <c r="H122" t="str">
        <f>_xlfn.IFNA(VLOOKUP(B122,Nyers!A:D,4,0),"")</f>
        <v/>
      </c>
      <c r="I122" t="str">
        <f>_xlfn.IFNA(VLOOKUP(B122,Nyers!A:G,7,0),"")</f>
        <v/>
      </c>
    </row>
    <row r="123" spans="1:9" x14ac:dyDescent="0.25">
      <c r="A123">
        <v>26</v>
      </c>
      <c r="B123" s="41">
        <v>45779</v>
      </c>
      <c r="C123">
        <f>_xlfn.IFNA(VLOOKUP(B123,SZO!A:B,2,0),"")</f>
        <v>0</v>
      </c>
      <c r="D123">
        <f>VLOOKUP(B123,[1]Pivot!$A:$B,2,0)</f>
        <v>140</v>
      </c>
      <c r="E123" t="str">
        <f>_xlfn.IFNA(VLOOKUP(B123,Nyers!A:E,5,0),"")</f>
        <v/>
      </c>
      <c r="F123" t="str">
        <f>_xlfn.IFNA(VLOOKUP(B123,Nyers!A:F,6,0),"")</f>
        <v/>
      </c>
      <c r="G123" t="str">
        <f>_xlfn.IFNA(VLOOKUP(B123,Nyers!A:H,8,0),"")</f>
        <v/>
      </c>
      <c r="H123" t="str">
        <f>_xlfn.IFNA(VLOOKUP(B123,Nyers!A:D,4,0),"")</f>
        <v/>
      </c>
      <c r="I123" t="str">
        <f>_xlfn.IFNA(VLOOKUP(B123,Nyers!A:G,7,0),"")</f>
        <v/>
      </c>
    </row>
    <row r="124" spans="1:9" x14ac:dyDescent="0.25">
      <c r="A124">
        <v>26</v>
      </c>
      <c r="B124" s="41">
        <v>45780</v>
      </c>
      <c r="C124" t="str">
        <f>_xlfn.IFNA(VLOOKUP(B124,SZO!A:B,2,0),"")</f>
        <v/>
      </c>
      <c r="D124">
        <f>VLOOKUP(B124,[1]Pivot!$A:$B,2,0)</f>
        <v>78</v>
      </c>
      <c r="E124" t="str">
        <f>_xlfn.IFNA(VLOOKUP(B124,Nyers!A:E,5,0),"")</f>
        <v/>
      </c>
      <c r="F124" t="str">
        <f>_xlfn.IFNA(VLOOKUP(B124,Nyers!A:F,6,0),"")</f>
        <v/>
      </c>
      <c r="G124" t="str">
        <f>_xlfn.IFNA(VLOOKUP(B124,Nyers!A:H,8,0),"")</f>
        <v/>
      </c>
      <c r="H124" t="str">
        <f>_xlfn.IFNA(VLOOKUP(B124,Nyers!A:D,4,0),"")</f>
        <v/>
      </c>
      <c r="I124" t="str">
        <f>_xlfn.IFNA(VLOOKUP(B124,Nyers!A:G,7,0),"")</f>
        <v/>
      </c>
    </row>
    <row r="125" spans="1:9" x14ac:dyDescent="0.25">
      <c r="A125">
        <v>27</v>
      </c>
      <c r="B125" s="41">
        <v>45781</v>
      </c>
      <c r="C125" t="str">
        <f>_xlfn.IFNA(VLOOKUP(B125,SZO!A:B,2,0),"")</f>
        <v/>
      </c>
      <c r="D125">
        <f>VLOOKUP(B125,[1]Pivot!$A:$B,2,0)</f>
        <v>90</v>
      </c>
      <c r="E125" t="str">
        <f>_xlfn.IFNA(VLOOKUP(B125,Nyers!A:E,5,0),"")</f>
        <v/>
      </c>
      <c r="F125" t="str">
        <f>_xlfn.IFNA(VLOOKUP(B125,Nyers!A:F,6,0),"")</f>
        <v/>
      </c>
      <c r="G125" t="str">
        <f>_xlfn.IFNA(VLOOKUP(B125,Nyers!A:H,8,0),"")</f>
        <v/>
      </c>
      <c r="H125" t="str">
        <f>_xlfn.IFNA(VLOOKUP(B125,Nyers!A:D,4,0),"")</f>
        <v/>
      </c>
      <c r="I125" t="str">
        <f>_xlfn.IFNA(VLOOKUP(B125,Nyers!A:G,7,0),"")</f>
        <v/>
      </c>
    </row>
    <row r="126" spans="1:9" x14ac:dyDescent="0.25">
      <c r="A126">
        <v>27</v>
      </c>
      <c r="B126" s="41">
        <v>45782</v>
      </c>
      <c r="C126">
        <f>_xlfn.IFNA(VLOOKUP(B126,SZO!A:B,2,0),"")</f>
        <v>0</v>
      </c>
      <c r="D126">
        <f>VLOOKUP(B126,[1]Pivot!$A:$B,2,0)</f>
        <v>807</v>
      </c>
      <c r="E126">
        <f>_xlfn.IFNA(VLOOKUP(B126,Nyers!A:E,5,0),"")</f>
        <v>526</v>
      </c>
      <c r="F126">
        <f>_xlfn.IFNA(VLOOKUP(B126,Nyers!A:F,6,0),"")</f>
        <v>157</v>
      </c>
      <c r="G126">
        <f>_xlfn.IFNA(VLOOKUP(B126,Nyers!A:H,8,0),"")</f>
        <v>706</v>
      </c>
      <c r="H126">
        <f>_xlfn.IFNA(VLOOKUP(B126,Nyers!A:D,4,0),"")</f>
        <v>678</v>
      </c>
      <c r="I126">
        <f>_xlfn.IFNA(VLOOKUP(B126,Nyers!A:G,7,0),"")</f>
        <v>3909</v>
      </c>
    </row>
    <row r="127" spans="1:9" x14ac:dyDescent="0.25">
      <c r="A127">
        <v>27</v>
      </c>
      <c r="B127" s="41">
        <v>45783</v>
      </c>
      <c r="C127">
        <f>_xlfn.IFNA(VLOOKUP(B127,SZO!A:B,2,0),"")</f>
        <v>2</v>
      </c>
      <c r="D127">
        <f>VLOOKUP(B127,[1]Pivot!$A:$B,2,0)</f>
        <v>866</v>
      </c>
      <c r="E127">
        <f>_xlfn.IFNA(VLOOKUP(B127,Nyers!A:E,5,0),"")</f>
        <v>536</v>
      </c>
      <c r="F127">
        <f>_xlfn.IFNA(VLOOKUP(B127,Nyers!A:F,6,0),"")</f>
        <v>161</v>
      </c>
      <c r="G127">
        <f>_xlfn.IFNA(VLOOKUP(B127,Nyers!A:H,8,0),"")</f>
        <v>695</v>
      </c>
      <c r="H127">
        <f>_xlfn.IFNA(VLOOKUP(B127,Nyers!A:D,4,0),"")</f>
        <v>756</v>
      </c>
      <c r="I127">
        <f>_xlfn.IFNA(VLOOKUP(B127,Nyers!A:G,7,0),"")</f>
        <v>3970</v>
      </c>
    </row>
    <row r="128" spans="1:9" x14ac:dyDescent="0.25">
      <c r="A128">
        <v>27</v>
      </c>
      <c r="B128" s="41">
        <v>45784</v>
      </c>
      <c r="C128">
        <f>_xlfn.IFNA(VLOOKUP(B128,SZO!A:B,2,0),"")</f>
        <v>0</v>
      </c>
      <c r="D128">
        <f>VLOOKUP(B128,[1]Pivot!$A:$B,2,0)</f>
        <v>802</v>
      </c>
      <c r="E128">
        <f>_xlfn.IFNA(VLOOKUP(B128,Nyers!A:E,5,0),"")</f>
        <v>608</v>
      </c>
      <c r="F128">
        <f>_xlfn.IFNA(VLOOKUP(B128,Nyers!A:F,6,0),"")</f>
        <v>162</v>
      </c>
      <c r="G128">
        <f>_xlfn.IFNA(VLOOKUP(B128,Nyers!A:H,8,0),"")</f>
        <v>626</v>
      </c>
      <c r="H128">
        <f>_xlfn.IFNA(VLOOKUP(B128,Nyers!A:D,4,0),"")</f>
        <v>642</v>
      </c>
      <c r="I128">
        <f>_xlfn.IFNA(VLOOKUP(B128,Nyers!A:G,7,0),"")</f>
        <v>4071</v>
      </c>
    </row>
    <row r="129" spans="1:9" x14ac:dyDescent="0.25">
      <c r="A129">
        <v>27</v>
      </c>
      <c r="B129" s="41">
        <v>45785</v>
      </c>
      <c r="C129">
        <f>_xlfn.IFNA(VLOOKUP(B129,SZO!A:B,2,0),"")</f>
        <v>0</v>
      </c>
      <c r="D129">
        <f>VLOOKUP(B129,[1]Pivot!$A:$B,2,0)</f>
        <v>607</v>
      </c>
      <c r="E129">
        <f>_xlfn.IFNA(VLOOKUP(B129,Nyers!A:E,5,0),"")</f>
        <v>490</v>
      </c>
      <c r="F129">
        <f>_xlfn.IFNA(VLOOKUP(B129,Nyers!A:F,6,0),"")</f>
        <v>135</v>
      </c>
      <c r="G129">
        <f>_xlfn.IFNA(VLOOKUP(B129,Nyers!A:H,8,0),"")</f>
        <v>552</v>
      </c>
      <c r="H129">
        <f>_xlfn.IFNA(VLOOKUP(B129,Nyers!A:D,4,0),"")</f>
        <v>726</v>
      </c>
      <c r="I129">
        <f>_xlfn.IFNA(VLOOKUP(B129,Nyers!A:G,7,0),"")</f>
        <v>3908</v>
      </c>
    </row>
    <row r="130" spans="1:9" x14ac:dyDescent="0.25">
      <c r="A130">
        <v>28</v>
      </c>
      <c r="B130" s="41">
        <v>45786</v>
      </c>
      <c r="C130">
        <f>_xlfn.IFNA(VLOOKUP(B130,SZO!A:B,2,0),"")</f>
        <v>0</v>
      </c>
      <c r="D130">
        <f>VLOOKUP(B130,[1]Pivot!$A:$B,2,0)</f>
        <v>507</v>
      </c>
      <c r="E130">
        <f>_xlfn.IFNA(VLOOKUP(B130,Nyers!A:E,5,0),"")</f>
        <v>510</v>
      </c>
      <c r="F130">
        <f>_xlfn.IFNA(VLOOKUP(B130,Nyers!A:F,6,0),"")</f>
        <v>140</v>
      </c>
      <c r="G130">
        <f>_xlfn.IFNA(VLOOKUP(B130,Nyers!A:H,8,0),"")</f>
        <v>482</v>
      </c>
      <c r="H130">
        <f>_xlfn.IFNA(VLOOKUP(B130,Nyers!A:D,4,0),"")</f>
        <v>680</v>
      </c>
      <c r="I130">
        <f>_xlfn.IFNA(VLOOKUP(B130,Nyers!A:G,7,0),"")</f>
        <v>4073</v>
      </c>
    </row>
    <row r="131" spans="1:9" x14ac:dyDescent="0.25">
      <c r="A131">
        <v>28</v>
      </c>
      <c r="B131" s="41">
        <v>45787</v>
      </c>
      <c r="C131" t="str">
        <f>_xlfn.IFNA(VLOOKUP(B131,SZO!A:B,2,0),"")</f>
        <v/>
      </c>
      <c r="D131">
        <f>VLOOKUP(B131,[1]Pivot!$A:$B,2,0)</f>
        <v>117</v>
      </c>
      <c r="E131" t="str">
        <f>_xlfn.IFNA(VLOOKUP(B131,Nyers!A:E,5,0),"")</f>
        <v/>
      </c>
      <c r="F131" t="str">
        <f>_xlfn.IFNA(VLOOKUP(B131,Nyers!A:F,6,0),"")</f>
        <v/>
      </c>
      <c r="G131" t="str">
        <f>_xlfn.IFNA(VLOOKUP(B131,Nyers!A:H,8,0),"")</f>
        <v/>
      </c>
      <c r="H131" t="str">
        <f>_xlfn.IFNA(VLOOKUP(B131,Nyers!A:D,4,0),"")</f>
        <v/>
      </c>
      <c r="I131" t="str">
        <f>_xlfn.IFNA(VLOOKUP(B131,Nyers!A:G,7,0),"")</f>
        <v/>
      </c>
    </row>
    <row r="132" spans="1:9" x14ac:dyDescent="0.25">
      <c r="A132">
        <v>28</v>
      </c>
      <c r="B132" s="41">
        <v>45788</v>
      </c>
      <c r="C132" t="str">
        <f>_xlfn.IFNA(VLOOKUP(B132,SZO!A:B,2,0),"")</f>
        <v/>
      </c>
      <c r="D132">
        <f>VLOOKUP(B132,[1]Pivot!$A:$B,2,0)</f>
        <v>153</v>
      </c>
      <c r="E132" t="str">
        <f>_xlfn.IFNA(VLOOKUP(B132,Nyers!A:E,5,0),"")</f>
        <v/>
      </c>
      <c r="F132" t="str">
        <f>_xlfn.IFNA(VLOOKUP(B132,Nyers!A:F,6,0),"")</f>
        <v/>
      </c>
      <c r="G132" t="str">
        <f>_xlfn.IFNA(VLOOKUP(B132,Nyers!A:H,8,0),"")</f>
        <v/>
      </c>
      <c r="H132" t="str">
        <f>_xlfn.IFNA(VLOOKUP(B132,Nyers!A:D,4,0),"")</f>
        <v/>
      </c>
      <c r="I132" t="str">
        <f>_xlfn.IFNA(VLOOKUP(B132,Nyers!A:G,7,0),"")</f>
        <v/>
      </c>
    </row>
    <row r="133" spans="1:9" x14ac:dyDescent="0.25">
      <c r="A133">
        <v>28</v>
      </c>
      <c r="B133" s="41">
        <v>45789</v>
      </c>
      <c r="C133">
        <f>_xlfn.IFNA(VLOOKUP(B133,SZO!A:B,2,0),"")</f>
        <v>0</v>
      </c>
      <c r="D133">
        <f>VLOOKUP(B133,[1]Pivot!$A:$B,2,0)</f>
        <v>731</v>
      </c>
      <c r="E133">
        <f>_xlfn.IFNA(VLOOKUP(B133,Nyers!A:E,5,0),"")</f>
        <v>459</v>
      </c>
      <c r="F133">
        <f>_xlfn.IFNA(VLOOKUP(B133,Nyers!A:F,6,0),"")</f>
        <v>168</v>
      </c>
      <c r="G133">
        <f>_xlfn.IFNA(VLOOKUP(B133,Nyers!A:H,8,0),"")</f>
        <v>581</v>
      </c>
      <c r="H133">
        <f>_xlfn.IFNA(VLOOKUP(B133,Nyers!A:D,4,0),"")</f>
        <v>627</v>
      </c>
      <c r="I133">
        <f>_xlfn.IFNA(VLOOKUP(B133,Nyers!A:G,7,0),"")</f>
        <v>4067</v>
      </c>
    </row>
    <row r="134" spans="1:9" x14ac:dyDescent="0.25">
      <c r="A134">
        <v>28</v>
      </c>
      <c r="B134" s="41">
        <v>45790</v>
      </c>
      <c r="C134">
        <f>_xlfn.IFNA(VLOOKUP(B134,SZO!A:B,2,0),"")</f>
        <v>0</v>
      </c>
      <c r="D134">
        <f>VLOOKUP(B134,[1]Pivot!$A:$B,2,0)</f>
        <v>658</v>
      </c>
      <c r="E134">
        <f>_xlfn.IFNA(VLOOKUP(B134,Nyers!A:E,5,0),"")</f>
        <v>393</v>
      </c>
      <c r="F134">
        <f>_xlfn.IFNA(VLOOKUP(B134,Nyers!A:F,6,0),"")</f>
        <v>123</v>
      </c>
      <c r="G134">
        <f>_xlfn.IFNA(VLOOKUP(B134,Nyers!A:H,8,0),"")</f>
        <v>432</v>
      </c>
      <c r="H134">
        <f>_xlfn.IFNA(VLOOKUP(B134,Nyers!A:D,4,0),"")</f>
        <v>728</v>
      </c>
      <c r="I134">
        <f>_xlfn.IFNA(VLOOKUP(B134,Nyers!A:G,7,0),"")</f>
        <v>3863</v>
      </c>
    </row>
    <row r="135" spans="1:9" x14ac:dyDescent="0.25">
      <c r="A135">
        <v>29</v>
      </c>
      <c r="B135" s="41">
        <v>45791</v>
      </c>
      <c r="C135">
        <f>_xlfn.IFNA(VLOOKUP(B135,SZO!A:B,2,0),"")</f>
        <v>2744</v>
      </c>
      <c r="D135">
        <f>VLOOKUP(B135,[1]Pivot!$A:$B,2,0)</f>
        <v>685</v>
      </c>
      <c r="E135">
        <f>_xlfn.IFNA(VLOOKUP(B135,Nyers!A:E,5,0),"")</f>
        <v>462</v>
      </c>
      <c r="F135">
        <f>_xlfn.IFNA(VLOOKUP(B135,Nyers!A:F,6,0),"")</f>
        <v>107</v>
      </c>
      <c r="G135">
        <f>_xlfn.IFNA(VLOOKUP(B135,Nyers!A:H,8,0),"")</f>
        <v>468</v>
      </c>
      <c r="H135">
        <f>_xlfn.IFNA(VLOOKUP(B135,Nyers!A:D,4,0),"")</f>
        <v>714</v>
      </c>
      <c r="I135">
        <f>_xlfn.IFNA(VLOOKUP(B135,Nyers!A:G,7,0),"")</f>
        <v>3659</v>
      </c>
    </row>
    <row r="136" spans="1:9" x14ac:dyDescent="0.25">
      <c r="A136">
        <v>29</v>
      </c>
      <c r="B136" s="41">
        <v>45792</v>
      </c>
      <c r="C136">
        <f>_xlfn.IFNA(VLOOKUP(B136,SZO!A:B,2,0),"")</f>
        <v>4235</v>
      </c>
      <c r="D136">
        <f>VLOOKUP(B136,[1]Pivot!$A:$B,2,0)</f>
        <v>671</v>
      </c>
      <c r="E136">
        <f>_xlfn.IFNA(VLOOKUP(B136,Nyers!A:E,5,0),"")</f>
        <v>384</v>
      </c>
      <c r="F136">
        <f>_xlfn.IFNA(VLOOKUP(B136,Nyers!A:F,6,0),"")</f>
        <v>111</v>
      </c>
      <c r="G136">
        <f>_xlfn.IFNA(VLOOKUP(B136,Nyers!A:H,8,0),"")</f>
        <v>440</v>
      </c>
      <c r="H136">
        <f>_xlfn.IFNA(VLOOKUP(B136,Nyers!A:D,4,0),"")</f>
        <v>670</v>
      </c>
      <c r="I136">
        <f>_xlfn.IFNA(VLOOKUP(B136,Nyers!A:G,7,0),"")</f>
        <v>3412</v>
      </c>
    </row>
    <row r="137" spans="1:9" x14ac:dyDescent="0.25">
      <c r="A137">
        <v>29</v>
      </c>
      <c r="B137" s="41">
        <v>45793</v>
      </c>
      <c r="C137">
        <f>_xlfn.IFNA(VLOOKUP(B137,SZO!A:B,2,0),"")</f>
        <v>2647</v>
      </c>
      <c r="D137">
        <f>VLOOKUP(B137,[1]Pivot!$A:$B,2,0)</f>
        <v>677</v>
      </c>
      <c r="E137">
        <f>_xlfn.IFNA(VLOOKUP(B137,Nyers!A:E,5,0),"")</f>
        <v>463</v>
      </c>
      <c r="F137">
        <f>_xlfn.IFNA(VLOOKUP(B137,Nyers!A:F,6,0),"")</f>
        <v>135</v>
      </c>
      <c r="G137">
        <f>_xlfn.IFNA(VLOOKUP(B137,Nyers!A:H,8,0),"")</f>
        <v>493</v>
      </c>
      <c r="H137">
        <f>_xlfn.IFNA(VLOOKUP(B137,Nyers!A:D,4,0),"")</f>
        <v>704</v>
      </c>
      <c r="I137">
        <f>_xlfn.IFNA(VLOOKUP(B137,Nyers!A:G,7,0),"")</f>
        <v>3134</v>
      </c>
    </row>
    <row r="138" spans="1:9" x14ac:dyDescent="0.25">
      <c r="A138">
        <v>29</v>
      </c>
      <c r="B138" s="41">
        <v>45794</v>
      </c>
      <c r="C138">
        <f>_xlfn.IFNA(VLOOKUP(B138,SZO!A:B,2,0),"")</f>
        <v>0</v>
      </c>
      <c r="D138">
        <f>VLOOKUP(B138,[1]Pivot!$A:$B,2,0)</f>
        <v>407</v>
      </c>
      <c r="E138">
        <f>_xlfn.IFNA(VLOOKUP(B138,Nyers!A:E,5,0),"")</f>
        <v>212</v>
      </c>
      <c r="F138">
        <f>_xlfn.IFNA(VLOOKUP(B138,Nyers!A:F,6,0),"")</f>
        <v>65</v>
      </c>
      <c r="G138">
        <f>_xlfn.IFNA(VLOOKUP(B138,Nyers!A:H,8,0),"")</f>
        <v>230</v>
      </c>
      <c r="H138">
        <f>_xlfn.IFNA(VLOOKUP(B138,Nyers!A:D,4,0),"")</f>
        <v>488</v>
      </c>
      <c r="I138">
        <f>_xlfn.IFNA(VLOOKUP(B138,Nyers!A:G,7,0),"")</f>
        <v>2962</v>
      </c>
    </row>
    <row r="139" spans="1:9" x14ac:dyDescent="0.25">
      <c r="A139">
        <v>29</v>
      </c>
      <c r="B139" s="41">
        <v>45795</v>
      </c>
      <c r="C139" t="str">
        <f>_xlfn.IFNA(VLOOKUP(B139,SZO!A:B,2,0),"")</f>
        <v/>
      </c>
      <c r="D139">
        <f>VLOOKUP(B139,[1]Pivot!$A:$B,2,0)</f>
        <v>118</v>
      </c>
      <c r="E139" t="str">
        <f>_xlfn.IFNA(VLOOKUP(B139,Nyers!A:E,5,0),"")</f>
        <v/>
      </c>
      <c r="F139" t="str">
        <f>_xlfn.IFNA(VLOOKUP(B139,Nyers!A:F,6,0),"")</f>
        <v/>
      </c>
      <c r="G139" t="str">
        <f>_xlfn.IFNA(VLOOKUP(B139,Nyers!A:H,8,0),"")</f>
        <v/>
      </c>
      <c r="H139" t="str">
        <f>_xlfn.IFNA(VLOOKUP(B139,Nyers!A:D,4,0),"")</f>
        <v/>
      </c>
      <c r="I139" t="str">
        <f>_xlfn.IFNA(VLOOKUP(B139,Nyers!A:G,7,0),"")</f>
        <v/>
      </c>
    </row>
    <row r="140" spans="1:9" x14ac:dyDescent="0.25">
      <c r="A140">
        <v>30</v>
      </c>
      <c r="B140" s="41">
        <v>45796</v>
      </c>
      <c r="C140">
        <f>_xlfn.IFNA(VLOOKUP(B140,SZO!A:B,2,0),"")</f>
        <v>5038</v>
      </c>
      <c r="D140">
        <f>VLOOKUP(B140,[1]Pivot!$A:$B,2,0)</f>
        <v>788</v>
      </c>
      <c r="E140">
        <f>_xlfn.IFNA(VLOOKUP(B140,Nyers!A:E,5,0),"")</f>
        <v>507</v>
      </c>
      <c r="F140">
        <f>_xlfn.IFNA(VLOOKUP(B140,Nyers!A:F,6,0),"")</f>
        <v>152</v>
      </c>
      <c r="G140">
        <f>_xlfn.IFNA(VLOOKUP(B140,Nyers!A:H,8,0),"")</f>
        <v>690</v>
      </c>
      <c r="H140">
        <f>_xlfn.IFNA(VLOOKUP(B140,Nyers!A:D,4,0),"")</f>
        <v>550</v>
      </c>
      <c r="I140">
        <f>_xlfn.IFNA(VLOOKUP(B140,Nyers!A:G,7,0),"")</f>
        <v>3057</v>
      </c>
    </row>
    <row r="141" spans="1:9" x14ac:dyDescent="0.25">
      <c r="A141">
        <v>30</v>
      </c>
      <c r="B141" s="41">
        <v>45797</v>
      </c>
      <c r="C141">
        <f>_xlfn.IFNA(VLOOKUP(B141,SZO!A:B,2,0),"")</f>
        <v>2981</v>
      </c>
      <c r="D141">
        <f>VLOOKUP(B141,[1]Pivot!$A:$B,2,0)</f>
        <v>833</v>
      </c>
      <c r="E141">
        <f>_xlfn.IFNA(VLOOKUP(B141,Nyers!A:E,5,0),"")</f>
        <v>513</v>
      </c>
      <c r="F141">
        <f>_xlfn.IFNA(VLOOKUP(B141,Nyers!A:F,6,0),"")</f>
        <v>152</v>
      </c>
      <c r="G141">
        <f>_xlfn.IFNA(VLOOKUP(B141,Nyers!A:H,8,0),"")</f>
        <v>558</v>
      </c>
      <c r="H141">
        <f>_xlfn.IFNA(VLOOKUP(B141,Nyers!A:D,4,0),"")</f>
        <v>638</v>
      </c>
      <c r="I141">
        <f>_xlfn.IFNA(VLOOKUP(B141,Nyers!A:G,7,0),"")</f>
        <v>3104</v>
      </c>
    </row>
    <row r="142" spans="1:9" x14ac:dyDescent="0.25">
      <c r="A142">
        <v>30</v>
      </c>
      <c r="B142" s="41">
        <v>45798</v>
      </c>
      <c r="C142">
        <f>_xlfn.IFNA(VLOOKUP(B142,SZO!A:B,2,0),"")</f>
        <v>2888</v>
      </c>
      <c r="D142">
        <f>VLOOKUP(B142,[1]Pivot!$A:$B,2,0)</f>
        <v>830</v>
      </c>
      <c r="E142">
        <f>_xlfn.IFNA(VLOOKUP(B142,Nyers!A:E,5,0),"")</f>
        <v>589</v>
      </c>
      <c r="F142">
        <f>_xlfn.IFNA(VLOOKUP(B142,Nyers!A:F,6,0),"")</f>
        <v>171</v>
      </c>
      <c r="G142">
        <f>_xlfn.IFNA(VLOOKUP(B142,Nyers!A:H,8,0),"")</f>
        <v>652</v>
      </c>
      <c r="H142">
        <f>_xlfn.IFNA(VLOOKUP(B142,Nyers!A:D,4,0),"")</f>
        <v>622</v>
      </c>
      <c r="I142">
        <f>_xlfn.IFNA(VLOOKUP(B142,Nyers!A:G,7,0),"")</f>
        <v>3259</v>
      </c>
    </row>
    <row r="143" spans="1:9" x14ac:dyDescent="0.25">
      <c r="A143">
        <v>30</v>
      </c>
      <c r="B143" s="41">
        <v>45799</v>
      </c>
      <c r="C143">
        <f>_xlfn.IFNA(VLOOKUP(B143,SZO!A:B,2,0),"")</f>
        <v>2</v>
      </c>
      <c r="D143">
        <f>VLOOKUP(B143,[1]Pivot!$A:$B,2,0)</f>
        <v>755</v>
      </c>
      <c r="E143">
        <f>_xlfn.IFNA(VLOOKUP(B143,Nyers!A:E,5,0),"")</f>
        <v>503</v>
      </c>
      <c r="F143">
        <f>_xlfn.IFNA(VLOOKUP(B143,Nyers!A:F,6,0),"")</f>
        <v>165</v>
      </c>
      <c r="G143">
        <f>_xlfn.IFNA(VLOOKUP(B143,Nyers!A:H,8,0),"")</f>
        <v>603</v>
      </c>
      <c r="H143">
        <f>_xlfn.IFNA(VLOOKUP(B143,Nyers!A:D,4,0),"")</f>
        <v>621</v>
      </c>
      <c r="I143">
        <f>_xlfn.IFNA(VLOOKUP(B143,Nyers!A:G,7,0),"")</f>
        <v>3254</v>
      </c>
    </row>
    <row r="144" spans="1:9" x14ac:dyDescent="0.25">
      <c r="A144">
        <v>30</v>
      </c>
      <c r="B144" s="41">
        <v>45800</v>
      </c>
      <c r="C144">
        <f>_xlfn.IFNA(VLOOKUP(B144,SZO!A:B,2,0),"")</f>
        <v>15</v>
      </c>
      <c r="D144">
        <f>VLOOKUP(B144,[1]Pivot!$A:$B,2,0)</f>
        <v>701</v>
      </c>
      <c r="E144">
        <f>_xlfn.IFNA(VLOOKUP(B144,Nyers!A:E,5,0),"")</f>
        <v>620</v>
      </c>
      <c r="F144">
        <f>_xlfn.IFNA(VLOOKUP(B144,Nyers!A:F,6,0),"")</f>
        <v>175</v>
      </c>
      <c r="G144">
        <f>_xlfn.IFNA(VLOOKUP(B144,Nyers!A:H,8,0),"")</f>
        <v>575</v>
      </c>
      <c r="H144">
        <f>_xlfn.IFNA(VLOOKUP(B144,Nyers!A:D,4,0),"")</f>
        <v>392</v>
      </c>
      <c r="I144">
        <f>_xlfn.IFNA(VLOOKUP(B144,Nyers!A:G,7,0),"")</f>
        <v>3738</v>
      </c>
    </row>
    <row r="145" spans="1:9" x14ac:dyDescent="0.25">
      <c r="A145">
        <v>31</v>
      </c>
      <c r="B145" s="41">
        <v>45801</v>
      </c>
      <c r="C145" t="str">
        <f>_xlfn.IFNA(VLOOKUP(B145,SZO!A:B,2,0),"")</f>
        <v/>
      </c>
      <c r="D145">
        <f>VLOOKUP(B145,[1]Pivot!$A:$B,2,0)</f>
        <v>136</v>
      </c>
      <c r="E145" t="str">
        <f>_xlfn.IFNA(VLOOKUP(B145,Nyers!A:E,5,0),"")</f>
        <v/>
      </c>
      <c r="F145" t="str">
        <f>_xlfn.IFNA(VLOOKUP(B145,Nyers!A:F,6,0),"")</f>
        <v/>
      </c>
      <c r="G145" t="str">
        <f>_xlfn.IFNA(VLOOKUP(B145,Nyers!A:H,8,0),"")</f>
        <v/>
      </c>
      <c r="H145" t="str">
        <f>_xlfn.IFNA(VLOOKUP(B145,Nyers!A:D,4,0),"")</f>
        <v/>
      </c>
      <c r="I145" t="str">
        <f>_xlfn.IFNA(VLOOKUP(B145,Nyers!A:G,7,0),"")</f>
        <v/>
      </c>
    </row>
    <row r="146" spans="1:9" x14ac:dyDescent="0.25">
      <c r="A146">
        <v>31</v>
      </c>
      <c r="B146" s="41">
        <v>45802</v>
      </c>
      <c r="C146" t="str">
        <f>_xlfn.IFNA(VLOOKUP(B146,SZO!A:B,2,0),"")</f>
        <v/>
      </c>
      <c r="D146">
        <f>VLOOKUP(B146,[1]Pivot!$A:$B,2,0)</f>
        <v>138</v>
      </c>
      <c r="E146" t="str">
        <f>_xlfn.IFNA(VLOOKUP(B146,Nyers!A:E,5,0),"")</f>
        <v/>
      </c>
      <c r="F146" t="str">
        <f>_xlfn.IFNA(VLOOKUP(B146,Nyers!A:F,6,0),"")</f>
        <v/>
      </c>
      <c r="G146" t="str">
        <f>_xlfn.IFNA(VLOOKUP(B146,Nyers!A:H,8,0),"")</f>
        <v/>
      </c>
      <c r="H146" t="str">
        <f>_xlfn.IFNA(VLOOKUP(B146,Nyers!A:D,4,0),"")</f>
        <v/>
      </c>
      <c r="I146" t="str">
        <f>_xlfn.IFNA(VLOOKUP(B146,Nyers!A:G,7,0),"")</f>
        <v/>
      </c>
    </row>
    <row r="147" spans="1:9" x14ac:dyDescent="0.25">
      <c r="A147">
        <v>31</v>
      </c>
      <c r="B147" s="41">
        <v>45803</v>
      </c>
      <c r="C147">
        <f>_xlfn.IFNA(VLOOKUP(B147,SZO!A:B,2,0),"")</f>
        <v>0</v>
      </c>
      <c r="D147">
        <f>VLOOKUP(B147,[1]Pivot!$A:$B,2,0)</f>
        <v>853</v>
      </c>
      <c r="E147">
        <f>_xlfn.IFNA(VLOOKUP(B147,Nyers!A:E,5,0),"")</f>
        <v>550</v>
      </c>
      <c r="F147">
        <f>_xlfn.IFNA(VLOOKUP(B147,Nyers!A:F,6,0),"")</f>
        <v>175</v>
      </c>
      <c r="G147">
        <f>_xlfn.IFNA(VLOOKUP(B147,Nyers!A:H,8,0),"")</f>
        <v>601</v>
      </c>
      <c r="H147">
        <f>_xlfn.IFNA(VLOOKUP(B147,Nyers!A:D,4,0),"")</f>
        <v>602</v>
      </c>
      <c r="I147">
        <f>_xlfn.IFNA(VLOOKUP(B147,Nyers!A:G,7,0),"")</f>
        <v>3830</v>
      </c>
    </row>
    <row r="148" spans="1:9" x14ac:dyDescent="0.25">
      <c r="A148">
        <v>31</v>
      </c>
      <c r="B148" s="41">
        <v>45804</v>
      </c>
      <c r="C148">
        <f>_xlfn.IFNA(VLOOKUP(B148,SZO!A:B,2,0),"")</f>
        <v>1</v>
      </c>
      <c r="D148">
        <f>VLOOKUP(B148,[1]Pivot!$A:$B,2,0)</f>
        <v>686</v>
      </c>
      <c r="E148">
        <f>_xlfn.IFNA(VLOOKUP(B148,Nyers!A:E,5,0),"")</f>
        <v>523</v>
      </c>
      <c r="F148">
        <f>_xlfn.IFNA(VLOOKUP(B148,Nyers!A:F,6,0),"")</f>
        <v>123</v>
      </c>
      <c r="G148">
        <f>_xlfn.IFNA(VLOOKUP(B148,Nyers!A:H,8,0),"")</f>
        <v>465</v>
      </c>
      <c r="H148">
        <f>_xlfn.IFNA(VLOOKUP(B148,Nyers!A:D,4,0),"")</f>
        <v>736</v>
      </c>
      <c r="I148">
        <f>_xlfn.IFNA(VLOOKUP(B148,Nyers!A:G,7,0),"")</f>
        <v>3668</v>
      </c>
    </row>
    <row r="149" spans="1:9" x14ac:dyDescent="0.25">
      <c r="A149">
        <v>31</v>
      </c>
      <c r="B149" s="41">
        <v>45805</v>
      </c>
      <c r="C149">
        <f>_xlfn.IFNA(VLOOKUP(B149,SZO!A:B,2,0),"")</f>
        <v>0</v>
      </c>
      <c r="D149">
        <f>VLOOKUP(B149,[1]Pivot!$A:$B,2,0)</f>
        <v>695</v>
      </c>
      <c r="E149">
        <f>_xlfn.IFNA(VLOOKUP(B149,Nyers!A:E,5,0),"")</f>
        <v>484</v>
      </c>
      <c r="F149">
        <f>_xlfn.IFNA(VLOOKUP(B149,Nyers!A:F,6,0),"")</f>
        <v>131</v>
      </c>
      <c r="G149">
        <f>_xlfn.IFNA(VLOOKUP(B149,Nyers!A:H,8,0),"")</f>
        <v>453</v>
      </c>
      <c r="H149">
        <f>_xlfn.IFNA(VLOOKUP(B149,Nyers!A:D,4,0),"")</f>
        <v>723</v>
      </c>
      <c r="I149">
        <f>_xlfn.IFNA(VLOOKUP(B149,Nyers!A:G,7,0),"")</f>
        <v>3440</v>
      </c>
    </row>
    <row r="150" spans="1:9" x14ac:dyDescent="0.25">
      <c r="A150">
        <v>32</v>
      </c>
      <c r="B150" s="41">
        <v>45806</v>
      </c>
      <c r="C150">
        <f>_xlfn.IFNA(VLOOKUP(B150,SZO!A:B,2,0),"")</f>
        <v>0</v>
      </c>
      <c r="D150">
        <f>VLOOKUP(B150,[1]Pivot!$A:$B,2,0)</f>
        <v>681</v>
      </c>
      <c r="E150">
        <f>_xlfn.IFNA(VLOOKUP(B150,Nyers!A:E,5,0),"")</f>
        <v>501</v>
      </c>
      <c r="F150">
        <f>_xlfn.IFNA(VLOOKUP(B150,Nyers!A:F,6,0),"")</f>
        <v>124</v>
      </c>
      <c r="G150">
        <f>_xlfn.IFNA(VLOOKUP(B150,Nyers!A:H,8,0),"")</f>
        <v>419</v>
      </c>
      <c r="H150">
        <f>_xlfn.IFNA(VLOOKUP(B150,Nyers!A:D,4,0),"")</f>
        <v>730</v>
      </c>
      <c r="I150">
        <f>_xlfn.IFNA(VLOOKUP(B150,Nyers!A:G,7,0),"")</f>
        <v>3237</v>
      </c>
    </row>
    <row r="151" spans="1:9" x14ac:dyDescent="0.25">
      <c r="A151">
        <v>32</v>
      </c>
      <c r="B151" s="41">
        <v>45807</v>
      </c>
      <c r="C151">
        <f>_xlfn.IFNA(VLOOKUP(B151,SZO!A:B,2,0),"")</f>
        <v>0</v>
      </c>
      <c r="D151">
        <f>VLOOKUP(B151,[1]Pivot!$A:$B,2,0)</f>
        <v>565</v>
      </c>
      <c r="E151">
        <f>_xlfn.IFNA(VLOOKUP(B151,Nyers!A:E,5,0),"")</f>
        <v>499</v>
      </c>
      <c r="F151">
        <f>_xlfn.IFNA(VLOOKUP(B151,Nyers!A:F,6,0),"")</f>
        <v>168</v>
      </c>
      <c r="G151">
        <f>_xlfn.IFNA(VLOOKUP(B151,Nyers!A:H,8,0),"")</f>
        <v>397</v>
      </c>
      <c r="H151">
        <f>_xlfn.IFNA(VLOOKUP(B151,Nyers!A:D,4,0),"")</f>
        <v>684</v>
      </c>
      <c r="I151">
        <f>_xlfn.IFNA(VLOOKUP(B151,Nyers!A:G,7,0),"")</f>
        <v>3281</v>
      </c>
    </row>
    <row r="152" spans="1:9" x14ac:dyDescent="0.25">
      <c r="A152">
        <v>32</v>
      </c>
      <c r="B152" s="41">
        <v>45808</v>
      </c>
      <c r="C152" t="str">
        <f>_xlfn.IFNA(VLOOKUP(B152,SZO!A:B,2,0),"")</f>
        <v/>
      </c>
      <c r="D152">
        <f>VLOOKUP(B152,[1]Pivot!$A:$B,2,0)</f>
        <v>89</v>
      </c>
      <c r="E152" t="str">
        <f>_xlfn.IFNA(VLOOKUP(B152,Nyers!A:E,5,0),"")</f>
        <v/>
      </c>
      <c r="F152" t="str">
        <f>_xlfn.IFNA(VLOOKUP(B152,Nyers!A:F,6,0),"")</f>
        <v/>
      </c>
      <c r="G152" t="str">
        <f>_xlfn.IFNA(VLOOKUP(B152,Nyers!A:H,8,0),"")</f>
        <v/>
      </c>
      <c r="H152" t="str">
        <f>_xlfn.IFNA(VLOOKUP(B152,Nyers!A:D,4,0),"")</f>
        <v/>
      </c>
      <c r="I152" t="str">
        <f>_xlfn.IFNA(VLOOKUP(B152,Nyers!A:G,7,0),"")</f>
        <v/>
      </c>
    </row>
    <row r="153" spans="1:9" x14ac:dyDescent="0.25">
      <c r="A153">
        <v>32</v>
      </c>
      <c r="B153" s="41">
        <v>45809</v>
      </c>
      <c r="C153" t="str">
        <f>_xlfn.IFNA(VLOOKUP(B153,SZO!A:B,2,0),"")</f>
        <v/>
      </c>
      <c r="D153">
        <f>VLOOKUP(B153,[1]Pivot!$A:$B,2,0)</f>
        <v>107</v>
      </c>
      <c r="E153" t="str">
        <f>_xlfn.IFNA(VLOOKUP(B153,Nyers!A:E,5,0),"")</f>
        <v/>
      </c>
      <c r="F153" t="str">
        <f>_xlfn.IFNA(VLOOKUP(B153,Nyers!A:F,6,0),"")</f>
        <v/>
      </c>
      <c r="G153" t="str">
        <f>_xlfn.IFNA(VLOOKUP(B153,Nyers!A:H,8,0),"")</f>
        <v/>
      </c>
      <c r="H153" t="str">
        <f>_xlfn.IFNA(VLOOKUP(B153,Nyers!A:D,4,0),"")</f>
        <v/>
      </c>
      <c r="I153" t="str">
        <f>_xlfn.IFNA(VLOOKUP(B153,Nyers!A:G,7,0),"")</f>
        <v/>
      </c>
    </row>
    <row r="154" spans="1:9" x14ac:dyDescent="0.25">
      <c r="A154">
        <v>32</v>
      </c>
      <c r="B154" s="41">
        <v>45810</v>
      </c>
      <c r="C154">
        <f>_xlfn.IFNA(VLOOKUP(B154,SZO!A:B,2,0),"")</f>
        <v>0</v>
      </c>
      <c r="D154">
        <f>VLOOKUP(B154,[1]Pivot!$A:$B,2,0)</f>
        <v>629</v>
      </c>
      <c r="E154">
        <f>_xlfn.IFNA(VLOOKUP(B154,Nyers!A:E,5,0),"")</f>
        <v>444</v>
      </c>
      <c r="F154">
        <f>_xlfn.IFNA(VLOOKUP(B154,Nyers!A:F,6,0),"")</f>
        <v>135</v>
      </c>
      <c r="G154">
        <f>_xlfn.IFNA(VLOOKUP(B154,Nyers!A:H,8,0),"")</f>
        <v>465</v>
      </c>
      <c r="H154">
        <f>_xlfn.IFNA(VLOOKUP(B154,Nyers!A:D,4,0),"")</f>
        <v>690</v>
      </c>
      <c r="I154">
        <f>_xlfn.IFNA(VLOOKUP(B154,Nyers!A:G,7,0),"")</f>
        <v>3068</v>
      </c>
    </row>
    <row r="155" spans="1:9" x14ac:dyDescent="0.25">
      <c r="A155">
        <v>33</v>
      </c>
      <c r="B155" s="41">
        <v>45811</v>
      </c>
      <c r="C155">
        <f>_xlfn.IFNA(VLOOKUP(B155,SZO!A:B,2,0),"")</f>
        <v>0</v>
      </c>
      <c r="D155">
        <f>VLOOKUP(B155,[1]Pivot!$A:$B,2,0)</f>
        <v>649</v>
      </c>
      <c r="E155">
        <f>_xlfn.IFNA(VLOOKUP(B155,Nyers!A:E,5,0),"")</f>
        <v>374</v>
      </c>
      <c r="F155">
        <f>_xlfn.IFNA(VLOOKUP(B155,Nyers!A:F,6,0),"")</f>
        <v>108</v>
      </c>
      <c r="G155">
        <f>_xlfn.IFNA(VLOOKUP(B155,Nyers!A:H,8,0),"")</f>
        <v>375</v>
      </c>
      <c r="H155">
        <f>_xlfn.IFNA(VLOOKUP(B155,Nyers!A:D,4,0),"")</f>
        <v>752</v>
      </c>
      <c r="I155">
        <f>_xlfn.IFNA(VLOOKUP(B155,Nyers!A:G,7,0),"")</f>
        <v>2811</v>
      </c>
    </row>
    <row r="156" spans="1:9" x14ac:dyDescent="0.25">
      <c r="A156">
        <v>33</v>
      </c>
      <c r="B156" s="41">
        <v>45812</v>
      </c>
      <c r="C156">
        <f>_xlfn.IFNA(VLOOKUP(B156,SZO!A:B,2,0),"")</f>
        <v>2742</v>
      </c>
      <c r="D156">
        <f>VLOOKUP(B156,[1]Pivot!$A:$B,2,0)</f>
        <v>635</v>
      </c>
      <c r="E156">
        <f>_xlfn.IFNA(VLOOKUP(B156,Nyers!A:E,5,0),"")</f>
        <v>486</v>
      </c>
      <c r="F156">
        <f>_xlfn.IFNA(VLOOKUP(B156,Nyers!A:F,6,0),"")</f>
        <v>133</v>
      </c>
      <c r="G156">
        <f>_xlfn.IFNA(VLOOKUP(B156,Nyers!A:H,8,0),"")</f>
        <v>353</v>
      </c>
      <c r="H156">
        <f>_xlfn.IFNA(VLOOKUP(B156,Nyers!A:D,4,0),"")</f>
        <v>739</v>
      </c>
      <c r="I156">
        <f>_xlfn.IFNA(VLOOKUP(B156,Nyers!A:G,7,0),"")</f>
        <v>2497</v>
      </c>
    </row>
    <row r="157" spans="1:9" x14ac:dyDescent="0.25">
      <c r="A157">
        <v>33</v>
      </c>
      <c r="B157" s="41">
        <v>45813</v>
      </c>
      <c r="C157">
        <f>_xlfn.IFNA(VLOOKUP(B157,SZO!A:B,2,0),"")</f>
        <v>0</v>
      </c>
      <c r="D157">
        <f>VLOOKUP(B157,[1]Pivot!$A:$B,2,0)</f>
        <v>534</v>
      </c>
      <c r="E157">
        <f>_xlfn.IFNA(VLOOKUP(B157,Nyers!A:E,5,0),"")</f>
        <v>370</v>
      </c>
      <c r="F157">
        <f>_xlfn.IFNA(VLOOKUP(B157,Nyers!A:F,6,0),"")</f>
        <v>109</v>
      </c>
      <c r="G157">
        <f>_xlfn.IFNA(VLOOKUP(B157,Nyers!A:H,8,0),"")</f>
        <v>360</v>
      </c>
      <c r="H157">
        <f>_xlfn.IFNA(VLOOKUP(B157,Nyers!A:D,4,0),"")</f>
        <v>652</v>
      </c>
      <c r="I157">
        <f>_xlfn.IFNA(VLOOKUP(B157,Nyers!A:G,7,0),"")</f>
        <v>2256</v>
      </c>
    </row>
    <row r="158" spans="1:9" x14ac:dyDescent="0.25">
      <c r="A158">
        <v>33</v>
      </c>
      <c r="B158" s="41">
        <v>45814</v>
      </c>
      <c r="C158">
        <f>_xlfn.IFNA(VLOOKUP(B158,SZO!A:B,2,0),"")</f>
        <v>2463</v>
      </c>
      <c r="D158">
        <f>VLOOKUP(B158,[1]Pivot!$A:$B,2,0)</f>
        <v>472</v>
      </c>
      <c r="E158">
        <f>_xlfn.IFNA(VLOOKUP(B158,Nyers!A:E,5,0),"")</f>
        <v>378</v>
      </c>
      <c r="F158">
        <f>_xlfn.IFNA(VLOOKUP(B158,Nyers!A:F,6,0),"")</f>
        <v>194</v>
      </c>
      <c r="G158">
        <f>_xlfn.IFNA(VLOOKUP(B158,Nyers!A:H,8,0),"")</f>
        <v>628</v>
      </c>
      <c r="H158">
        <f>_xlfn.IFNA(VLOOKUP(B158,Nyers!A:D,4,0),"")</f>
        <v>589</v>
      </c>
      <c r="I158">
        <f>_xlfn.IFNA(VLOOKUP(B158,Nyers!A:G,7,0),"")</f>
        <v>2430</v>
      </c>
    </row>
    <row r="159" spans="1:9" x14ac:dyDescent="0.25">
      <c r="A159">
        <v>33</v>
      </c>
      <c r="B159" s="41">
        <v>45815</v>
      </c>
      <c r="C159" t="str">
        <f>_xlfn.IFNA(VLOOKUP(B159,SZO!A:B,2,0),"")</f>
        <v/>
      </c>
      <c r="D159">
        <f>VLOOKUP(B159,[1]Pivot!$A:$B,2,0)</f>
        <v>91</v>
      </c>
      <c r="E159" t="str">
        <f>_xlfn.IFNA(VLOOKUP(B159,Nyers!A:E,5,0),"")</f>
        <v/>
      </c>
      <c r="F159" t="str">
        <f>_xlfn.IFNA(VLOOKUP(B159,Nyers!A:F,6,0),"")</f>
        <v/>
      </c>
      <c r="G159" t="str">
        <f>_xlfn.IFNA(VLOOKUP(B159,Nyers!A:H,8,0),"")</f>
        <v/>
      </c>
      <c r="H159" t="str">
        <f>_xlfn.IFNA(VLOOKUP(B159,Nyers!A:D,4,0),"")</f>
        <v/>
      </c>
      <c r="I159" t="str">
        <f>_xlfn.IFNA(VLOOKUP(B159,Nyers!A:G,7,0),"")</f>
        <v/>
      </c>
    </row>
    <row r="160" spans="1:9" x14ac:dyDescent="0.25">
      <c r="A160">
        <v>34</v>
      </c>
      <c r="B160" s="41">
        <v>45816</v>
      </c>
      <c r="C160" t="str">
        <f>_xlfn.IFNA(VLOOKUP(B160,SZO!A:B,2,0),"")</f>
        <v/>
      </c>
      <c r="D160">
        <f>VLOOKUP(B160,[1]Pivot!$A:$B,2,0)</f>
        <v>76</v>
      </c>
      <c r="E160" t="str">
        <f>_xlfn.IFNA(VLOOKUP(B160,Nyers!A:E,5,0),"")</f>
        <v/>
      </c>
      <c r="F160" t="str">
        <f>_xlfn.IFNA(VLOOKUP(B160,Nyers!A:F,6,0),"")</f>
        <v/>
      </c>
      <c r="G160" t="str">
        <f>_xlfn.IFNA(VLOOKUP(B160,Nyers!A:H,8,0),"")</f>
        <v/>
      </c>
      <c r="H160" t="str">
        <f>_xlfn.IFNA(VLOOKUP(B160,Nyers!A:D,4,0),"")</f>
        <v/>
      </c>
      <c r="I160" t="str">
        <f>_xlfn.IFNA(VLOOKUP(B160,Nyers!A:G,7,0),"")</f>
        <v/>
      </c>
    </row>
    <row r="161" spans="1:9" x14ac:dyDescent="0.25">
      <c r="A161">
        <v>34</v>
      </c>
      <c r="B161" s="41">
        <v>45817</v>
      </c>
      <c r="C161">
        <f>_xlfn.IFNA(VLOOKUP(B161,SZO!A:B,2,0),"")</f>
        <v>0</v>
      </c>
      <c r="D161">
        <f>VLOOKUP(B161,[1]Pivot!$A:$B,2,0)</f>
        <v>132</v>
      </c>
      <c r="E161" t="str">
        <f>_xlfn.IFNA(VLOOKUP(B161,Nyers!A:E,5,0),"")</f>
        <v/>
      </c>
      <c r="F161" t="str">
        <f>_xlfn.IFNA(VLOOKUP(B161,Nyers!A:F,6,0),"")</f>
        <v/>
      </c>
      <c r="G161" t="str">
        <f>_xlfn.IFNA(VLOOKUP(B161,Nyers!A:H,8,0),"")</f>
        <v/>
      </c>
      <c r="H161" t="str">
        <f>_xlfn.IFNA(VLOOKUP(B161,Nyers!A:D,4,0),"")</f>
        <v/>
      </c>
      <c r="I161" t="str">
        <f>_xlfn.IFNA(VLOOKUP(B161,Nyers!A:G,7,0),"")</f>
        <v/>
      </c>
    </row>
    <row r="162" spans="1:9" x14ac:dyDescent="0.25">
      <c r="A162">
        <v>34</v>
      </c>
      <c r="B162" s="41">
        <v>45818</v>
      </c>
      <c r="C162">
        <f>_xlfn.IFNA(VLOOKUP(B162,SZO!A:B,2,0),"")</f>
        <v>2494</v>
      </c>
      <c r="D162">
        <f>VLOOKUP(B162,[1]Pivot!$A:$B,2,0)</f>
        <v>580</v>
      </c>
      <c r="E162">
        <f>_xlfn.IFNA(VLOOKUP(B162,Nyers!A:E,5,0),"")</f>
        <v>419</v>
      </c>
      <c r="F162">
        <f>_xlfn.IFNA(VLOOKUP(B162,Nyers!A:F,6,0),"")</f>
        <v>180</v>
      </c>
      <c r="G162">
        <f>_xlfn.IFNA(VLOOKUP(B162,Nyers!A:H,8,0),"")</f>
        <v>603</v>
      </c>
      <c r="H162">
        <f>_xlfn.IFNA(VLOOKUP(B162,Nyers!A:D,4,0),"")</f>
        <v>545</v>
      </c>
      <c r="I162">
        <f>_xlfn.IFNA(VLOOKUP(B162,Nyers!A:G,7,0),"")</f>
        <v>2418</v>
      </c>
    </row>
    <row r="163" spans="1:9" x14ac:dyDescent="0.25">
      <c r="A163">
        <v>34</v>
      </c>
      <c r="B163" s="41">
        <v>45819</v>
      </c>
      <c r="C163">
        <f>_xlfn.IFNA(VLOOKUP(B163,SZO!A:B,2,0),"")</f>
        <v>2673</v>
      </c>
      <c r="D163">
        <f>VLOOKUP(B163,[1]Pivot!$A:$B,2,0)</f>
        <v>718</v>
      </c>
      <c r="E163">
        <f>_xlfn.IFNA(VLOOKUP(B163,Nyers!A:E,5,0),"")</f>
        <v>537</v>
      </c>
      <c r="F163">
        <f>_xlfn.IFNA(VLOOKUP(B163,Nyers!A:F,6,0),"")</f>
        <v>180</v>
      </c>
      <c r="G163">
        <f>_xlfn.IFNA(VLOOKUP(B163,Nyers!A:H,8,0),"")</f>
        <v>538</v>
      </c>
      <c r="H163">
        <f>_xlfn.IFNA(VLOOKUP(B163,Nyers!A:D,4,0),"")</f>
        <v>604</v>
      </c>
      <c r="I163">
        <f>_xlfn.IFNA(VLOOKUP(B163,Nyers!A:G,7,0),"")</f>
        <v>2341</v>
      </c>
    </row>
    <row r="164" spans="1:9" x14ac:dyDescent="0.25">
      <c r="A164">
        <v>35</v>
      </c>
      <c r="B164" s="41">
        <v>45820</v>
      </c>
      <c r="C164">
        <f>_xlfn.IFNA(VLOOKUP(B164,SZO!A:B,2,0),"")</f>
        <v>2195</v>
      </c>
      <c r="D164">
        <f>VLOOKUP(B164,[1]Pivot!$A:$B,2,0)</f>
        <v>634</v>
      </c>
      <c r="E164">
        <f>_xlfn.IFNA(VLOOKUP(B164,Nyers!A:E,5,0),"")</f>
        <v>426</v>
      </c>
      <c r="F164">
        <f>_xlfn.IFNA(VLOOKUP(B164,Nyers!A:F,6,0),"")</f>
        <v>127</v>
      </c>
      <c r="G164">
        <f>_xlfn.IFNA(VLOOKUP(B164,Nyers!A:H,8,0),"")</f>
        <v>542</v>
      </c>
      <c r="H164">
        <f>_xlfn.IFNA(VLOOKUP(B164,Nyers!A:D,4,0),"")</f>
        <v>567</v>
      </c>
      <c r="I164">
        <f>_xlfn.IFNA(VLOOKUP(B164,Nyers!A:G,7,0),"")</f>
        <v>2311</v>
      </c>
    </row>
    <row r="165" spans="1:9" x14ac:dyDescent="0.25">
      <c r="A165">
        <v>35</v>
      </c>
      <c r="B165" s="41">
        <v>45821</v>
      </c>
      <c r="C165">
        <f>_xlfn.IFNA(VLOOKUP(B165,SZO!A:B,2,0),"")</f>
        <v>2648</v>
      </c>
      <c r="D165">
        <f>VLOOKUP(B165,[1]Pivot!$A:$B,2,0)</f>
        <v>631</v>
      </c>
      <c r="E165">
        <f>_xlfn.IFNA(VLOOKUP(B165,Nyers!A:E,5,0),"")</f>
        <v>413</v>
      </c>
      <c r="F165">
        <f>_xlfn.IFNA(VLOOKUP(B165,Nyers!A:F,6,0),"")</f>
        <v>166</v>
      </c>
      <c r="G165">
        <f>_xlfn.IFNA(VLOOKUP(B165,Nyers!A:H,8,0),"")</f>
        <v>535</v>
      </c>
      <c r="H165">
        <f>_xlfn.IFNA(VLOOKUP(B165,Nyers!A:D,4,0),"")</f>
        <v>481</v>
      </c>
      <c r="I165">
        <f>_xlfn.IFNA(VLOOKUP(B165,Nyers!A:G,7,0),"")</f>
        <v>2927</v>
      </c>
    </row>
    <row r="166" spans="1:9" x14ac:dyDescent="0.25">
      <c r="A166">
        <v>35</v>
      </c>
      <c r="B166" s="41">
        <v>45822</v>
      </c>
      <c r="C166" t="str">
        <f>_xlfn.IFNA(VLOOKUP(B166,SZO!A:B,2,0),"")</f>
        <v/>
      </c>
      <c r="D166">
        <f>VLOOKUP(B166,[1]Pivot!$A:$B,2,0)</f>
        <v>113</v>
      </c>
      <c r="E166" t="str">
        <f>_xlfn.IFNA(VLOOKUP(B166,Nyers!A:E,5,0),"")</f>
        <v/>
      </c>
      <c r="F166" t="str">
        <f>_xlfn.IFNA(VLOOKUP(B166,Nyers!A:F,6,0),"")</f>
        <v/>
      </c>
      <c r="G166" t="str">
        <f>_xlfn.IFNA(VLOOKUP(B166,Nyers!A:H,8,0),"")</f>
        <v/>
      </c>
      <c r="H166" t="str">
        <f>_xlfn.IFNA(VLOOKUP(B166,Nyers!A:D,4,0),"")</f>
        <v/>
      </c>
      <c r="I166" t="str">
        <f>_xlfn.IFNA(VLOOKUP(B166,Nyers!A:G,7,0),"")</f>
        <v/>
      </c>
    </row>
    <row r="167" spans="1:9" x14ac:dyDescent="0.25">
      <c r="A167">
        <v>35</v>
      </c>
      <c r="B167" s="41">
        <v>45823</v>
      </c>
      <c r="C167" t="str">
        <f>_xlfn.IFNA(VLOOKUP(B167,SZO!A:B,2,0),"")</f>
        <v/>
      </c>
      <c r="D167">
        <f>VLOOKUP(B167,[1]Pivot!$A:$B,2,0)</f>
        <v>120</v>
      </c>
      <c r="E167" t="str">
        <f>_xlfn.IFNA(VLOOKUP(B167,Nyers!A:E,5,0),"")</f>
        <v/>
      </c>
      <c r="F167" t="str">
        <f>_xlfn.IFNA(VLOOKUP(B167,Nyers!A:F,6,0),"")</f>
        <v/>
      </c>
      <c r="G167" t="str">
        <f>_xlfn.IFNA(VLOOKUP(B167,Nyers!A:H,8,0),"")</f>
        <v/>
      </c>
      <c r="H167" t="str">
        <f>_xlfn.IFNA(VLOOKUP(B167,Nyers!A:D,4,0),"")</f>
        <v/>
      </c>
      <c r="I167" t="str">
        <f>_xlfn.IFNA(VLOOKUP(B167,Nyers!A:G,7,0),"")</f>
        <v/>
      </c>
    </row>
    <row r="168" spans="1:9" x14ac:dyDescent="0.25">
      <c r="A168">
        <v>35</v>
      </c>
      <c r="B168" s="41">
        <v>45824</v>
      </c>
      <c r="C168">
        <f>_xlfn.IFNA(VLOOKUP(B168,SZO!A:B,2,0),"")</f>
        <v>0</v>
      </c>
      <c r="D168">
        <f>VLOOKUP(B168,[1]Pivot!$A:$B,2,0)</f>
        <v>755</v>
      </c>
      <c r="E168">
        <f>_xlfn.IFNA(VLOOKUP(B168,Nyers!A:E,5,0),"")</f>
        <v>498</v>
      </c>
      <c r="F168">
        <f>_xlfn.IFNA(VLOOKUP(B168,Nyers!A:F,6,0),"")</f>
        <v>174</v>
      </c>
      <c r="G168">
        <f>_xlfn.IFNA(VLOOKUP(B168,Nyers!A:H,8,0),"")</f>
        <v>568</v>
      </c>
      <c r="H168">
        <f>_xlfn.IFNA(VLOOKUP(B168,Nyers!A:D,4,0),"")</f>
        <v>645</v>
      </c>
      <c r="I168">
        <f>_xlfn.IFNA(VLOOKUP(B168,Nyers!A:G,7,0),"")</f>
        <v>2528</v>
      </c>
    </row>
    <row r="169" spans="1:9" x14ac:dyDescent="0.25">
      <c r="A169">
        <v>36</v>
      </c>
      <c r="B169" s="41">
        <v>45825</v>
      </c>
      <c r="C169">
        <f>_xlfn.IFNA(VLOOKUP(B169,SZO!A:B,2,0),"")</f>
        <v>71</v>
      </c>
      <c r="D169">
        <f>VLOOKUP(B169,[1]Pivot!$A:$B,2,0)</f>
        <v>691</v>
      </c>
      <c r="E169">
        <f>_xlfn.IFNA(VLOOKUP(B169,Nyers!A:E,5,0),"")</f>
        <v>463</v>
      </c>
      <c r="F169">
        <f>_xlfn.IFNA(VLOOKUP(B169,Nyers!A:F,6,0),"")</f>
        <v>127</v>
      </c>
      <c r="G169">
        <f>_xlfn.IFNA(VLOOKUP(B169,Nyers!A:H,8,0),"")</f>
        <v>534</v>
      </c>
      <c r="H169">
        <f>_xlfn.IFNA(VLOOKUP(B169,Nyers!A:D,4,0),"")</f>
        <v>646</v>
      </c>
      <c r="I169">
        <f>_xlfn.IFNA(VLOOKUP(B169,Nyers!A:G,7,0),"")</f>
        <v>2610</v>
      </c>
    </row>
    <row r="170" spans="1:9" x14ac:dyDescent="0.25">
      <c r="A170">
        <v>36</v>
      </c>
      <c r="B170" s="41">
        <v>45826</v>
      </c>
      <c r="C170">
        <f>_xlfn.IFNA(VLOOKUP(B170,SZO!A:B,2,0),"")</f>
        <v>0</v>
      </c>
      <c r="D170">
        <f>VLOOKUP(B170,[1]Pivot!$A:$B,2,0)</f>
        <v>705</v>
      </c>
      <c r="E170">
        <f>_xlfn.IFNA(VLOOKUP(B170,Nyers!A:E,5,0),"")</f>
        <v>571</v>
      </c>
      <c r="F170">
        <f>_xlfn.IFNA(VLOOKUP(B170,Nyers!A:F,6,0),"")</f>
        <v>166</v>
      </c>
      <c r="G170">
        <f>_xlfn.IFNA(VLOOKUP(B170,Nyers!A:H,8,0),"")</f>
        <v>488</v>
      </c>
      <c r="H170">
        <f>_xlfn.IFNA(VLOOKUP(B170,Nyers!A:D,4,0),"")</f>
        <v>631</v>
      </c>
      <c r="I170">
        <f>_xlfn.IFNA(VLOOKUP(B170,Nyers!A:G,7,0),"")</f>
        <v>2587</v>
      </c>
    </row>
    <row r="171" spans="1:9" x14ac:dyDescent="0.25">
      <c r="A171">
        <v>36</v>
      </c>
      <c r="B171" s="41">
        <v>45827</v>
      </c>
      <c r="C171">
        <f>_xlfn.IFNA(VLOOKUP(B171,SZO!A:B,2,0),"")</f>
        <v>1</v>
      </c>
      <c r="D171">
        <f>VLOOKUP(B171,[1]Pivot!$A:$B,2,0)</f>
        <v>603</v>
      </c>
      <c r="E171">
        <f>_xlfn.IFNA(VLOOKUP(B171,Nyers!A:E,5,0),"")</f>
        <v>465</v>
      </c>
      <c r="F171">
        <f>_xlfn.IFNA(VLOOKUP(B171,Nyers!A:F,6,0),"")</f>
        <v>138</v>
      </c>
      <c r="G171">
        <f>_xlfn.IFNA(VLOOKUP(B171,Nyers!A:H,8,0),"")</f>
        <v>421</v>
      </c>
      <c r="H171">
        <f>_xlfn.IFNA(VLOOKUP(B171,Nyers!A:D,4,0),"")</f>
        <v>571</v>
      </c>
      <c r="I171">
        <f>_xlfn.IFNA(VLOOKUP(B171,Nyers!A:G,7,0),"")</f>
        <v>2446</v>
      </c>
    </row>
    <row r="172" spans="1:9" x14ac:dyDescent="0.25">
      <c r="A172">
        <v>36</v>
      </c>
      <c r="B172" s="41">
        <v>45828</v>
      </c>
      <c r="C172">
        <f>_xlfn.IFNA(VLOOKUP(B172,SZO!A:B,2,0),"")</f>
        <v>0</v>
      </c>
      <c r="D172">
        <f>VLOOKUP(B172,[1]Pivot!$A:$B,2,0)</f>
        <v>522</v>
      </c>
      <c r="E172">
        <f>_xlfn.IFNA(VLOOKUP(B172,Nyers!A:E,5,0),"")</f>
        <v>320</v>
      </c>
      <c r="F172">
        <f>_xlfn.IFNA(VLOOKUP(B172,Nyers!A:F,6,0),"")</f>
        <v>165</v>
      </c>
      <c r="G172">
        <f>_xlfn.IFNA(VLOOKUP(B172,Nyers!A:H,8,0),"")</f>
        <v>426</v>
      </c>
      <c r="H172">
        <f>_xlfn.IFNA(VLOOKUP(B172,Nyers!A:D,4,0),"")</f>
        <v>512</v>
      </c>
      <c r="I172">
        <f>_xlfn.IFNA(VLOOKUP(B172,Nyers!A:G,7,0),"")</f>
        <v>2643</v>
      </c>
    </row>
    <row r="173" spans="1:9" x14ac:dyDescent="0.25">
      <c r="A173">
        <v>36</v>
      </c>
      <c r="B173" s="41">
        <v>45829</v>
      </c>
      <c r="C173" t="str">
        <f>_xlfn.IFNA(VLOOKUP(B173,SZO!A:B,2,0),"")</f>
        <v/>
      </c>
      <c r="D173">
        <f>VLOOKUP(B173,[1]Pivot!$A:$B,2,0)</f>
        <v>98</v>
      </c>
      <c r="E173" t="str">
        <f>_xlfn.IFNA(VLOOKUP(B173,Nyers!A:E,5,0),"")</f>
        <v/>
      </c>
      <c r="F173" t="str">
        <f>_xlfn.IFNA(VLOOKUP(B173,Nyers!A:F,6,0),"")</f>
        <v/>
      </c>
      <c r="G173" t="str">
        <f>_xlfn.IFNA(VLOOKUP(B173,Nyers!A:H,8,0),"")</f>
        <v/>
      </c>
      <c r="H173" t="str">
        <f>_xlfn.IFNA(VLOOKUP(B173,Nyers!A:D,4,0),"")</f>
        <v/>
      </c>
      <c r="I173" t="str">
        <f>_xlfn.IFNA(VLOOKUP(B173,Nyers!A:G,7,0),"")</f>
        <v/>
      </c>
    </row>
    <row r="174" spans="1:9" x14ac:dyDescent="0.25">
      <c r="A174">
        <v>37</v>
      </c>
      <c r="B174" s="41">
        <v>45830</v>
      </c>
      <c r="C174" t="str">
        <f>_xlfn.IFNA(VLOOKUP(B174,SZO!A:B,2,0),"")</f>
        <v/>
      </c>
      <c r="D174">
        <f>VLOOKUP(B174,[1]Pivot!$A:$B,2,0)</f>
        <v>88</v>
      </c>
      <c r="E174" t="str">
        <f>_xlfn.IFNA(VLOOKUP(B174,Nyers!A:E,5,0),"")</f>
        <v/>
      </c>
      <c r="F174" t="str">
        <f>_xlfn.IFNA(VLOOKUP(B174,Nyers!A:F,6,0),"")</f>
        <v/>
      </c>
      <c r="G174" t="str">
        <f>_xlfn.IFNA(VLOOKUP(B174,Nyers!A:H,8,0),"")</f>
        <v/>
      </c>
      <c r="H174" t="str">
        <f>_xlfn.IFNA(VLOOKUP(B174,Nyers!A:D,4,0),"")</f>
        <v/>
      </c>
      <c r="I174" t="str">
        <f>_xlfn.IFNA(VLOOKUP(B174,Nyers!A:G,7,0),"")</f>
        <v/>
      </c>
    </row>
    <row r="175" spans="1:9" x14ac:dyDescent="0.25">
      <c r="A175">
        <v>37</v>
      </c>
      <c r="B175" s="41">
        <v>45831</v>
      </c>
      <c r="C175">
        <f>_xlfn.IFNA(VLOOKUP(B175,SZO!A:B,2,0),"")</f>
        <v>3460</v>
      </c>
      <c r="D175">
        <f>VLOOKUP(B175,[1]Pivot!$A:$B,2,0)</f>
        <v>501</v>
      </c>
      <c r="E175">
        <f>_xlfn.IFNA(VLOOKUP(B175,Nyers!A:E,5,0),"")</f>
        <v>446</v>
      </c>
      <c r="F175">
        <f>_xlfn.IFNA(VLOOKUP(B175,Nyers!A:F,6,0),"")</f>
        <v>116</v>
      </c>
      <c r="G175">
        <f>_xlfn.IFNA(VLOOKUP(B175,Nyers!A:H,8,0),"")</f>
        <v>464</v>
      </c>
      <c r="H175">
        <f>_xlfn.IFNA(VLOOKUP(B175,Nyers!A:D,4,0),"")</f>
        <v>552</v>
      </c>
      <c r="I175">
        <f>_xlfn.IFNA(VLOOKUP(B175,Nyers!A:G,7,0),"")</f>
        <v>2529</v>
      </c>
    </row>
    <row r="176" spans="1:9" x14ac:dyDescent="0.25">
      <c r="A176">
        <v>37</v>
      </c>
      <c r="B176" s="41">
        <v>45832</v>
      </c>
      <c r="C176">
        <f>_xlfn.IFNA(VLOOKUP(B176,SZO!A:B,2,0),"")</f>
        <v>0</v>
      </c>
      <c r="D176">
        <f>VLOOKUP(B176,[1]Pivot!$A:$B,2,0)</f>
        <v>564</v>
      </c>
      <c r="E176">
        <f>_xlfn.IFNA(VLOOKUP(B176,Nyers!A:E,5,0),"")</f>
        <v>409</v>
      </c>
      <c r="F176">
        <f>_xlfn.IFNA(VLOOKUP(B176,Nyers!A:F,6,0),"")</f>
        <v>121</v>
      </c>
      <c r="G176">
        <f>_xlfn.IFNA(VLOOKUP(B176,Nyers!A:H,8,0),"")</f>
        <v>370</v>
      </c>
      <c r="H176">
        <f>_xlfn.IFNA(VLOOKUP(B176,Nyers!A:D,4,0),"")</f>
        <v>643</v>
      </c>
      <c r="I176">
        <f>_xlfn.IFNA(VLOOKUP(B176,Nyers!A:G,7,0),"")</f>
        <v>2380</v>
      </c>
    </row>
    <row r="177" spans="1:9" x14ac:dyDescent="0.25">
      <c r="A177">
        <v>37</v>
      </c>
      <c r="B177" s="41">
        <v>45833</v>
      </c>
      <c r="C177">
        <f>_xlfn.IFNA(VLOOKUP(B177,SZO!A:B,2,0),"")</f>
        <v>0</v>
      </c>
      <c r="D177">
        <f>VLOOKUP(B177,[1]Pivot!$A:$B,2,0)</f>
        <v>567</v>
      </c>
      <c r="E177">
        <f>_xlfn.IFNA(VLOOKUP(B177,Nyers!A:E,5,0),"")</f>
        <v>447</v>
      </c>
      <c r="F177">
        <f>_xlfn.IFNA(VLOOKUP(B177,Nyers!A:F,6,0),"")</f>
        <v>138</v>
      </c>
      <c r="G177">
        <f>_xlfn.IFNA(VLOOKUP(B177,Nyers!A:H,8,0),"")</f>
        <v>428</v>
      </c>
      <c r="H177">
        <f>_xlfn.IFNA(VLOOKUP(B177,Nyers!A:D,4,0),"")</f>
        <v>611</v>
      </c>
      <c r="I177">
        <f>_xlfn.IFNA(VLOOKUP(B177,Nyers!A:G,7,0),"")</f>
        <v>2278</v>
      </c>
    </row>
    <row r="178" spans="1:9" x14ac:dyDescent="0.25">
      <c r="A178">
        <v>37</v>
      </c>
      <c r="B178" s="41">
        <v>45834</v>
      </c>
      <c r="C178">
        <f>_xlfn.IFNA(VLOOKUP(B178,SZO!A:B,2,0),"")</f>
        <v>2792</v>
      </c>
      <c r="D178">
        <f>VLOOKUP(B178,[1]Pivot!$A:$B,2,0)</f>
        <v>551</v>
      </c>
      <c r="E178">
        <f>_xlfn.IFNA(VLOOKUP(B178,Nyers!A:E,5,0),"")</f>
        <v>353</v>
      </c>
      <c r="F178">
        <f>_xlfn.IFNA(VLOOKUP(B178,Nyers!A:F,6,0),"")</f>
        <v>116</v>
      </c>
      <c r="G178">
        <f>_xlfn.IFNA(VLOOKUP(B178,Nyers!A:H,8,0),"")</f>
        <v>392</v>
      </c>
      <c r="H178">
        <f>_xlfn.IFNA(VLOOKUP(B178,Nyers!A:D,4,0),"")</f>
        <v>573</v>
      </c>
      <c r="I178">
        <f>_xlfn.IFNA(VLOOKUP(B178,Nyers!A:G,7,0),"")</f>
        <v>2129</v>
      </c>
    </row>
    <row r="179" spans="1:9" x14ac:dyDescent="0.25">
      <c r="A179">
        <v>38</v>
      </c>
      <c r="B179" s="41">
        <v>45835</v>
      </c>
      <c r="C179">
        <f>_xlfn.IFNA(VLOOKUP(B179,SZO!A:B,2,0),"")</f>
        <v>3949</v>
      </c>
      <c r="D179">
        <f>VLOOKUP(B179,[1]Pivot!$A:$B,2,0)</f>
        <v>479</v>
      </c>
      <c r="E179">
        <f>_xlfn.IFNA(VLOOKUP(B179,Nyers!A:E,5,0),"")</f>
        <v>317</v>
      </c>
      <c r="F179">
        <f>_xlfn.IFNA(VLOOKUP(B179,Nyers!A:F,6,0),"")</f>
        <v>147</v>
      </c>
      <c r="G179">
        <f>_xlfn.IFNA(VLOOKUP(B179,Nyers!A:H,8,0),"")</f>
        <v>365</v>
      </c>
      <c r="H179">
        <f>_xlfn.IFNA(VLOOKUP(B179,Nyers!A:D,4,0),"")</f>
        <v>537</v>
      </c>
      <c r="I179">
        <f>_xlfn.IFNA(VLOOKUP(B179,Nyers!A:G,7,0),"")</f>
        <v>2173</v>
      </c>
    </row>
    <row r="180" spans="1:9" x14ac:dyDescent="0.25">
      <c r="A180">
        <v>38</v>
      </c>
      <c r="B180" s="41">
        <v>45836</v>
      </c>
      <c r="C180" t="str">
        <f>_xlfn.IFNA(VLOOKUP(B180,SZO!A:B,2,0),"")</f>
        <v/>
      </c>
      <c r="D180">
        <f>VLOOKUP(B180,[1]Pivot!$A:$B,2,0)</f>
        <v>74</v>
      </c>
      <c r="E180" t="str">
        <f>_xlfn.IFNA(VLOOKUP(B180,Nyers!A:E,5,0),"")</f>
        <v/>
      </c>
      <c r="F180" t="str">
        <f>_xlfn.IFNA(VLOOKUP(B180,Nyers!A:F,6,0),"")</f>
        <v/>
      </c>
      <c r="G180" t="str">
        <f>_xlfn.IFNA(VLOOKUP(B180,Nyers!A:H,8,0),"")</f>
        <v/>
      </c>
      <c r="H180" t="str">
        <f>_xlfn.IFNA(VLOOKUP(B180,Nyers!A:D,4,0),"")</f>
        <v/>
      </c>
      <c r="I180" t="str">
        <f>_xlfn.IFNA(VLOOKUP(B180,Nyers!A:G,7,0),"")</f>
        <v/>
      </c>
    </row>
    <row r="181" spans="1:9" x14ac:dyDescent="0.25">
      <c r="A181">
        <v>38</v>
      </c>
      <c r="B181" s="41">
        <v>45837</v>
      </c>
      <c r="C181" t="str">
        <f>_xlfn.IFNA(VLOOKUP(B181,SZO!A:B,2,0),"")</f>
        <v/>
      </c>
      <c r="D181">
        <f>VLOOKUP(B181,[1]Pivot!$A:$B,2,0)</f>
        <v>111</v>
      </c>
      <c r="E181" t="str">
        <f>_xlfn.IFNA(VLOOKUP(B181,Nyers!A:E,5,0),"")</f>
        <v/>
      </c>
      <c r="F181" t="str">
        <f>_xlfn.IFNA(VLOOKUP(B181,Nyers!A:F,6,0),"")</f>
        <v/>
      </c>
      <c r="G181" t="str">
        <f>_xlfn.IFNA(VLOOKUP(B181,Nyers!A:H,8,0),"")</f>
        <v/>
      </c>
      <c r="H181" t="str">
        <f>_xlfn.IFNA(VLOOKUP(B181,Nyers!A:D,4,0),"")</f>
        <v/>
      </c>
      <c r="I181" t="str">
        <f>_xlfn.IFNA(VLOOKUP(B181,Nyers!A:G,7,0),"")</f>
        <v/>
      </c>
    </row>
    <row r="182" spans="1:9" x14ac:dyDescent="0.25">
      <c r="A182">
        <v>38</v>
      </c>
      <c r="B182" s="41">
        <v>45838</v>
      </c>
      <c r="C182">
        <f>_xlfn.IFNA(VLOOKUP(B182,SZO!A:B,2,0),"")</f>
        <v>2821</v>
      </c>
      <c r="D182">
        <f>VLOOKUP(B182,[1]Pivot!$A:$B,2,0)</f>
        <v>548</v>
      </c>
      <c r="E182">
        <f>_xlfn.IFNA(VLOOKUP(B182,Nyers!A:E,5,0),"")</f>
        <v>419</v>
      </c>
      <c r="F182">
        <f>_xlfn.IFNA(VLOOKUP(B182,Nyers!A:F,6,0),"")</f>
        <v>145</v>
      </c>
      <c r="G182">
        <f>_xlfn.IFNA(VLOOKUP(B182,Nyers!A:H,8,0),"")</f>
        <v>439</v>
      </c>
      <c r="H182">
        <f>_xlfn.IFNA(VLOOKUP(B182,Nyers!A:D,4,0),"")</f>
        <v>593</v>
      </c>
      <c r="I182">
        <f>_xlfn.IFNA(VLOOKUP(B182,Nyers!A:G,7,0),"")</f>
        <v>2053</v>
      </c>
    </row>
    <row r="183" spans="1:9" x14ac:dyDescent="0.25">
      <c r="A183">
        <v>38</v>
      </c>
      <c r="B183" s="41">
        <v>45839</v>
      </c>
      <c r="C183">
        <f>_xlfn.IFNA(VLOOKUP(B183,SZO!A:B,2,0),"")</f>
        <v>2453</v>
      </c>
      <c r="D183">
        <f>VLOOKUP(B183,[1]Pivot!$A:$B,2,0)</f>
        <v>615</v>
      </c>
      <c r="E183">
        <f>_xlfn.IFNA(VLOOKUP(B183,Nyers!A:E,5,0),"")</f>
        <v>429</v>
      </c>
      <c r="F183">
        <f>_xlfn.IFNA(VLOOKUP(B183,Nyers!A:F,6,0),"")</f>
        <v>140</v>
      </c>
      <c r="G183">
        <f>_xlfn.IFNA(VLOOKUP(B183,Nyers!A:H,8,0),"")</f>
        <v>493</v>
      </c>
      <c r="H183">
        <f>_xlfn.IFNA(VLOOKUP(B183,Nyers!A:D,4,0),"")</f>
        <v>564</v>
      </c>
      <c r="I183">
        <f>_xlfn.IFNA(VLOOKUP(B183,Nyers!A:G,7,0),"")</f>
        <v>2041</v>
      </c>
    </row>
    <row r="184" spans="1:9" x14ac:dyDescent="0.25">
      <c r="A184">
        <v>39</v>
      </c>
      <c r="B184" s="41">
        <v>45840</v>
      </c>
      <c r="C184">
        <f>_xlfn.IFNA(VLOOKUP(B184,SZO!A:B,2,0),"")</f>
        <v>2427</v>
      </c>
      <c r="D184">
        <f>VLOOKUP(B184,[1]Pivot!$A:$B,2,0)</f>
        <v>605</v>
      </c>
      <c r="E184">
        <f>_xlfn.IFNA(VLOOKUP(B184,Nyers!A:E,5,0),"")</f>
        <v>592</v>
      </c>
      <c r="F184">
        <f>_xlfn.IFNA(VLOOKUP(B184,Nyers!A:F,6,0),"")</f>
        <v>142</v>
      </c>
      <c r="G184">
        <f>_xlfn.IFNA(VLOOKUP(B184,Nyers!A:H,8,0),"")</f>
        <v>575</v>
      </c>
      <c r="H184">
        <f>_xlfn.IFNA(VLOOKUP(B184,Nyers!A:D,4,0),"")</f>
        <v>555</v>
      </c>
      <c r="I184">
        <f>_xlfn.IFNA(VLOOKUP(B184,Nyers!A:G,7,0),"")</f>
        <v>2003</v>
      </c>
    </row>
    <row r="185" spans="1:9" x14ac:dyDescent="0.25">
      <c r="A185">
        <v>39</v>
      </c>
      <c r="B185" s="41">
        <v>45841</v>
      </c>
      <c r="C185">
        <f>_xlfn.IFNA(VLOOKUP(B185,SZO!A:B,2,0),"")</f>
        <v>2600</v>
      </c>
      <c r="D185">
        <f>VLOOKUP(B185,[1]Pivot!$A:$B,2,0)</f>
        <v>573</v>
      </c>
      <c r="E185">
        <f>_xlfn.IFNA(VLOOKUP(B185,Nyers!A:E,5,0),"")</f>
        <v>431</v>
      </c>
      <c r="F185">
        <f>_xlfn.IFNA(VLOOKUP(B185,Nyers!A:F,6,0),"")</f>
        <v>125</v>
      </c>
      <c r="G185">
        <f>_xlfn.IFNA(VLOOKUP(B185,Nyers!A:H,8,0),"")</f>
        <v>494</v>
      </c>
      <c r="H185">
        <f>_xlfn.IFNA(VLOOKUP(B185,Nyers!A:D,4,0),"")</f>
        <v>482</v>
      </c>
      <c r="I185">
        <f>_xlfn.IFNA(VLOOKUP(B185,Nyers!A:G,7,0),"")</f>
        <v>2073</v>
      </c>
    </row>
    <row r="186" spans="1:9" x14ac:dyDescent="0.25">
      <c r="A186">
        <v>39</v>
      </c>
      <c r="B186" s="41">
        <v>45842</v>
      </c>
      <c r="C186">
        <f>_xlfn.IFNA(VLOOKUP(B186,SZO!A:B,2,0),"")</f>
        <v>3155</v>
      </c>
      <c r="D186">
        <f>VLOOKUP(B186,[1]Pivot!$A:$B,2,0)</f>
        <v>521</v>
      </c>
      <c r="E186">
        <f>_xlfn.IFNA(VLOOKUP(B186,Nyers!A:E,5,0),"")</f>
        <v>392</v>
      </c>
      <c r="F186">
        <f>_xlfn.IFNA(VLOOKUP(B186,Nyers!A:F,6,0),"")</f>
        <v>184</v>
      </c>
      <c r="G186">
        <f>_xlfn.IFNA(VLOOKUP(B186,Nyers!A:H,8,0),"")</f>
        <v>474</v>
      </c>
      <c r="H186">
        <f>_xlfn.IFNA(VLOOKUP(B186,Nyers!A:D,4,0),"")</f>
        <v>508</v>
      </c>
      <c r="I186">
        <f>_xlfn.IFNA(VLOOKUP(B186,Nyers!A:G,7,0),"")</f>
        <v>2373</v>
      </c>
    </row>
    <row r="187" spans="1:9" x14ac:dyDescent="0.25">
      <c r="A187">
        <v>39</v>
      </c>
      <c r="B187" s="41">
        <v>45843</v>
      </c>
      <c r="C187" t="str">
        <f>_xlfn.IFNA(VLOOKUP(B187,SZO!A:B,2,0),"")</f>
        <v/>
      </c>
      <c r="D187">
        <f>VLOOKUP(B187,[1]Pivot!$A:$B,2,0)</f>
        <v>139</v>
      </c>
      <c r="E187" t="str">
        <f>_xlfn.IFNA(VLOOKUP(B187,Nyers!A:E,5,0),"")</f>
        <v/>
      </c>
      <c r="F187" t="str">
        <f>_xlfn.IFNA(VLOOKUP(B187,Nyers!A:F,6,0),"")</f>
        <v/>
      </c>
      <c r="G187" t="str">
        <f>_xlfn.IFNA(VLOOKUP(B187,Nyers!A:H,8,0),"")</f>
        <v/>
      </c>
      <c r="H187" t="str">
        <f>_xlfn.IFNA(VLOOKUP(B187,Nyers!A:D,4,0),"")</f>
        <v/>
      </c>
      <c r="I187" t="str">
        <f>_xlfn.IFNA(VLOOKUP(B187,Nyers!A:G,7,0),"")</f>
        <v/>
      </c>
    </row>
    <row r="188" spans="1:9" x14ac:dyDescent="0.25">
      <c r="A188">
        <v>39</v>
      </c>
      <c r="B188" s="41">
        <v>45844</v>
      </c>
      <c r="C188" t="str">
        <f>_xlfn.IFNA(VLOOKUP(B188,SZO!A:B,2,0),"")</f>
        <v/>
      </c>
      <c r="D188">
        <f>VLOOKUP(B188,[1]Pivot!$A:$B,2,0)</f>
        <v>123</v>
      </c>
      <c r="E188" t="str">
        <f>_xlfn.IFNA(VLOOKUP(B188,Nyers!A:E,5,0),"")</f>
        <v/>
      </c>
      <c r="F188" t="str">
        <f>_xlfn.IFNA(VLOOKUP(B188,Nyers!A:F,6,0),"")</f>
        <v/>
      </c>
      <c r="G188" t="str">
        <f>_xlfn.IFNA(VLOOKUP(B188,Nyers!A:H,8,0),"")</f>
        <v/>
      </c>
      <c r="H188" t="str">
        <f>_xlfn.IFNA(VLOOKUP(B188,Nyers!A:D,4,0),"")</f>
        <v/>
      </c>
      <c r="I188" t="str">
        <f>_xlfn.IFNA(VLOOKUP(B188,Nyers!A:G,7,0),"")</f>
        <v/>
      </c>
    </row>
    <row r="189" spans="1:9" x14ac:dyDescent="0.25">
      <c r="A189">
        <f>WEEKNUM(B189)</f>
        <v>28</v>
      </c>
      <c r="B189" s="41">
        <v>45845</v>
      </c>
      <c r="C189">
        <f>_xlfn.IFNA(VLOOKUP(B189,SZO!A:B,2,0),"")</f>
        <v>21</v>
      </c>
      <c r="D189">
        <f>VLOOKUP(B189,[1]Pivot!$A:$B,2,0)</f>
        <v>659</v>
      </c>
      <c r="E189">
        <f>_xlfn.IFNA(VLOOKUP(B189,Nyers!A:E,5,0),"")</f>
        <v>513</v>
      </c>
      <c r="F189">
        <f>_xlfn.IFNA(VLOOKUP(B189,Nyers!A:F,6,0),"")</f>
        <v>156</v>
      </c>
      <c r="G189">
        <f>_xlfn.IFNA(VLOOKUP(B189,Nyers!A:H,8,0),"")</f>
        <v>611</v>
      </c>
      <c r="H189">
        <f>_xlfn.IFNA(VLOOKUP(B189,Nyers!A:D,4,0),"")</f>
        <v>658</v>
      </c>
      <c r="I189">
        <f>_xlfn.IFNA(VLOOKUP(B189,Nyers!A:G,7,0),"")</f>
        <v>2526</v>
      </c>
    </row>
    <row r="190" spans="1:9" x14ac:dyDescent="0.25">
      <c r="A190">
        <f t="shared" ref="A190:A253" si="0">WEEKNUM(B190)</f>
        <v>28</v>
      </c>
      <c r="B190" s="41">
        <v>45846</v>
      </c>
      <c r="C190">
        <f>_xlfn.IFNA(VLOOKUP(B190,SZO!A:B,2,0),"")</f>
        <v>0</v>
      </c>
      <c r="D190">
        <f>VLOOKUP(B190,[1]Pivot!$A:$B,2,0)</f>
        <v>747</v>
      </c>
      <c r="E190">
        <f>_xlfn.IFNA(VLOOKUP(B190,Nyers!A:E,5,0),"")</f>
        <v>430</v>
      </c>
      <c r="F190">
        <f>_xlfn.IFNA(VLOOKUP(B190,Nyers!A:F,6,0),"")</f>
        <v>123</v>
      </c>
      <c r="G190">
        <f>_xlfn.IFNA(VLOOKUP(B190,Nyers!A:H,8,0),"")</f>
        <v>504</v>
      </c>
      <c r="H190">
        <f>_xlfn.IFNA(VLOOKUP(B190,Nyers!A:D,4,0),"")</f>
        <v>478</v>
      </c>
      <c r="I190">
        <f>_xlfn.IFNA(VLOOKUP(B190,Nyers!A:G,7,0),"")</f>
        <v>2670</v>
      </c>
    </row>
    <row r="191" spans="1:9" x14ac:dyDescent="0.25">
      <c r="A191">
        <f t="shared" si="0"/>
        <v>28</v>
      </c>
      <c r="B191" s="41">
        <v>45847</v>
      </c>
      <c r="C191">
        <f>_xlfn.IFNA(VLOOKUP(B191,SZO!A:B,2,0),"")</f>
        <v>0</v>
      </c>
      <c r="D191">
        <f>VLOOKUP(B191,[1]Pivot!$A:$B,2,0)</f>
        <v>724</v>
      </c>
      <c r="E191">
        <f>_xlfn.IFNA(VLOOKUP(B191,Nyers!A:E,5,0),"")</f>
        <v>564</v>
      </c>
      <c r="F191">
        <f>_xlfn.IFNA(VLOOKUP(B191,Nyers!A:F,6,0),"")</f>
        <v>155</v>
      </c>
      <c r="G191">
        <f>_xlfn.IFNA(VLOOKUP(B191,Nyers!A:H,8,0),"")</f>
        <v>540</v>
      </c>
      <c r="H191">
        <f>_xlfn.IFNA(VLOOKUP(B191,Nyers!A:D,4,0),"")</f>
        <v>499</v>
      </c>
      <c r="I191">
        <f>_xlfn.IFNA(VLOOKUP(B191,Nyers!A:G,7,0),"")</f>
        <v>2763</v>
      </c>
    </row>
    <row r="192" spans="1:9" x14ac:dyDescent="0.25">
      <c r="A192">
        <f t="shared" si="0"/>
        <v>28</v>
      </c>
      <c r="B192" s="41">
        <v>45848</v>
      </c>
      <c r="C192">
        <f>_xlfn.IFNA(VLOOKUP(B192,SZO!A:B,2,0),"")</f>
        <v>0</v>
      </c>
      <c r="D192">
        <f>VLOOKUP(B192,[1]Pivot!$A:$B,2,0)</f>
        <v>576</v>
      </c>
      <c r="E192">
        <f>_xlfn.IFNA(VLOOKUP(B192,Nyers!A:E,5,0),"")</f>
        <v>450</v>
      </c>
      <c r="F192">
        <f>_xlfn.IFNA(VLOOKUP(B192,Nyers!A:F,6,0),"")</f>
        <v>137</v>
      </c>
      <c r="G192">
        <f>_xlfn.IFNA(VLOOKUP(B192,Nyers!A:H,8,0),"")</f>
        <v>411</v>
      </c>
      <c r="H192">
        <f>_xlfn.IFNA(VLOOKUP(B192,Nyers!A:D,4,0),"")</f>
        <v>430</v>
      </c>
      <c r="I192">
        <f>_xlfn.IFNA(VLOOKUP(B192,Nyers!A:G,7,0),"")</f>
        <v>2938</v>
      </c>
    </row>
    <row r="193" spans="1:9" x14ac:dyDescent="0.25">
      <c r="A193">
        <f t="shared" si="0"/>
        <v>28</v>
      </c>
      <c r="B193" s="41">
        <v>45849</v>
      </c>
      <c r="C193">
        <f>_xlfn.IFNA(VLOOKUP(B193,SZO!A:B,2,0),"")</f>
        <v>0</v>
      </c>
      <c r="D193">
        <f>VLOOKUP(B193,[1]Pivot!$A:$B,2,0)</f>
        <v>498</v>
      </c>
      <c r="E193">
        <f>_xlfn.IFNA(VLOOKUP(B193,Nyers!A:E,5,0),"")</f>
        <v>382</v>
      </c>
      <c r="F193">
        <f>_xlfn.IFNA(VLOOKUP(B193,Nyers!A:F,6,0),"")</f>
        <v>178</v>
      </c>
      <c r="G193">
        <f>_xlfn.IFNA(VLOOKUP(B193,Nyers!A:H,8,0),"")</f>
        <v>393</v>
      </c>
      <c r="H193">
        <f>_xlfn.IFNA(VLOOKUP(B193,Nyers!A:D,4,0),"")</f>
        <v>446</v>
      </c>
      <c r="I193">
        <f>_xlfn.IFNA(VLOOKUP(B193,Nyers!A:G,7,0),"")</f>
        <v>3270</v>
      </c>
    </row>
    <row r="194" spans="1:9" x14ac:dyDescent="0.25">
      <c r="A194">
        <f t="shared" si="0"/>
        <v>28</v>
      </c>
      <c r="B194" s="41">
        <v>45850</v>
      </c>
      <c r="C194" t="str">
        <f>_xlfn.IFNA(VLOOKUP(B194,SZO!A:B,2,0),"")</f>
        <v/>
      </c>
      <c r="D194">
        <f>VLOOKUP(B194,[1]Pivot!$A:$B,2,0)</f>
        <v>108</v>
      </c>
      <c r="E194" t="str">
        <f>_xlfn.IFNA(VLOOKUP(B194,Nyers!A:E,5,0),"")</f>
        <v/>
      </c>
      <c r="F194" t="str">
        <f>_xlfn.IFNA(VLOOKUP(B194,Nyers!A:F,6,0),"")</f>
        <v/>
      </c>
      <c r="G194" t="str">
        <f>_xlfn.IFNA(VLOOKUP(B194,Nyers!A:H,8,0),"")</f>
        <v/>
      </c>
      <c r="H194" t="str">
        <f>_xlfn.IFNA(VLOOKUP(B194,Nyers!A:D,4,0),"")</f>
        <v/>
      </c>
      <c r="I194" t="str">
        <f>_xlfn.IFNA(VLOOKUP(B194,Nyers!A:G,7,0),"")</f>
        <v/>
      </c>
    </row>
    <row r="195" spans="1:9" x14ac:dyDescent="0.25">
      <c r="A195">
        <f t="shared" si="0"/>
        <v>29</v>
      </c>
      <c r="B195" s="41">
        <v>45851</v>
      </c>
      <c r="C195" t="str">
        <f>_xlfn.IFNA(VLOOKUP(B195,SZO!A:B,2,0),"")</f>
        <v/>
      </c>
      <c r="D195">
        <f>VLOOKUP(B195,[1]Pivot!$A:$B,2,0)</f>
        <v>144</v>
      </c>
      <c r="E195" t="str">
        <f>_xlfn.IFNA(VLOOKUP(B195,Nyers!A:E,5,0),"")</f>
        <v/>
      </c>
      <c r="F195" t="str">
        <f>_xlfn.IFNA(VLOOKUP(B195,Nyers!A:F,6,0),"")</f>
        <v/>
      </c>
      <c r="G195" t="str">
        <f>_xlfn.IFNA(VLOOKUP(B195,Nyers!A:H,8,0),"")</f>
        <v/>
      </c>
      <c r="H195" t="str">
        <f>_xlfn.IFNA(VLOOKUP(B195,Nyers!A:D,4,0),"")</f>
        <v/>
      </c>
      <c r="I195" t="str">
        <f>_xlfn.IFNA(VLOOKUP(B195,Nyers!A:G,7,0),"")</f>
        <v/>
      </c>
    </row>
    <row r="196" spans="1:9" x14ac:dyDescent="0.25">
      <c r="A196">
        <f t="shared" si="0"/>
        <v>29</v>
      </c>
      <c r="B196" s="41">
        <v>45852</v>
      </c>
      <c r="C196">
        <f>_xlfn.IFNA(VLOOKUP(B196,SZO!A:B,2,0),"")</f>
        <v>1</v>
      </c>
      <c r="D196">
        <f>VLOOKUP(B196,[1]Pivot!$A:$B,2,0)</f>
        <v>594</v>
      </c>
      <c r="E196">
        <f>_xlfn.IFNA(VLOOKUP(B196,Nyers!A:E,5,0),"")</f>
        <v>433</v>
      </c>
      <c r="F196">
        <f>_xlfn.IFNA(VLOOKUP(B196,Nyers!A:F,6,0),"")</f>
        <v>139</v>
      </c>
      <c r="G196">
        <f>_xlfn.IFNA(VLOOKUP(B196,Nyers!A:H,8,0),"")</f>
        <v>524</v>
      </c>
      <c r="H196">
        <f>_xlfn.IFNA(VLOOKUP(B196,Nyers!A:D,4,0),"")</f>
        <v>600</v>
      </c>
      <c r="I196">
        <f>_xlfn.IFNA(VLOOKUP(B196,Nyers!A:G,7,0),"")</f>
        <v>3186</v>
      </c>
    </row>
    <row r="197" spans="1:9" x14ac:dyDescent="0.25">
      <c r="A197">
        <f t="shared" si="0"/>
        <v>29</v>
      </c>
      <c r="B197" s="41">
        <v>45853</v>
      </c>
      <c r="C197">
        <f>_xlfn.IFNA(VLOOKUP(B197,SZO!A:B,2,0),"")</f>
        <v>0</v>
      </c>
      <c r="D197">
        <f>VLOOKUP(B197,[1]Pivot!$A:$B,2,0)</f>
        <v>626</v>
      </c>
      <c r="E197">
        <f>_xlfn.IFNA(VLOOKUP(B197,Nyers!A:E,5,0),"")</f>
        <v>399</v>
      </c>
      <c r="F197">
        <f>_xlfn.IFNA(VLOOKUP(B197,Nyers!A:F,6,0),"")</f>
        <v>85</v>
      </c>
      <c r="G197">
        <f>_xlfn.IFNA(VLOOKUP(B197,Nyers!A:H,8,0),"")</f>
        <v>375</v>
      </c>
      <c r="H197">
        <f>_xlfn.IFNA(VLOOKUP(B197,Nyers!A:D,4,0),"")</f>
        <v>527</v>
      </c>
      <c r="I197">
        <f>_xlfn.IFNA(VLOOKUP(B197,Nyers!A:G,7,0),"")</f>
        <v>3169</v>
      </c>
    </row>
    <row r="198" spans="1:9" x14ac:dyDescent="0.25">
      <c r="A198">
        <f t="shared" si="0"/>
        <v>29</v>
      </c>
      <c r="B198" s="41">
        <v>45854</v>
      </c>
      <c r="C198">
        <f>_xlfn.IFNA(VLOOKUP(B198,SZO!A:B,2,0),"")</f>
        <v>0</v>
      </c>
      <c r="D198">
        <f>VLOOKUP(B198,[1]Pivot!$A:$B,2,0)</f>
        <v>544</v>
      </c>
      <c r="E198">
        <f>_xlfn.IFNA(VLOOKUP(B198,Nyers!A:E,5,0),"")</f>
        <v>488</v>
      </c>
      <c r="F198">
        <f>_xlfn.IFNA(VLOOKUP(B198,Nyers!A:F,6,0),"")</f>
        <v>133</v>
      </c>
      <c r="G198">
        <f>_xlfn.IFNA(VLOOKUP(B198,Nyers!A:H,8,0),"")</f>
        <v>395</v>
      </c>
      <c r="H198">
        <f>_xlfn.IFNA(VLOOKUP(B198,Nyers!A:D,4,0),"")</f>
        <v>532</v>
      </c>
      <c r="I198">
        <f>_xlfn.IFNA(VLOOKUP(B198,Nyers!A:G,7,0),"")</f>
        <v>3069</v>
      </c>
    </row>
    <row r="199" spans="1:9" x14ac:dyDescent="0.25">
      <c r="A199">
        <f t="shared" si="0"/>
        <v>29</v>
      </c>
      <c r="B199" s="41">
        <v>45855</v>
      </c>
      <c r="C199">
        <f>_xlfn.IFNA(VLOOKUP(B199,SZO!A:B,2,0),"")</f>
        <v>0</v>
      </c>
      <c r="D199">
        <f>VLOOKUP(B199,[1]Pivot!$A:$B,2,0)</f>
        <v>418</v>
      </c>
      <c r="E199">
        <f>_xlfn.IFNA(VLOOKUP(B199,Nyers!A:E,5,0),"")</f>
        <v>382</v>
      </c>
      <c r="F199">
        <f>_xlfn.IFNA(VLOOKUP(B199,Nyers!A:F,6,0),"")</f>
        <v>87</v>
      </c>
      <c r="G199">
        <f>_xlfn.IFNA(VLOOKUP(B199,Nyers!A:H,8,0),"")</f>
        <v>362</v>
      </c>
      <c r="H199">
        <f>_xlfn.IFNA(VLOOKUP(B199,Nyers!A:D,4,0),"")</f>
        <v>688</v>
      </c>
      <c r="I199">
        <f>_xlfn.IFNA(VLOOKUP(B199,Nyers!A:G,7,0),"")</f>
        <v>2782</v>
      </c>
    </row>
    <row r="200" spans="1:9" x14ac:dyDescent="0.25">
      <c r="A200">
        <f t="shared" si="0"/>
        <v>29</v>
      </c>
      <c r="B200" s="41">
        <v>45856</v>
      </c>
      <c r="C200">
        <f>_xlfn.IFNA(VLOOKUP(B200,SZO!A:B,2,0),"")</f>
        <v>0</v>
      </c>
      <c r="D200">
        <f>VLOOKUP(B200,[1]Pivot!$A:$B,2,0)</f>
        <v>423</v>
      </c>
      <c r="E200">
        <f>_xlfn.IFNA(VLOOKUP(B200,Nyers!A:E,5,0),"")</f>
        <v>313</v>
      </c>
      <c r="F200">
        <f>_xlfn.IFNA(VLOOKUP(B200,Nyers!A:F,6,0),"")</f>
        <v>141</v>
      </c>
      <c r="G200">
        <f>_xlfn.IFNA(VLOOKUP(B200,Nyers!A:H,8,0),"")</f>
        <v>368</v>
      </c>
      <c r="H200">
        <f>_xlfn.IFNA(VLOOKUP(B200,Nyers!A:D,4,0),"")</f>
        <v>492</v>
      </c>
      <c r="I200">
        <f>_xlfn.IFNA(VLOOKUP(B200,Nyers!A:G,7,0),"")</f>
        <v>2836</v>
      </c>
    </row>
    <row r="201" spans="1:9" x14ac:dyDescent="0.25">
      <c r="A201">
        <f t="shared" si="0"/>
        <v>29</v>
      </c>
      <c r="B201" s="41">
        <v>45857</v>
      </c>
      <c r="C201" t="str">
        <f>_xlfn.IFNA(VLOOKUP(B201,SZO!A:B,2,0),"")</f>
        <v/>
      </c>
      <c r="D201">
        <f>VLOOKUP(B201,[1]Pivot!$A:$B,2,0)</f>
        <v>69</v>
      </c>
      <c r="E201" t="str">
        <f>_xlfn.IFNA(VLOOKUP(B201,Nyers!A:E,5,0),"")</f>
        <v/>
      </c>
      <c r="F201" t="str">
        <f>_xlfn.IFNA(VLOOKUP(B201,Nyers!A:F,6,0),"")</f>
        <v/>
      </c>
      <c r="G201" t="str">
        <f>_xlfn.IFNA(VLOOKUP(B201,Nyers!A:H,8,0),"")</f>
        <v/>
      </c>
      <c r="H201" t="str">
        <f>_xlfn.IFNA(VLOOKUP(B201,Nyers!A:D,4,0),"")</f>
        <v/>
      </c>
      <c r="I201" t="str">
        <f>_xlfn.IFNA(VLOOKUP(B201,Nyers!A:G,7,0),"")</f>
        <v/>
      </c>
    </row>
    <row r="202" spans="1:9" x14ac:dyDescent="0.25">
      <c r="A202">
        <f t="shared" si="0"/>
        <v>30</v>
      </c>
      <c r="B202" s="41">
        <v>45858</v>
      </c>
      <c r="C202" t="str">
        <f>_xlfn.IFNA(VLOOKUP(B202,SZO!A:B,2,0),"")</f>
        <v/>
      </c>
      <c r="D202">
        <f>VLOOKUP(B202,[1]Pivot!$A:$B,2,0)</f>
        <v>93</v>
      </c>
      <c r="E202" t="str">
        <f>_xlfn.IFNA(VLOOKUP(B202,Nyers!A:E,5,0),"")</f>
        <v/>
      </c>
      <c r="F202" t="str">
        <f>_xlfn.IFNA(VLOOKUP(B202,Nyers!A:F,6,0),"")</f>
        <v/>
      </c>
      <c r="G202" t="str">
        <f>_xlfn.IFNA(VLOOKUP(B202,Nyers!A:H,8,0),"")</f>
        <v/>
      </c>
      <c r="H202" t="str">
        <f>_xlfn.IFNA(VLOOKUP(B202,Nyers!A:D,4,0),"")</f>
        <v/>
      </c>
      <c r="I202" t="str">
        <f>_xlfn.IFNA(VLOOKUP(B202,Nyers!A:G,7,0),"")</f>
        <v/>
      </c>
    </row>
    <row r="203" spans="1:9" x14ac:dyDescent="0.25">
      <c r="A203">
        <f t="shared" si="0"/>
        <v>30</v>
      </c>
      <c r="B203" s="41">
        <v>45859</v>
      </c>
      <c r="C203">
        <f>_xlfn.IFNA(VLOOKUP(B203,SZO!A:B,2,0),"")</f>
        <v>0</v>
      </c>
      <c r="D203">
        <f>VLOOKUP(B203,[1]Pivot!$A:$B,2,0)</f>
        <v>502</v>
      </c>
      <c r="E203">
        <f>_xlfn.IFNA(VLOOKUP(B203,Nyers!A:E,5,0),"")</f>
        <v>383</v>
      </c>
      <c r="F203">
        <f>_xlfn.IFNA(VLOOKUP(B203,Nyers!A:F,6,0),"")</f>
        <v>105</v>
      </c>
      <c r="G203">
        <f>_xlfn.IFNA(VLOOKUP(B203,Nyers!A:H,8,0),"")</f>
        <v>444</v>
      </c>
      <c r="H203">
        <f>_xlfn.IFNA(VLOOKUP(B203,Nyers!A:D,4,0),"")</f>
        <v>442</v>
      </c>
      <c r="I203">
        <f>_xlfn.IFNA(VLOOKUP(B203,Nyers!A:G,7,0),"")</f>
        <v>2785</v>
      </c>
    </row>
    <row r="204" spans="1:9" x14ac:dyDescent="0.25">
      <c r="A204">
        <f t="shared" si="0"/>
        <v>30</v>
      </c>
      <c r="B204" s="41">
        <v>45860</v>
      </c>
      <c r="C204">
        <f>_xlfn.IFNA(VLOOKUP(B204,SZO!A:B,2,0),"")</f>
        <v>2010</v>
      </c>
      <c r="D204">
        <f>VLOOKUP(B204,[1]Pivot!$A:$B,2,0)</f>
        <v>532</v>
      </c>
      <c r="E204">
        <f>_xlfn.IFNA(VLOOKUP(B204,Nyers!A:E,5,0),"")</f>
        <v>316</v>
      </c>
      <c r="F204">
        <f>_xlfn.IFNA(VLOOKUP(B204,Nyers!A:F,6,0),"")</f>
        <v>118</v>
      </c>
      <c r="G204">
        <f>_xlfn.IFNA(VLOOKUP(B204,Nyers!A:H,8,0),"")</f>
        <v>356</v>
      </c>
      <c r="H204">
        <f>_xlfn.IFNA(VLOOKUP(B204,Nyers!A:D,4,0),"")</f>
        <v>505</v>
      </c>
      <c r="I204">
        <f>_xlfn.IFNA(VLOOKUP(B204,Nyers!A:G,7,0),"")</f>
        <v>2727</v>
      </c>
    </row>
    <row r="205" spans="1:9" x14ac:dyDescent="0.25">
      <c r="A205">
        <f t="shared" si="0"/>
        <v>30</v>
      </c>
      <c r="B205" s="41">
        <v>45861</v>
      </c>
      <c r="C205">
        <f>_xlfn.IFNA(VLOOKUP(B205,SZO!A:B,2,0),"")</f>
        <v>2690</v>
      </c>
      <c r="D205">
        <f>VLOOKUP(B205,[1]Pivot!$A:$B,2,0)</f>
        <v>572</v>
      </c>
      <c r="E205">
        <f>_xlfn.IFNA(VLOOKUP(B205,Nyers!A:E,5,0),"")</f>
        <v>446</v>
      </c>
      <c r="F205">
        <f>_xlfn.IFNA(VLOOKUP(B205,Nyers!A:F,6,0),"")</f>
        <v>151</v>
      </c>
      <c r="G205">
        <f>_xlfn.IFNA(VLOOKUP(B205,Nyers!A:H,8,0),"")</f>
        <v>417</v>
      </c>
      <c r="H205">
        <f>_xlfn.IFNA(VLOOKUP(B205,Nyers!A:D,4,0),"")</f>
        <v>554</v>
      </c>
      <c r="I205">
        <f>_xlfn.IFNA(VLOOKUP(B205,Nyers!A:G,7,0),"")</f>
        <v>2643</v>
      </c>
    </row>
    <row r="206" spans="1:9" x14ac:dyDescent="0.25">
      <c r="A206">
        <f t="shared" si="0"/>
        <v>30</v>
      </c>
      <c r="B206" s="41">
        <v>45862</v>
      </c>
      <c r="C206">
        <f>_xlfn.IFNA(VLOOKUP(B206,SZO!A:B,2,0),"")</f>
        <v>1</v>
      </c>
      <c r="D206">
        <f>VLOOKUP(B206,[1]Pivot!$A:$B,2,0)</f>
        <v>503</v>
      </c>
      <c r="E206">
        <f>_xlfn.IFNA(VLOOKUP(B206,Nyers!A:E,5,0),"")</f>
        <v>341</v>
      </c>
      <c r="F206">
        <f>_xlfn.IFNA(VLOOKUP(B206,Nyers!A:F,6,0),"")</f>
        <v>102</v>
      </c>
      <c r="G206">
        <f>_xlfn.IFNA(VLOOKUP(B206,Nyers!A:H,8,0),"")</f>
        <v>379</v>
      </c>
      <c r="H206">
        <f>_xlfn.IFNA(VLOOKUP(B206,Nyers!A:D,4,0),"")</f>
        <v>534</v>
      </c>
      <c r="I206">
        <f>_xlfn.IFNA(VLOOKUP(B206,Nyers!A:G,7,0),"")</f>
        <v>2521</v>
      </c>
    </row>
    <row r="207" spans="1:9" x14ac:dyDescent="0.25">
      <c r="A207">
        <f t="shared" si="0"/>
        <v>30</v>
      </c>
      <c r="B207" s="41">
        <v>45863</v>
      </c>
      <c r="C207">
        <f>_xlfn.IFNA(VLOOKUP(B207,SZO!A:B,2,0),"")</f>
        <v>0</v>
      </c>
      <c r="D207">
        <f>VLOOKUP(B207,[1]Pivot!$A:$B,2,0)</f>
        <v>488</v>
      </c>
      <c r="E207">
        <f>_xlfn.IFNA(VLOOKUP(B207,Nyers!A:E,5,0),"")</f>
        <v>362</v>
      </c>
      <c r="F207">
        <f>_xlfn.IFNA(VLOOKUP(B207,Nyers!A:F,6,0),"")</f>
        <v>192</v>
      </c>
      <c r="G207">
        <f>_xlfn.IFNA(VLOOKUP(B207,Nyers!A:H,8,0),"")</f>
        <v>465</v>
      </c>
      <c r="H207">
        <f>_xlfn.IFNA(VLOOKUP(B207,Nyers!A:D,4,0),"")</f>
        <v>447</v>
      </c>
      <c r="I207">
        <f>_xlfn.IFNA(VLOOKUP(B207,Nyers!A:G,7,0),"")</f>
        <v>2769</v>
      </c>
    </row>
    <row r="208" spans="1:9" x14ac:dyDescent="0.25">
      <c r="A208">
        <f t="shared" si="0"/>
        <v>30</v>
      </c>
      <c r="B208" s="41">
        <v>45864</v>
      </c>
      <c r="C208" t="str">
        <f>_xlfn.IFNA(VLOOKUP(B208,SZO!A:B,2,0),"")</f>
        <v/>
      </c>
      <c r="D208">
        <f>VLOOKUP(B208,[1]Pivot!$A:$B,2,0)</f>
        <v>86</v>
      </c>
      <c r="E208" t="str">
        <f>_xlfn.IFNA(VLOOKUP(B208,Nyers!A:E,5,0),"")</f>
        <v/>
      </c>
      <c r="F208" t="str">
        <f>_xlfn.IFNA(VLOOKUP(B208,Nyers!A:F,6,0),"")</f>
        <v/>
      </c>
      <c r="G208" t="str">
        <f>_xlfn.IFNA(VLOOKUP(B208,Nyers!A:H,8,0),"")</f>
        <v/>
      </c>
      <c r="H208" t="str">
        <f>_xlfn.IFNA(VLOOKUP(B208,Nyers!A:D,4,0),"")</f>
        <v/>
      </c>
      <c r="I208" t="str">
        <f>_xlfn.IFNA(VLOOKUP(B208,Nyers!A:G,7,0),"")</f>
        <v/>
      </c>
    </row>
    <row r="209" spans="1:9" x14ac:dyDescent="0.25">
      <c r="A209">
        <f t="shared" si="0"/>
        <v>31</v>
      </c>
      <c r="B209" s="41">
        <v>45865</v>
      </c>
      <c r="C209" t="str">
        <f>_xlfn.IFNA(VLOOKUP(B209,SZO!A:B,2,0),"")</f>
        <v/>
      </c>
      <c r="D209">
        <f>VLOOKUP(B209,[1]Pivot!$A:$B,2,0)</f>
        <v>114</v>
      </c>
      <c r="E209" t="str">
        <f>_xlfn.IFNA(VLOOKUP(B209,Nyers!A:E,5,0),"")</f>
        <v/>
      </c>
      <c r="F209" t="str">
        <f>_xlfn.IFNA(VLOOKUP(B209,Nyers!A:F,6,0),"")</f>
        <v/>
      </c>
      <c r="G209" t="str">
        <f>_xlfn.IFNA(VLOOKUP(B209,Nyers!A:H,8,0),"")</f>
        <v/>
      </c>
      <c r="H209" t="str">
        <f>_xlfn.IFNA(VLOOKUP(B209,Nyers!A:D,4,0),"")</f>
        <v/>
      </c>
      <c r="I209" t="str">
        <f>_xlfn.IFNA(VLOOKUP(B209,Nyers!A:G,7,0),"")</f>
        <v/>
      </c>
    </row>
    <row r="210" spans="1:9" x14ac:dyDescent="0.25">
      <c r="A210">
        <f t="shared" si="0"/>
        <v>31</v>
      </c>
      <c r="B210" s="41">
        <v>45866</v>
      </c>
      <c r="C210">
        <f>_xlfn.IFNA(VLOOKUP(B210,SZO!A:B,2,0),"")</f>
        <v>0</v>
      </c>
      <c r="D210">
        <f>VLOOKUP(B210,[1]Pivot!$A:$B,2,0)</f>
        <v>584</v>
      </c>
      <c r="E210">
        <f>_xlfn.IFNA(VLOOKUP(B210,Nyers!A:E,5,0),"")</f>
        <v>463</v>
      </c>
      <c r="F210">
        <f>_xlfn.IFNA(VLOOKUP(B210,Nyers!A:F,6,0),"")</f>
        <v>165</v>
      </c>
      <c r="G210">
        <f>_xlfn.IFNA(VLOOKUP(B210,Nyers!A:H,8,0),"")</f>
        <v>558</v>
      </c>
      <c r="H210">
        <f>_xlfn.IFNA(VLOOKUP(B210,Nyers!A:D,4,0),"")</f>
        <v>491</v>
      </c>
      <c r="I210">
        <f>_xlfn.IFNA(VLOOKUP(B210,Nyers!A:G,7,0),"")</f>
        <v>2816</v>
      </c>
    </row>
    <row r="211" spans="1:9" x14ac:dyDescent="0.25">
      <c r="A211">
        <f t="shared" si="0"/>
        <v>31</v>
      </c>
      <c r="B211" s="41">
        <v>45867</v>
      </c>
      <c r="C211">
        <f>_xlfn.IFNA(VLOOKUP(B211,SZO!A:B,2,0),"")</f>
        <v>3025</v>
      </c>
      <c r="D211">
        <f>VLOOKUP(B211,[1]Pivot!$A:$B,2,0)</f>
        <v>469</v>
      </c>
      <c r="E211">
        <f>_xlfn.IFNA(VLOOKUP(B211,Nyers!A:E,5,0),"")</f>
        <v>429</v>
      </c>
      <c r="F211">
        <f>_xlfn.IFNA(VLOOKUP(B211,Nyers!A:F,6,0),"")</f>
        <v>122</v>
      </c>
      <c r="G211">
        <f>_xlfn.IFNA(VLOOKUP(B211,Nyers!A:H,8,0),"")</f>
        <v>408</v>
      </c>
      <c r="H211">
        <f>_xlfn.IFNA(VLOOKUP(B211,Nyers!A:D,4,0),"")</f>
        <v>440</v>
      </c>
      <c r="I211">
        <f>_xlfn.IFNA(VLOOKUP(B211,Nyers!A:G,7,0),"")</f>
        <v>2813</v>
      </c>
    </row>
    <row r="212" spans="1:9" x14ac:dyDescent="0.25">
      <c r="A212">
        <f t="shared" si="0"/>
        <v>31</v>
      </c>
      <c r="B212" s="41">
        <v>45868</v>
      </c>
      <c r="C212">
        <f>_xlfn.IFNA(VLOOKUP(B212,SZO!A:B,2,0),"")</f>
        <v>4888</v>
      </c>
      <c r="D212">
        <f>VLOOKUP(B212,[1]Pivot!$A:$B,2,0)</f>
        <v>545</v>
      </c>
      <c r="E212">
        <f>_xlfn.IFNA(VLOOKUP(B212,Nyers!A:E,5,0),"")</f>
        <v>451</v>
      </c>
      <c r="F212">
        <f>_xlfn.IFNA(VLOOKUP(B212,Nyers!A:F,6,0),"")</f>
        <v>142</v>
      </c>
      <c r="G212">
        <f>_xlfn.IFNA(VLOOKUP(B212,Nyers!A:H,8,0),"")</f>
        <v>479</v>
      </c>
      <c r="H212">
        <f>_xlfn.IFNA(VLOOKUP(B212,Nyers!A:D,4,0),"")</f>
        <v>503</v>
      </c>
      <c r="I212">
        <f>_xlfn.IFNA(VLOOKUP(B212,Nyers!A:G,7,0),"")</f>
        <v>2786</v>
      </c>
    </row>
    <row r="213" spans="1:9" x14ac:dyDescent="0.25">
      <c r="A213">
        <f t="shared" si="0"/>
        <v>31</v>
      </c>
      <c r="B213" s="41">
        <v>45869</v>
      </c>
      <c r="C213">
        <f>_xlfn.IFNA(VLOOKUP(B213,SZO!A:B,2,0),"")</f>
        <v>2386</v>
      </c>
      <c r="D213">
        <f>VLOOKUP(B213,[1]Pivot!$A:$B,2,0)</f>
        <v>588</v>
      </c>
      <c r="E213">
        <f>_xlfn.IFNA(VLOOKUP(B213,Nyers!A:E,5,0),"")</f>
        <v>449</v>
      </c>
      <c r="F213">
        <f>_xlfn.IFNA(VLOOKUP(B213,Nyers!A:F,6,0),"")</f>
        <v>118</v>
      </c>
      <c r="G213">
        <f>_xlfn.IFNA(VLOOKUP(B213,Nyers!A:H,8,0),"")</f>
        <v>468</v>
      </c>
      <c r="H213">
        <f>_xlfn.IFNA(VLOOKUP(B213,Nyers!A:D,4,0),"")</f>
        <v>420</v>
      </c>
      <c r="I213">
        <f>_xlfn.IFNA(VLOOKUP(B213,Nyers!A:G,7,0),"")</f>
        <v>2831</v>
      </c>
    </row>
    <row r="214" spans="1:9" x14ac:dyDescent="0.25">
      <c r="A214">
        <f t="shared" si="0"/>
        <v>31</v>
      </c>
      <c r="B214" s="41">
        <v>45870</v>
      </c>
      <c r="C214">
        <f>_xlfn.IFNA(VLOOKUP(B214,SZO!A:B,2,0),"")</f>
        <v>0</v>
      </c>
      <c r="D214">
        <f>VLOOKUP(B214,[1]Pivot!$A:$B,2,0)</f>
        <v>581</v>
      </c>
      <c r="E214">
        <f>_xlfn.IFNA(VLOOKUP(B214,Nyers!A:E,5,0),"")</f>
        <v>428</v>
      </c>
      <c r="F214">
        <f>_xlfn.IFNA(VLOOKUP(B214,Nyers!A:F,6,0),"")</f>
        <v>183</v>
      </c>
      <c r="G214">
        <f>_xlfn.IFNA(VLOOKUP(B214,Nyers!A:H,8,0),"")</f>
        <v>624</v>
      </c>
      <c r="H214">
        <f>_xlfn.IFNA(VLOOKUP(B214,Nyers!A:D,4,0),"")</f>
        <v>388</v>
      </c>
      <c r="I214">
        <f>_xlfn.IFNA(VLOOKUP(B214,Nyers!A:G,7,0),"")</f>
        <v>3246</v>
      </c>
    </row>
    <row r="215" spans="1:9" x14ac:dyDescent="0.25">
      <c r="A215">
        <f t="shared" si="0"/>
        <v>31</v>
      </c>
      <c r="B215" s="41">
        <v>45871</v>
      </c>
      <c r="C215" t="str">
        <f>_xlfn.IFNA(VLOOKUP(B215,SZO!A:B,2,0),"")</f>
        <v/>
      </c>
      <c r="D215">
        <f>VLOOKUP(B215,[1]Pivot!$A:$B,2,0)</f>
        <v>121</v>
      </c>
      <c r="E215" t="str">
        <f>_xlfn.IFNA(VLOOKUP(B215,Nyers!A:E,5,0),"")</f>
        <v/>
      </c>
      <c r="F215" t="str">
        <f>_xlfn.IFNA(VLOOKUP(B215,Nyers!A:F,6,0),"")</f>
        <v/>
      </c>
      <c r="G215" t="str">
        <f>_xlfn.IFNA(VLOOKUP(B215,Nyers!A:H,8,0),"")</f>
        <v/>
      </c>
      <c r="H215" t="str">
        <f>_xlfn.IFNA(VLOOKUP(B215,Nyers!A:D,4,0),"")</f>
        <v/>
      </c>
      <c r="I215" t="str">
        <f>_xlfn.IFNA(VLOOKUP(B215,Nyers!A:G,7,0),"")</f>
        <v/>
      </c>
    </row>
    <row r="216" spans="1:9" x14ac:dyDescent="0.25">
      <c r="A216">
        <f t="shared" si="0"/>
        <v>32</v>
      </c>
      <c r="B216" s="41">
        <v>45872</v>
      </c>
      <c r="C216" t="str">
        <f>_xlfn.IFNA(VLOOKUP(B216,SZO!A:B,2,0),"")</f>
        <v/>
      </c>
      <c r="D216">
        <f>VLOOKUP(B216,[1]Pivot!$A:$B,2,0)</f>
        <v>140</v>
      </c>
      <c r="E216" t="str">
        <f>_xlfn.IFNA(VLOOKUP(B216,Nyers!A:E,5,0),"")</f>
        <v/>
      </c>
      <c r="F216" t="str">
        <f>_xlfn.IFNA(VLOOKUP(B216,Nyers!A:F,6,0),"")</f>
        <v/>
      </c>
      <c r="G216" t="str">
        <f>_xlfn.IFNA(VLOOKUP(B216,Nyers!A:H,8,0),"")</f>
        <v/>
      </c>
      <c r="H216" t="str">
        <f>_xlfn.IFNA(VLOOKUP(B216,Nyers!A:D,4,0),"")</f>
        <v/>
      </c>
      <c r="I216" t="str">
        <f>_xlfn.IFNA(VLOOKUP(B216,Nyers!A:G,7,0),"")</f>
        <v/>
      </c>
    </row>
    <row r="217" spans="1:9" x14ac:dyDescent="0.25">
      <c r="A217">
        <f t="shared" si="0"/>
        <v>32</v>
      </c>
      <c r="B217" s="41">
        <v>45873</v>
      </c>
      <c r="C217">
        <f>_xlfn.IFNA(VLOOKUP(B217,SZO!A:B,2,0),"")</f>
        <v>4828</v>
      </c>
      <c r="D217">
        <f>VLOOKUP(B217,[1]Pivot!$A:$B,2,0)</f>
        <v>827</v>
      </c>
      <c r="E217">
        <f>_xlfn.IFNA(VLOOKUP(B217,Nyers!A:E,5,0),"")</f>
        <v>625</v>
      </c>
      <c r="F217">
        <f>_xlfn.IFNA(VLOOKUP(B217,Nyers!A:F,6,0),"")</f>
        <v>172</v>
      </c>
      <c r="G217">
        <f>_xlfn.IFNA(VLOOKUP(B217,Nyers!A:H,8,0),"")</f>
        <v>727</v>
      </c>
      <c r="H217">
        <f>_xlfn.IFNA(VLOOKUP(B217,Nyers!A:D,4,0),"")</f>
        <v>505</v>
      </c>
      <c r="I217">
        <f>_xlfn.IFNA(VLOOKUP(B217,Nyers!A:G,7,0),"")</f>
        <v>3475</v>
      </c>
    </row>
    <row r="218" spans="1:9" x14ac:dyDescent="0.25">
      <c r="A218">
        <f t="shared" si="0"/>
        <v>32</v>
      </c>
      <c r="B218" s="41">
        <v>45874</v>
      </c>
      <c r="C218">
        <f>_xlfn.IFNA(VLOOKUP(B218,SZO!A:B,2,0),"")</f>
        <v>2276</v>
      </c>
      <c r="D218">
        <f>VLOOKUP(B218,[1]Pivot!$A:$B,2,0)</f>
        <v>705</v>
      </c>
      <c r="E218">
        <f>_xlfn.IFNA(VLOOKUP(B218,Nyers!A:E,5,0),"")</f>
        <v>512</v>
      </c>
      <c r="F218">
        <f>_xlfn.IFNA(VLOOKUP(B218,Nyers!A:F,6,0),"")</f>
        <v>158</v>
      </c>
      <c r="G218">
        <f>_xlfn.IFNA(VLOOKUP(B218,Nyers!A:H,8,0),"")</f>
        <v>533</v>
      </c>
      <c r="H218">
        <f>_xlfn.IFNA(VLOOKUP(B218,Nyers!A:D,4,0),"")</f>
        <v>510</v>
      </c>
      <c r="I218">
        <f>_xlfn.IFNA(VLOOKUP(B218,Nyers!A:G,7,0),"")</f>
        <v>3506</v>
      </c>
    </row>
    <row r="219" spans="1:9" x14ac:dyDescent="0.25">
      <c r="A219">
        <f t="shared" si="0"/>
        <v>32</v>
      </c>
      <c r="B219" s="41">
        <v>45875</v>
      </c>
      <c r="C219">
        <f>_xlfn.IFNA(VLOOKUP(B219,SZO!A:B,2,0),"")</f>
        <v>2548</v>
      </c>
      <c r="D219">
        <f>VLOOKUP(B219,[1]Pivot!$A:$B,2,0)</f>
        <v>678</v>
      </c>
      <c r="E219">
        <f>_xlfn.IFNA(VLOOKUP(B219,Nyers!A:E,5,0),"")</f>
        <v>647</v>
      </c>
      <c r="F219">
        <f>_xlfn.IFNA(VLOOKUP(B219,Nyers!A:F,6,0),"")</f>
        <v>213</v>
      </c>
      <c r="G219">
        <f>_xlfn.IFNA(VLOOKUP(B219,Nyers!A:H,8,0),"")</f>
        <v>650</v>
      </c>
      <c r="H219">
        <f>_xlfn.IFNA(VLOOKUP(B219,Nyers!A:D,4,0),"")</f>
        <v>453</v>
      </c>
      <c r="I219">
        <f>_xlfn.IFNA(VLOOKUP(B219,Nyers!A:G,7,0),"")</f>
        <v>3727</v>
      </c>
    </row>
    <row r="220" spans="1:9" x14ac:dyDescent="0.25">
      <c r="A220">
        <f t="shared" si="0"/>
        <v>32</v>
      </c>
      <c r="B220" s="41">
        <v>45876</v>
      </c>
      <c r="C220">
        <f>_xlfn.IFNA(VLOOKUP(B220,SZO!A:B,2,0),"")</f>
        <v>2488</v>
      </c>
      <c r="D220">
        <f>VLOOKUP(B220,[1]Pivot!$A:$B,2,0)</f>
        <v>623</v>
      </c>
      <c r="E220">
        <f>_xlfn.IFNA(VLOOKUP(B220,Nyers!A:E,5,0),"")</f>
        <v>467</v>
      </c>
      <c r="F220">
        <f>_xlfn.IFNA(VLOOKUP(B220,Nyers!A:F,6,0),"")</f>
        <v>142</v>
      </c>
      <c r="G220">
        <f>_xlfn.IFNA(VLOOKUP(B220,Nyers!A:H,8,0),"")</f>
        <v>475</v>
      </c>
      <c r="H220">
        <f>_xlfn.IFNA(VLOOKUP(B220,Nyers!A:D,4,0),"")</f>
        <v>533</v>
      </c>
      <c r="I220">
        <f>_xlfn.IFNA(VLOOKUP(B220,Nyers!A:G,7,0),"")</f>
        <v>3950</v>
      </c>
    </row>
    <row r="221" spans="1:9" x14ac:dyDescent="0.25">
      <c r="A221">
        <f t="shared" si="0"/>
        <v>32</v>
      </c>
      <c r="B221" s="41">
        <v>45877</v>
      </c>
      <c r="C221">
        <f>_xlfn.IFNA(VLOOKUP(B221,SZO!A:B,2,0),"")</f>
        <v>2555</v>
      </c>
      <c r="D221">
        <f>VLOOKUP(B221,[1]Pivot!$A:$B,2,0)</f>
        <v>505</v>
      </c>
      <c r="E221">
        <f>_xlfn.IFNA(VLOOKUP(B221,Nyers!A:E,5,0),"")</f>
        <v>444</v>
      </c>
      <c r="F221">
        <f>_xlfn.IFNA(VLOOKUP(B221,Nyers!A:F,6,0),"")</f>
        <v>192</v>
      </c>
      <c r="G221">
        <f>_xlfn.IFNA(VLOOKUP(B221,Nyers!A:H,8,0),"")</f>
        <v>633</v>
      </c>
      <c r="H221">
        <f>_xlfn.IFNA(VLOOKUP(B221,Nyers!A:D,4,0),"")</f>
        <v>456</v>
      </c>
      <c r="I221">
        <f>_xlfn.IFNA(VLOOKUP(B221,Nyers!A:G,7,0),"")</f>
        <v>4272</v>
      </c>
    </row>
    <row r="222" spans="1:9" x14ac:dyDescent="0.25">
      <c r="A222">
        <f t="shared" si="0"/>
        <v>32</v>
      </c>
      <c r="B222" s="41">
        <v>45878</v>
      </c>
      <c r="C222" t="str">
        <f>_xlfn.IFNA(VLOOKUP(B222,SZO!A:B,2,0),"")</f>
        <v/>
      </c>
      <c r="D222">
        <f>VLOOKUP(B222,[1]Pivot!$A:$B,2,0)</f>
        <v>129</v>
      </c>
      <c r="E222" t="str">
        <f>_xlfn.IFNA(VLOOKUP(B222,Nyers!A:E,5,0),"")</f>
        <v/>
      </c>
      <c r="F222" t="str">
        <f>_xlfn.IFNA(VLOOKUP(B222,Nyers!A:F,6,0),"")</f>
        <v/>
      </c>
      <c r="G222" t="str">
        <f>_xlfn.IFNA(VLOOKUP(B222,Nyers!A:H,8,0),"")</f>
        <v/>
      </c>
      <c r="H222" t="str">
        <f>_xlfn.IFNA(VLOOKUP(B222,Nyers!A:D,4,0),"")</f>
        <v/>
      </c>
      <c r="I222" t="str">
        <f>_xlfn.IFNA(VLOOKUP(B222,Nyers!A:G,7,0),"")</f>
        <v/>
      </c>
    </row>
    <row r="223" spans="1:9" x14ac:dyDescent="0.25">
      <c r="A223">
        <f t="shared" si="0"/>
        <v>33</v>
      </c>
      <c r="B223" s="41">
        <v>45879</v>
      </c>
      <c r="C223" t="str">
        <f>_xlfn.IFNA(VLOOKUP(B223,SZO!A:B,2,0),"")</f>
        <v/>
      </c>
      <c r="D223">
        <f>VLOOKUP(B223,[1]Pivot!$A:$B,2,0)</f>
        <v>126</v>
      </c>
      <c r="E223" t="str">
        <f>_xlfn.IFNA(VLOOKUP(B223,Nyers!A:E,5,0),"")</f>
        <v/>
      </c>
      <c r="F223" t="str">
        <f>_xlfn.IFNA(VLOOKUP(B223,Nyers!A:F,6,0),"")</f>
        <v/>
      </c>
      <c r="G223" t="str">
        <f>_xlfn.IFNA(VLOOKUP(B223,Nyers!A:H,8,0),"")</f>
        <v/>
      </c>
      <c r="H223" t="str">
        <f>_xlfn.IFNA(VLOOKUP(B223,Nyers!A:D,4,0),"")</f>
        <v/>
      </c>
      <c r="I223" t="str">
        <f>_xlfn.IFNA(VLOOKUP(B223,Nyers!A:G,7,0),"")</f>
        <v/>
      </c>
    </row>
    <row r="224" spans="1:9" x14ac:dyDescent="0.25">
      <c r="A224">
        <f t="shared" si="0"/>
        <v>33</v>
      </c>
      <c r="B224" s="41">
        <v>45880</v>
      </c>
      <c r="C224">
        <f>_xlfn.IFNA(VLOOKUP(B224,SZO!A:B,2,0),"")</f>
        <v>2675</v>
      </c>
      <c r="D224">
        <f>VLOOKUP(B224,[1]Pivot!$A:$B,2,0)</f>
        <v>620</v>
      </c>
      <c r="E224">
        <f>_xlfn.IFNA(VLOOKUP(B224,Nyers!A:E,5,0),"")</f>
        <v>518</v>
      </c>
      <c r="F224">
        <f>_xlfn.IFNA(VLOOKUP(B224,Nyers!A:F,6,0),"")</f>
        <v>187</v>
      </c>
      <c r="G224">
        <f>_xlfn.IFNA(VLOOKUP(B224,Nyers!A:H,8,0),"")</f>
        <v>623</v>
      </c>
      <c r="H224">
        <f>_xlfn.IFNA(VLOOKUP(B224,Nyers!A:D,4,0),"")</f>
        <v>478</v>
      </c>
      <c r="I224">
        <f>_xlfn.IFNA(VLOOKUP(B224,Nyers!A:G,7,0),"")</f>
        <v>4383</v>
      </c>
    </row>
    <row r="225" spans="1:9" x14ac:dyDescent="0.25">
      <c r="A225">
        <f t="shared" si="0"/>
        <v>33</v>
      </c>
      <c r="B225" s="41">
        <v>45881</v>
      </c>
      <c r="C225">
        <f>_xlfn.IFNA(VLOOKUP(B225,SZO!A:B,2,0),"")</f>
        <v>0</v>
      </c>
      <c r="D225">
        <f>VLOOKUP(B225,[1]Pivot!$A:$B,2,0)</f>
        <v>585</v>
      </c>
      <c r="E225">
        <f>_xlfn.IFNA(VLOOKUP(B225,Nyers!A:E,5,0),"")</f>
        <v>463</v>
      </c>
      <c r="F225">
        <f>_xlfn.IFNA(VLOOKUP(B225,Nyers!A:F,6,0),"")</f>
        <v>188</v>
      </c>
      <c r="G225">
        <f>_xlfn.IFNA(VLOOKUP(B225,Nyers!A:H,8,0),"")</f>
        <v>554</v>
      </c>
      <c r="H225">
        <f>_xlfn.IFNA(VLOOKUP(B225,Nyers!A:D,4,0),"")</f>
        <v>580</v>
      </c>
      <c r="I225">
        <f>_xlfn.IFNA(VLOOKUP(B225,Nyers!A:G,7,0),"")</f>
        <v>4415</v>
      </c>
    </row>
    <row r="226" spans="1:9" x14ac:dyDescent="0.25">
      <c r="A226">
        <f t="shared" si="0"/>
        <v>33</v>
      </c>
      <c r="B226" s="41">
        <v>45882</v>
      </c>
      <c r="C226">
        <f>_xlfn.IFNA(VLOOKUP(B226,SZO!A:B,2,0),"")</f>
        <v>5</v>
      </c>
      <c r="D226">
        <f>VLOOKUP(B226,[1]Pivot!$A:$B,2,0)</f>
        <v>691</v>
      </c>
      <c r="E226">
        <f>_xlfn.IFNA(VLOOKUP(B226,Nyers!A:E,5,0),"")</f>
        <v>561</v>
      </c>
      <c r="F226">
        <f>_xlfn.IFNA(VLOOKUP(B226,Nyers!A:F,6,0),"")</f>
        <v>202</v>
      </c>
      <c r="G226">
        <f>_xlfn.IFNA(VLOOKUP(B226,Nyers!A:H,8,0),"")</f>
        <v>664</v>
      </c>
      <c r="H226">
        <f>_xlfn.IFNA(VLOOKUP(B226,Nyers!A:D,4,0),"")</f>
        <v>599</v>
      </c>
      <c r="I226">
        <f>_xlfn.IFNA(VLOOKUP(B226,Nyers!A:G,7,0),"")</f>
        <v>4461</v>
      </c>
    </row>
    <row r="227" spans="1:9" x14ac:dyDescent="0.25">
      <c r="A227">
        <f t="shared" si="0"/>
        <v>33</v>
      </c>
      <c r="B227" s="41">
        <v>45883</v>
      </c>
      <c r="C227">
        <f>_xlfn.IFNA(VLOOKUP(B227,SZO!A:B,2,0),"")</f>
        <v>0</v>
      </c>
      <c r="D227">
        <f>VLOOKUP(B227,[1]Pivot!$A:$B,2,0)</f>
        <v>652</v>
      </c>
      <c r="E227">
        <f>_xlfn.IFNA(VLOOKUP(B227,Nyers!A:E,5,0),"")</f>
        <v>405</v>
      </c>
      <c r="F227">
        <f>_xlfn.IFNA(VLOOKUP(B227,Nyers!A:F,6,0),"")</f>
        <v>150</v>
      </c>
      <c r="G227">
        <f>_xlfn.IFNA(VLOOKUP(B227,Nyers!A:H,8,0),"")</f>
        <v>487</v>
      </c>
      <c r="H227">
        <f>_xlfn.IFNA(VLOOKUP(B227,Nyers!A:D,4,0),"")</f>
        <v>646</v>
      </c>
      <c r="I227">
        <f>_xlfn.IFNA(VLOOKUP(B227,Nyers!A:G,7,0),"")</f>
        <v>4398</v>
      </c>
    </row>
    <row r="228" spans="1:9" x14ac:dyDescent="0.25">
      <c r="A228">
        <f t="shared" si="0"/>
        <v>33</v>
      </c>
      <c r="B228" s="41">
        <v>45884</v>
      </c>
      <c r="C228">
        <f>_xlfn.IFNA(VLOOKUP(B228,SZO!A:B,2,0),"")</f>
        <v>0</v>
      </c>
      <c r="D228">
        <f>VLOOKUP(B228,[1]Pivot!$A:$B,2,0)</f>
        <v>542</v>
      </c>
      <c r="E228">
        <f>_xlfn.IFNA(VLOOKUP(B228,Nyers!A:E,5,0),"")</f>
        <v>432</v>
      </c>
      <c r="F228">
        <f>_xlfn.IFNA(VLOOKUP(B228,Nyers!A:F,6,0),"")</f>
        <v>212</v>
      </c>
      <c r="G228">
        <f>_xlfn.IFNA(VLOOKUP(B228,Nyers!A:H,8,0),"")</f>
        <v>422</v>
      </c>
      <c r="H228">
        <f>_xlfn.IFNA(VLOOKUP(B228,Nyers!A:D,4,0),"")</f>
        <v>434</v>
      </c>
      <c r="I228">
        <f>_xlfn.IFNA(VLOOKUP(B228,Nyers!A:G,7,0),"")</f>
        <v>4761</v>
      </c>
    </row>
    <row r="229" spans="1:9" x14ac:dyDescent="0.25">
      <c r="A229">
        <f t="shared" si="0"/>
        <v>33</v>
      </c>
      <c r="B229" s="41">
        <v>45885</v>
      </c>
      <c r="C229" t="str">
        <f>_xlfn.IFNA(VLOOKUP(B229,SZO!A:B,2,0),"")</f>
        <v/>
      </c>
      <c r="D229">
        <f>VLOOKUP(B229,[1]Pivot!$A:$B,2,0)</f>
        <v>113</v>
      </c>
      <c r="E229" t="str">
        <f>_xlfn.IFNA(VLOOKUP(B229,Nyers!A:E,5,0),"")</f>
        <v/>
      </c>
      <c r="F229" t="str">
        <f>_xlfn.IFNA(VLOOKUP(B229,Nyers!A:F,6,0),"")</f>
        <v/>
      </c>
      <c r="G229" t="str">
        <f>_xlfn.IFNA(VLOOKUP(B229,Nyers!A:H,8,0),"")</f>
        <v/>
      </c>
      <c r="H229" t="str">
        <f>_xlfn.IFNA(VLOOKUP(B229,Nyers!A:D,4,0),"")</f>
        <v/>
      </c>
      <c r="I229" t="str">
        <f>_xlfn.IFNA(VLOOKUP(B229,Nyers!A:G,7,0),"")</f>
        <v/>
      </c>
    </row>
    <row r="230" spans="1:9" x14ac:dyDescent="0.25">
      <c r="A230">
        <f t="shared" si="0"/>
        <v>34</v>
      </c>
      <c r="B230" s="41">
        <v>45886</v>
      </c>
      <c r="C230" t="str">
        <f>_xlfn.IFNA(VLOOKUP(B230,SZO!A:B,2,0),"")</f>
        <v/>
      </c>
      <c r="D230">
        <f>VLOOKUP(B230,[1]Pivot!$A:$B,2,0)</f>
        <v>120</v>
      </c>
      <c r="E230" t="str">
        <f>_xlfn.IFNA(VLOOKUP(B230,Nyers!A:E,5,0),"")</f>
        <v/>
      </c>
      <c r="F230" t="str">
        <f>_xlfn.IFNA(VLOOKUP(B230,Nyers!A:F,6,0),"")</f>
        <v/>
      </c>
      <c r="G230" t="str">
        <f>_xlfn.IFNA(VLOOKUP(B230,Nyers!A:H,8,0),"")</f>
        <v/>
      </c>
      <c r="H230" t="str">
        <f>_xlfn.IFNA(VLOOKUP(B230,Nyers!A:D,4,0),"")</f>
        <v/>
      </c>
      <c r="I230" t="str">
        <f>_xlfn.IFNA(VLOOKUP(B230,Nyers!A:G,7,0),"")</f>
        <v/>
      </c>
    </row>
    <row r="231" spans="1:9" x14ac:dyDescent="0.25">
      <c r="A231">
        <f t="shared" si="0"/>
        <v>34</v>
      </c>
      <c r="B231" s="41">
        <v>45887</v>
      </c>
      <c r="C231">
        <f>_xlfn.IFNA(VLOOKUP(B231,SZO!A:B,2,0),"")</f>
        <v>0</v>
      </c>
      <c r="D231">
        <f>VLOOKUP(B231,[1]Pivot!$A:$B,2,0)</f>
        <v>580</v>
      </c>
      <c r="E231">
        <f>_xlfn.IFNA(VLOOKUP(B231,Nyers!A:E,5,0),"")</f>
        <v>511</v>
      </c>
      <c r="F231">
        <f>_xlfn.IFNA(VLOOKUP(B231,Nyers!A:F,6,0),"")</f>
        <v>177</v>
      </c>
      <c r="G231">
        <f>_xlfn.IFNA(VLOOKUP(B231,Nyers!A:H,8,0),"")</f>
        <v>515</v>
      </c>
      <c r="H231">
        <f>_xlfn.IFNA(VLOOKUP(B231,Nyers!A:D,4,0),"")</f>
        <v>404</v>
      </c>
      <c r="I231">
        <f>_xlfn.IFNA(VLOOKUP(B231,Nyers!A:G,7,0),"")</f>
        <v>4903</v>
      </c>
    </row>
    <row r="232" spans="1:9" x14ac:dyDescent="0.25">
      <c r="A232">
        <f t="shared" si="0"/>
        <v>34</v>
      </c>
      <c r="B232" s="41">
        <v>45888</v>
      </c>
      <c r="C232">
        <f>_xlfn.IFNA(VLOOKUP(B232,SZO!A:B,2,0),"")</f>
        <v>2</v>
      </c>
      <c r="D232">
        <f>VLOOKUP(B232,[1]Pivot!$A:$B,2,0)</f>
        <v>511</v>
      </c>
      <c r="E232">
        <f>_xlfn.IFNA(VLOOKUP(B232,Nyers!A:E,5,0),"")</f>
        <v>428</v>
      </c>
      <c r="F232">
        <f>_xlfn.IFNA(VLOOKUP(B232,Nyers!A:F,6,0),"")</f>
        <v>177</v>
      </c>
      <c r="G232">
        <f>_xlfn.IFNA(VLOOKUP(B232,Nyers!A:H,8,0),"")</f>
        <v>444</v>
      </c>
      <c r="H232">
        <f>_xlfn.IFNA(VLOOKUP(B232,Nyers!A:D,4,0),"")</f>
        <v>515</v>
      </c>
      <c r="I232">
        <f>_xlfn.IFNA(VLOOKUP(B232,Nyers!A:G,7,0),"")</f>
        <v>5147</v>
      </c>
    </row>
    <row r="233" spans="1:9" x14ac:dyDescent="0.25">
      <c r="A233">
        <f t="shared" si="0"/>
        <v>34</v>
      </c>
      <c r="B233" s="41">
        <v>45889</v>
      </c>
      <c r="C233">
        <f>_xlfn.IFNA(VLOOKUP(B233,SZO!A:B,2,0),"")</f>
        <v>0</v>
      </c>
      <c r="D233">
        <f>VLOOKUP(B233,[1]Pivot!$A:$B,2,0)</f>
        <v>194</v>
      </c>
      <c r="E233" t="str">
        <f>_xlfn.IFNA(VLOOKUP(B233,Nyers!A:E,5,0),"")</f>
        <v/>
      </c>
      <c r="F233" t="str">
        <f>_xlfn.IFNA(VLOOKUP(B233,Nyers!A:F,6,0),"")</f>
        <v/>
      </c>
      <c r="G233" t="str">
        <f>_xlfn.IFNA(VLOOKUP(B233,Nyers!A:H,8,0),"")</f>
        <v/>
      </c>
      <c r="H233" t="str">
        <f>_xlfn.IFNA(VLOOKUP(B233,Nyers!A:D,4,0),"")</f>
        <v/>
      </c>
      <c r="I233" t="str">
        <f>_xlfn.IFNA(VLOOKUP(B233,Nyers!A:G,7,0),"")</f>
        <v/>
      </c>
    </row>
    <row r="234" spans="1:9" x14ac:dyDescent="0.25">
      <c r="A234">
        <f t="shared" si="0"/>
        <v>34</v>
      </c>
      <c r="B234" s="41">
        <v>45890</v>
      </c>
      <c r="C234">
        <f>_xlfn.IFNA(VLOOKUP(B234,SZO!A:B,2,0),"")</f>
        <v>2205</v>
      </c>
      <c r="D234">
        <f>VLOOKUP(B234,[1]Pivot!$A:$B,2,0)</f>
        <v>478</v>
      </c>
      <c r="E234">
        <f>_xlfn.IFNA(VLOOKUP(B234,Nyers!A:E,5,0),"")</f>
        <v>391</v>
      </c>
      <c r="F234">
        <f>_xlfn.IFNA(VLOOKUP(B234,Nyers!A:F,6,0),"")</f>
        <v>138</v>
      </c>
      <c r="G234">
        <f>_xlfn.IFNA(VLOOKUP(B234,Nyers!A:H,8,0),"")</f>
        <v>385</v>
      </c>
      <c r="H234">
        <f>_xlfn.IFNA(VLOOKUP(B234,Nyers!A:D,4,0),"")</f>
        <v>506</v>
      </c>
      <c r="I234">
        <f>_xlfn.IFNA(VLOOKUP(B234,Nyers!A:G,7,0),"")</f>
        <v>5028</v>
      </c>
    </row>
    <row r="235" spans="1:9" x14ac:dyDescent="0.25">
      <c r="A235">
        <f t="shared" si="0"/>
        <v>34</v>
      </c>
      <c r="B235" s="41">
        <v>45891</v>
      </c>
      <c r="C235">
        <f>_xlfn.IFNA(VLOOKUP(B235,SZO!A:B,2,0),"")</f>
        <v>3503</v>
      </c>
      <c r="D235">
        <f>VLOOKUP(B235,[1]Pivot!$A:$B,2,0)</f>
        <v>401</v>
      </c>
      <c r="E235">
        <f>_xlfn.IFNA(VLOOKUP(B235,Nyers!A:E,5,0),"")</f>
        <v>316</v>
      </c>
      <c r="F235">
        <f>_xlfn.IFNA(VLOOKUP(B235,Nyers!A:F,6,0),"")</f>
        <v>132</v>
      </c>
      <c r="G235">
        <f>_xlfn.IFNA(VLOOKUP(B235,Nyers!A:H,8,0),"")</f>
        <v>351</v>
      </c>
      <c r="H235">
        <f>_xlfn.IFNA(VLOOKUP(B235,Nyers!A:D,4,0),"")</f>
        <v>538</v>
      </c>
      <c r="I235">
        <f>_xlfn.IFNA(VLOOKUP(B235,Nyers!A:G,7,0),"")</f>
        <v>5111</v>
      </c>
    </row>
    <row r="236" spans="1:9" x14ac:dyDescent="0.25">
      <c r="A236">
        <f t="shared" si="0"/>
        <v>34</v>
      </c>
      <c r="B236" s="41">
        <v>45892</v>
      </c>
      <c r="C236" t="str">
        <f>_xlfn.IFNA(VLOOKUP(B236,SZO!A:B,2,0),"")</f>
        <v/>
      </c>
      <c r="D236">
        <f>VLOOKUP(B236,[1]Pivot!$A:$B,2,0)</f>
        <v>106</v>
      </c>
      <c r="E236" t="str">
        <f>_xlfn.IFNA(VLOOKUP(B236,Nyers!A:E,5,0),"")</f>
        <v/>
      </c>
      <c r="F236" t="str">
        <f>_xlfn.IFNA(VLOOKUP(B236,Nyers!A:F,6,0),"")</f>
        <v/>
      </c>
      <c r="G236" t="str">
        <f>_xlfn.IFNA(VLOOKUP(B236,Nyers!A:H,8,0),"")</f>
        <v/>
      </c>
      <c r="H236" t="str">
        <f>_xlfn.IFNA(VLOOKUP(B236,Nyers!A:D,4,0),"")</f>
        <v/>
      </c>
      <c r="I236" t="str">
        <f>_xlfn.IFNA(VLOOKUP(B236,Nyers!A:G,7,0),"")</f>
        <v/>
      </c>
    </row>
    <row r="237" spans="1:9" x14ac:dyDescent="0.25">
      <c r="A237">
        <f t="shared" si="0"/>
        <v>35</v>
      </c>
      <c r="B237" s="41">
        <v>45893</v>
      </c>
      <c r="C237" t="str">
        <f>_xlfn.IFNA(VLOOKUP(B237,SZO!A:B,2,0),"")</f>
        <v/>
      </c>
      <c r="D237">
        <f>VLOOKUP(B237,[1]Pivot!$A:$B,2,0)</f>
        <v>97</v>
      </c>
      <c r="E237" t="str">
        <f>_xlfn.IFNA(VLOOKUP(B237,Nyers!A:E,5,0),"")</f>
        <v/>
      </c>
      <c r="F237" t="str">
        <f>_xlfn.IFNA(VLOOKUP(B237,Nyers!A:F,6,0),"")</f>
        <v/>
      </c>
      <c r="G237" t="str">
        <f>_xlfn.IFNA(VLOOKUP(B237,Nyers!A:H,8,0),"")</f>
        <v/>
      </c>
      <c r="H237" t="str">
        <f>_xlfn.IFNA(VLOOKUP(B237,Nyers!A:D,4,0),"")</f>
        <v/>
      </c>
      <c r="I237" t="str">
        <f>_xlfn.IFNA(VLOOKUP(B237,Nyers!A:G,7,0),"")</f>
        <v/>
      </c>
    </row>
    <row r="238" spans="1:9" x14ac:dyDescent="0.25">
      <c r="A238">
        <f t="shared" si="0"/>
        <v>35</v>
      </c>
      <c r="B238" s="41">
        <v>45894</v>
      </c>
      <c r="C238">
        <f>_xlfn.IFNA(VLOOKUP(B238,SZO!A:B,2,0),"")</f>
        <v>2354</v>
      </c>
      <c r="D238">
        <f>VLOOKUP(B238,[1]Pivot!$A:$B,2,0)</f>
        <v>501</v>
      </c>
      <c r="E238">
        <f>_xlfn.IFNA(VLOOKUP(B238,Nyers!A:E,5,0),"")</f>
        <v>384</v>
      </c>
      <c r="F238">
        <f>_xlfn.IFNA(VLOOKUP(B238,Nyers!A:F,6,0),"")</f>
        <v>133</v>
      </c>
      <c r="G238">
        <f>_xlfn.IFNA(VLOOKUP(B238,Nyers!A:H,8,0),"")</f>
        <v>407</v>
      </c>
      <c r="H238">
        <f>_xlfn.IFNA(VLOOKUP(B238,Nyers!A:D,4,0),"")</f>
        <v>636</v>
      </c>
      <c r="I238">
        <f>_xlfn.IFNA(VLOOKUP(B238,Nyers!A:G,7,0),"")</f>
        <v>4924</v>
      </c>
    </row>
    <row r="239" spans="1:9" x14ac:dyDescent="0.25">
      <c r="A239">
        <f t="shared" si="0"/>
        <v>35</v>
      </c>
      <c r="B239" s="41">
        <v>45895</v>
      </c>
      <c r="C239">
        <f>_xlfn.IFNA(VLOOKUP(B239,SZO!A:B,2,0),"")</f>
        <v>2640</v>
      </c>
      <c r="D239">
        <f>VLOOKUP(B239,[1]Pivot!$A:$B,2,0)</f>
        <v>529</v>
      </c>
      <c r="E239">
        <f>_xlfn.IFNA(VLOOKUP(B239,Nyers!A:E,5,0),"")</f>
        <v>341</v>
      </c>
      <c r="F239">
        <f>_xlfn.IFNA(VLOOKUP(B239,Nyers!A:F,6,0),"")</f>
        <v>106</v>
      </c>
      <c r="G239">
        <f>_xlfn.IFNA(VLOOKUP(B239,Nyers!A:H,8,0),"")</f>
        <v>369</v>
      </c>
      <c r="H239">
        <f>_xlfn.IFNA(VLOOKUP(B239,Nyers!A:D,4,0),"")</f>
        <v>739</v>
      </c>
      <c r="I239">
        <f>_xlfn.IFNA(VLOOKUP(B239,Nyers!A:G,7,0),"")</f>
        <v>4660</v>
      </c>
    </row>
    <row r="240" spans="1:9" x14ac:dyDescent="0.25">
      <c r="A240">
        <f t="shared" si="0"/>
        <v>35</v>
      </c>
      <c r="B240" s="41">
        <v>45896</v>
      </c>
      <c r="C240">
        <f>_xlfn.IFNA(VLOOKUP(B240,SZO!A:B,2,0),"")</f>
        <v>2873</v>
      </c>
      <c r="D240">
        <f>VLOOKUP(B240,[1]Pivot!$A:$B,2,0)</f>
        <v>517</v>
      </c>
      <c r="E240">
        <f>_xlfn.IFNA(VLOOKUP(B240,Nyers!A:E,5,0),"")</f>
        <v>474</v>
      </c>
      <c r="F240">
        <f>_xlfn.IFNA(VLOOKUP(B240,Nyers!A:F,6,0),"")</f>
        <v>181</v>
      </c>
      <c r="G240">
        <f>_xlfn.IFNA(VLOOKUP(B240,Nyers!A:H,8,0),"")</f>
        <v>527</v>
      </c>
      <c r="H240">
        <f>_xlfn.IFNA(VLOOKUP(B240,Nyers!A:D,4,0),"")</f>
        <v>688</v>
      </c>
      <c r="I240">
        <f>_xlfn.IFNA(VLOOKUP(B240,Nyers!A:G,7,0),"")</f>
        <v>4487</v>
      </c>
    </row>
    <row r="241" spans="1:9" x14ac:dyDescent="0.25">
      <c r="A241">
        <f t="shared" si="0"/>
        <v>35</v>
      </c>
      <c r="B241" s="41">
        <v>45897</v>
      </c>
      <c r="C241">
        <f>_xlfn.IFNA(VLOOKUP(B241,SZO!A:B,2,0),"")</f>
        <v>2591</v>
      </c>
      <c r="D241">
        <f>VLOOKUP(B241,[1]Pivot!$A:$B,2,0)</f>
        <v>614</v>
      </c>
      <c r="E241">
        <f>_xlfn.IFNA(VLOOKUP(B241,Nyers!A:E,5,0),"")</f>
        <v>427</v>
      </c>
      <c r="F241">
        <f>_xlfn.IFNA(VLOOKUP(B241,Nyers!A:F,6,0),"")</f>
        <v>133</v>
      </c>
      <c r="G241">
        <f>_xlfn.IFNA(VLOOKUP(B241,Nyers!A:H,8,0),"")</f>
        <v>476</v>
      </c>
      <c r="H241">
        <f>_xlfn.IFNA(VLOOKUP(B241,Nyers!A:D,4,0),"")</f>
        <v>555</v>
      </c>
      <c r="I241">
        <f>_xlfn.IFNA(VLOOKUP(B241,Nyers!A:G,7,0),"")</f>
        <v>4527</v>
      </c>
    </row>
    <row r="242" spans="1:9" x14ac:dyDescent="0.25">
      <c r="A242">
        <f t="shared" si="0"/>
        <v>35</v>
      </c>
      <c r="B242" s="41">
        <v>45898</v>
      </c>
      <c r="C242">
        <f>_xlfn.IFNA(VLOOKUP(B242,SZO!A:B,2,0),"")</f>
        <v>1</v>
      </c>
      <c r="D242">
        <f>VLOOKUP(B242,[1]Pivot!$A:$B,2,0)</f>
        <v>571</v>
      </c>
      <c r="E242">
        <f>_xlfn.IFNA(VLOOKUP(B242,Nyers!A:E,5,0),"")</f>
        <v>375</v>
      </c>
      <c r="F242">
        <f>_xlfn.IFNA(VLOOKUP(B242,Nyers!A:F,6,0),"")</f>
        <v>194</v>
      </c>
      <c r="G242">
        <f>_xlfn.IFNA(VLOOKUP(B242,Nyers!A:H,8,0),"")</f>
        <v>491</v>
      </c>
      <c r="H242">
        <f>_xlfn.IFNA(VLOOKUP(B242,Nyers!A:D,4,0),"")</f>
        <v>439</v>
      </c>
      <c r="I242">
        <f>_xlfn.IFNA(VLOOKUP(B242,Nyers!A:G,7,0),"")</f>
        <v>4856</v>
      </c>
    </row>
    <row r="243" spans="1:9" x14ac:dyDescent="0.25">
      <c r="A243">
        <f t="shared" si="0"/>
        <v>35</v>
      </c>
      <c r="B243" s="41">
        <v>45899</v>
      </c>
      <c r="C243" t="str">
        <f>_xlfn.IFNA(VLOOKUP(B243,SZO!A:B,2,0),"")</f>
        <v/>
      </c>
      <c r="D243">
        <f>VLOOKUP(B243,[1]Pivot!$A:$B,2,0)</f>
        <v>122</v>
      </c>
      <c r="E243" t="str">
        <f>_xlfn.IFNA(VLOOKUP(B243,Nyers!A:E,5,0),"")</f>
        <v/>
      </c>
      <c r="F243" t="str">
        <f>_xlfn.IFNA(VLOOKUP(B243,Nyers!A:F,6,0),"")</f>
        <v/>
      </c>
      <c r="G243" t="str">
        <f>_xlfn.IFNA(VLOOKUP(B243,Nyers!A:H,8,0),"")</f>
        <v/>
      </c>
      <c r="H243" t="str">
        <f>_xlfn.IFNA(VLOOKUP(B243,Nyers!A:D,4,0),"")</f>
        <v/>
      </c>
      <c r="I243" t="str">
        <f>_xlfn.IFNA(VLOOKUP(B243,Nyers!A:G,7,0),"")</f>
        <v/>
      </c>
    </row>
    <row r="244" spans="1:9" x14ac:dyDescent="0.25">
      <c r="A244">
        <f t="shared" si="0"/>
        <v>36</v>
      </c>
      <c r="B244" s="41">
        <v>45900</v>
      </c>
      <c r="C244" t="str">
        <f>_xlfn.IFNA(VLOOKUP(B244,SZO!A:B,2,0),"")</f>
        <v/>
      </c>
      <c r="E244" t="str">
        <f>_xlfn.IFNA(VLOOKUP(B244,Nyers!A:E,5,0),"")</f>
        <v/>
      </c>
      <c r="F244" t="str">
        <f>_xlfn.IFNA(VLOOKUP(B244,Nyers!A:F,6,0),"")</f>
        <v/>
      </c>
      <c r="G244" t="str">
        <f>_xlfn.IFNA(VLOOKUP(B244,Nyers!A:H,8,0),"")</f>
        <v/>
      </c>
      <c r="H244" t="str">
        <f>_xlfn.IFNA(VLOOKUP(B244,Nyers!A:D,4,0),"")</f>
        <v/>
      </c>
      <c r="I244" t="str">
        <f>_xlfn.IFNA(VLOOKUP(B244,Nyers!A:G,7,0),"")</f>
        <v/>
      </c>
    </row>
    <row r="245" spans="1:9" x14ac:dyDescent="0.25">
      <c r="A245">
        <f t="shared" si="0"/>
        <v>36</v>
      </c>
      <c r="B245" s="41">
        <v>45901</v>
      </c>
      <c r="C245">
        <f>_xlfn.IFNA(VLOOKUP(B245,SZO!A:B,2,0),"")</f>
        <v>0</v>
      </c>
      <c r="D245">
        <f>VLOOKUP(B245,[1]Pivot!$A:$B,2,0)</f>
        <v>714</v>
      </c>
      <c r="E245">
        <f>_xlfn.IFNA(VLOOKUP(B245,Nyers!A:E,5,0),"")</f>
        <v>452</v>
      </c>
      <c r="F245">
        <f>_xlfn.IFNA(VLOOKUP(B245,Nyers!A:F,6,0),"")</f>
        <v>156</v>
      </c>
      <c r="G245">
        <f>_xlfn.IFNA(VLOOKUP(B245,Nyers!A:H,8,0),"")</f>
        <v>647</v>
      </c>
      <c r="H245">
        <f>_xlfn.IFNA(VLOOKUP(B245,Nyers!A:D,4,0),"")</f>
        <v>581</v>
      </c>
      <c r="I245">
        <f>_xlfn.IFNA(VLOOKUP(B245,Nyers!A:G,7,0),"")</f>
        <v>4936</v>
      </c>
    </row>
    <row r="246" spans="1:9" x14ac:dyDescent="0.25">
      <c r="A246">
        <f t="shared" si="0"/>
        <v>36</v>
      </c>
      <c r="B246" s="41">
        <v>45902</v>
      </c>
      <c r="C246">
        <f>_xlfn.IFNA(VLOOKUP(B246,SZO!A:B,2,0),"")</f>
        <v>0</v>
      </c>
      <c r="D246">
        <f>VLOOKUP(B246,[1]Pivot!$A:$B,2,0)</f>
        <v>634</v>
      </c>
      <c r="E246">
        <f>_xlfn.IFNA(VLOOKUP(B246,Nyers!A:E,5,0),"")</f>
        <v>479</v>
      </c>
      <c r="F246">
        <f>_xlfn.IFNA(VLOOKUP(B246,Nyers!A:F,6,0),"")</f>
        <v>162</v>
      </c>
      <c r="G246">
        <f>_xlfn.IFNA(VLOOKUP(B246,Nyers!A:H,8,0),"")</f>
        <v>524</v>
      </c>
      <c r="H246">
        <f>_xlfn.IFNA(VLOOKUP(B246,Nyers!A:D,4,0),"")</f>
        <v>612</v>
      </c>
      <c r="I246">
        <f>_xlfn.IFNA(VLOOKUP(B246,Nyers!A:G,7,0),"")</f>
        <v>4871</v>
      </c>
    </row>
    <row r="247" spans="1:9" x14ac:dyDescent="0.25">
      <c r="A247">
        <f t="shared" si="0"/>
        <v>36</v>
      </c>
      <c r="B247" s="41">
        <v>45903</v>
      </c>
      <c r="C247">
        <f>_xlfn.IFNA(VLOOKUP(B247,SZO!A:B,2,0),"")</f>
        <v>2</v>
      </c>
      <c r="D247">
        <f>VLOOKUP(B247,[1]Pivot!$A:$B,2,0)</f>
        <v>592</v>
      </c>
      <c r="E247">
        <f>_xlfn.IFNA(VLOOKUP(B247,Nyers!A:E,5,0),"")</f>
        <v>521</v>
      </c>
      <c r="F247">
        <f>_xlfn.IFNA(VLOOKUP(B247,Nyers!A:F,6,0),"")</f>
        <v>193</v>
      </c>
      <c r="G247">
        <f>_xlfn.IFNA(VLOOKUP(B247,Nyers!A:H,8,0),"")</f>
        <v>552</v>
      </c>
      <c r="H247">
        <f>_xlfn.IFNA(VLOOKUP(B247,Nyers!A:D,4,0),"")</f>
        <v>704</v>
      </c>
      <c r="I247">
        <f>_xlfn.IFNA(VLOOKUP(B247,Nyers!A:G,7,0),"")</f>
        <v>4815</v>
      </c>
    </row>
    <row r="248" spans="1:9" x14ac:dyDescent="0.25">
      <c r="A248">
        <f t="shared" si="0"/>
        <v>36</v>
      </c>
      <c r="B248" s="41">
        <v>45904</v>
      </c>
      <c r="C248">
        <f>_xlfn.IFNA(VLOOKUP(B248,SZO!A:B,2,0),"")</f>
        <v>0</v>
      </c>
      <c r="D248">
        <f>VLOOKUP(B248,[1]Pivot!$A:$B,2,0)</f>
        <v>551</v>
      </c>
      <c r="E248">
        <f>_xlfn.IFNA(VLOOKUP(B248,Nyers!A:E,5,0),"")</f>
        <v>406</v>
      </c>
      <c r="F248">
        <f>_xlfn.IFNA(VLOOKUP(B248,Nyers!A:F,6,0),"")</f>
        <v>147</v>
      </c>
      <c r="G248">
        <f>_xlfn.IFNA(VLOOKUP(B248,Nyers!A:H,8,0),"")</f>
        <v>348</v>
      </c>
      <c r="H248">
        <f>_xlfn.IFNA(VLOOKUP(B248,Nyers!A:D,4,0),"")</f>
        <v>684</v>
      </c>
      <c r="I248">
        <f>_xlfn.IFNA(VLOOKUP(B248,Nyers!A:G,7,0),"")</f>
        <v>4458</v>
      </c>
    </row>
    <row r="249" spans="1:9" x14ac:dyDescent="0.25">
      <c r="A249">
        <f t="shared" si="0"/>
        <v>36</v>
      </c>
      <c r="B249" s="41">
        <v>45905</v>
      </c>
      <c r="C249">
        <f>_xlfn.IFNA(VLOOKUP(B249,SZO!A:B,2,0),"")</f>
        <v>0</v>
      </c>
      <c r="D249">
        <f>VLOOKUP(B249,[1]Pivot!$A:$B,2,0)</f>
        <v>470</v>
      </c>
      <c r="E249">
        <f>_xlfn.IFNA(VLOOKUP(B249,Nyers!A:E,5,0),"")</f>
        <v>348</v>
      </c>
      <c r="F249">
        <f>_xlfn.IFNA(VLOOKUP(B249,Nyers!A:F,6,0),"")</f>
        <v>146</v>
      </c>
      <c r="G249">
        <f>_xlfn.IFNA(VLOOKUP(B249,Nyers!A:H,8,0),"")</f>
        <v>373</v>
      </c>
      <c r="H249">
        <f>_xlfn.IFNA(VLOOKUP(B249,Nyers!A:D,4,0),"")</f>
        <v>573</v>
      </c>
      <c r="I249">
        <f>_xlfn.IFNA(VLOOKUP(B249,Nyers!A:G,7,0),"")</f>
        <v>4597</v>
      </c>
    </row>
    <row r="250" spans="1:9" x14ac:dyDescent="0.25">
      <c r="A250">
        <f t="shared" si="0"/>
        <v>36</v>
      </c>
      <c r="B250" s="41">
        <v>45906</v>
      </c>
      <c r="C250" t="str">
        <f>_xlfn.IFNA(VLOOKUP(B250,SZO!A:B,2,0),"")</f>
        <v/>
      </c>
      <c r="D250">
        <f>VLOOKUP(B250,[1]Pivot!$A:$B,2,0)</f>
        <v>108</v>
      </c>
      <c r="E250" t="str">
        <f>_xlfn.IFNA(VLOOKUP(B250,Nyers!A:E,5,0),"")</f>
        <v/>
      </c>
      <c r="F250" t="str">
        <f>_xlfn.IFNA(VLOOKUP(B250,Nyers!A:F,6,0),"")</f>
        <v/>
      </c>
      <c r="G250" t="str">
        <f>_xlfn.IFNA(VLOOKUP(B250,Nyers!A:H,8,0),"")</f>
        <v/>
      </c>
      <c r="H250" t="str">
        <f>_xlfn.IFNA(VLOOKUP(B250,Nyers!A:D,4,0),"")</f>
        <v/>
      </c>
      <c r="I250" t="str">
        <f>_xlfn.IFNA(VLOOKUP(B250,Nyers!A:G,7,0),"")</f>
        <v/>
      </c>
    </row>
    <row r="251" spans="1:9" x14ac:dyDescent="0.25">
      <c r="A251">
        <f t="shared" si="0"/>
        <v>37</v>
      </c>
      <c r="B251" s="41">
        <v>45907</v>
      </c>
      <c r="C251" t="str">
        <f>_xlfn.IFNA(VLOOKUP(B251,SZO!A:B,2,0),"")</f>
        <v/>
      </c>
      <c r="D251">
        <f>VLOOKUP(B251,[1]Pivot!$A:$B,2,0)</f>
        <v>101</v>
      </c>
      <c r="E251" t="str">
        <f>_xlfn.IFNA(VLOOKUP(B251,Nyers!A:E,5,0),"")</f>
        <v/>
      </c>
      <c r="F251" t="str">
        <f>_xlfn.IFNA(VLOOKUP(B251,Nyers!A:F,6,0),"")</f>
        <v/>
      </c>
      <c r="G251" t="str">
        <f>_xlfn.IFNA(VLOOKUP(B251,Nyers!A:H,8,0),"")</f>
        <v/>
      </c>
      <c r="H251" t="str">
        <f>_xlfn.IFNA(VLOOKUP(B251,Nyers!A:D,4,0),"")</f>
        <v/>
      </c>
      <c r="I251" t="str">
        <f>_xlfn.IFNA(VLOOKUP(B251,Nyers!A:G,7,0),"")</f>
        <v/>
      </c>
    </row>
    <row r="252" spans="1:9" x14ac:dyDescent="0.25">
      <c r="A252">
        <f t="shared" si="0"/>
        <v>37</v>
      </c>
      <c r="B252" s="41">
        <v>45908</v>
      </c>
      <c r="C252">
        <f>_xlfn.IFNA(VLOOKUP(B252,SZO!A:B,2,0),"")</f>
        <v>0</v>
      </c>
      <c r="D252">
        <f>VLOOKUP(B252,[1]Pivot!$A:$B,2,0)</f>
        <v>568</v>
      </c>
      <c r="E252">
        <f>_xlfn.IFNA(VLOOKUP(B252,Nyers!A:E,5,0),"")</f>
        <v>422</v>
      </c>
      <c r="F252">
        <f>_xlfn.IFNA(VLOOKUP(B252,Nyers!A:F,6,0),"")</f>
        <v>128</v>
      </c>
      <c r="G252">
        <f>_xlfn.IFNA(VLOOKUP(B252,Nyers!A:H,8,0),"")</f>
        <v>426</v>
      </c>
      <c r="H252">
        <f>_xlfn.IFNA(VLOOKUP(B252,Nyers!A:D,4,0),"")</f>
        <v>675</v>
      </c>
      <c r="I252">
        <f>_xlfn.IFNA(VLOOKUP(B252,Nyers!A:G,7,0),"")</f>
        <v>4410</v>
      </c>
    </row>
    <row r="253" spans="1:9" x14ac:dyDescent="0.25">
      <c r="A253">
        <f t="shared" si="0"/>
        <v>37</v>
      </c>
      <c r="B253" s="41">
        <v>45909</v>
      </c>
      <c r="C253">
        <f>_xlfn.IFNA(VLOOKUP(B253,SZO!A:B,2,0),"")</f>
        <v>0</v>
      </c>
      <c r="D253">
        <f>VLOOKUP(B253,[1]Pivot!$A:$B,2,0)</f>
        <v>547</v>
      </c>
      <c r="E253">
        <f>_xlfn.IFNA(VLOOKUP(B253,Nyers!A:E,5,0),"")</f>
        <v>336</v>
      </c>
      <c r="F253">
        <f>_xlfn.IFNA(VLOOKUP(B253,Nyers!A:F,6,0),"")</f>
        <v>118</v>
      </c>
      <c r="G253">
        <f>_xlfn.IFNA(VLOOKUP(B253,Nyers!A:H,8,0),"")</f>
        <v>401</v>
      </c>
      <c r="H253">
        <f>_xlfn.IFNA(VLOOKUP(B253,Nyers!A:D,4,0),"")</f>
        <v>794</v>
      </c>
      <c r="I253">
        <f>_xlfn.IFNA(VLOOKUP(B253,Nyers!A:G,7,0),"")</f>
        <v>4050</v>
      </c>
    </row>
    <row r="254" spans="1:9" x14ac:dyDescent="0.25">
      <c r="A254">
        <f t="shared" ref="A254:A317" si="1">WEEKNUM(B254)</f>
        <v>37</v>
      </c>
      <c r="B254" s="41">
        <v>45910</v>
      </c>
      <c r="C254">
        <f>_xlfn.IFNA(VLOOKUP(B254,SZO!A:B,2,0),"")</f>
        <v>0</v>
      </c>
      <c r="D254">
        <f>VLOOKUP(B254,[1]Pivot!$A:$B,2,0)</f>
        <v>502</v>
      </c>
      <c r="E254">
        <f>_xlfn.IFNA(VLOOKUP(B254,Nyers!A:E,5,0),"")</f>
        <v>437</v>
      </c>
      <c r="F254">
        <f>_xlfn.IFNA(VLOOKUP(B254,Nyers!A:F,6,0),"")</f>
        <v>152</v>
      </c>
      <c r="G254">
        <f>_xlfn.IFNA(VLOOKUP(B254,Nyers!A:H,8,0),"")</f>
        <v>405</v>
      </c>
      <c r="H254">
        <f>_xlfn.IFNA(VLOOKUP(B254,Nyers!A:D,4,0),"")</f>
        <v>846</v>
      </c>
      <c r="I254">
        <f>_xlfn.IFNA(VLOOKUP(B254,Nyers!A:G,7,0),"")</f>
        <v>3664</v>
      </c>
    </row>
    <row r="255" spans="1:9" x14ac:dyDescent="0.25">
      <c r="A255">
        <f t="shared" si="1"/>
        <v>37</v>
      </c>
      <c r="B255" s="41">
        <v>45911</v>
      </c>
      <c r="C255">
        <f>_xlfn.IFNA(VLOOKUP(B255,SZO!A:B,2,0),"")</f>
        <v>1493</v>
      </c>
      <c r="D255">
        <f>VLOOKUP(B255,[1]Pivot!$A:$B,2,0)</f>
        <v>450</v>
      </c>
      <c r="E255">
        <f>_xlfn.IFNA(VLOOKUP(B255,Nyers!A:E,5,0),"")</f>
        <v>299</v>
      </c>
      <c r="F255">
        <f>_xlfn.IFNA(VLOOKUP(B255,Nyers!A:F,6,0),"")</f>
        <v>102</v>
      </c>
      <c r="G255">
        <f>_xlfn.IFNA(VLOOKUP(B255,Nyers!A:H,8,0),"")</f>
        <v>318</v>
      </c>
      <c r="H255">
        <f>_xlfn.IFNA(VLOOKUP(B255,Nyers!A:D,4,0),"")</f>
        <v>773</v>
      </c>
      <c r="I255">
        <f>_xlfn.IFNA(VLOOKUP(B255,Nyers!A:G,7,0),"")</f>
        <v>3257</v>
      </c>
    </row>
    <row r="256" spans="1:9" x14ac:dyDescent="0.25">
      <c r="A256">
        <f t="shared" si="1"/>
        <v>37</v>
      </c>
      <c r="B256" s="41">
        <v>45912</v>
      </c>
      <c r="C256">
        <f>_xlfn.IFNA(VLOOKUP(B256,SZO!A:B,2,0),"")</f>
        <v>2236</v>
      </c>
      <c r="D256">
        <f>VLOOKUP(B256,[1]Pivot!$A:$B,2,0)</f>
        <v>379</v>
      </c>
      <c r="E256">
        <f>_xlfn.IFNA(VLOOKUP(B256,Nyers!A:E,5,0),"")</f>
        <v>274</v>
      </c>
      <c r="F256">
        <f>_xlfn.IFNA(VLOOKUP(B256,Nyers!A:F,6,0),"")</f>
        <v>127</v>
      </c>
      <c r="G256">
        <f>_xlfn.IFNA(VLOOKUP(B256,Nyers!A:H,8,0),"")</f>
        <v>303</v>
      </c>
      <c r="H256">
        <f>_xlfn.IFNA(VLOOKUP(B256,Nyers!A:D,4,0),"")</f>
        <v>719</v>
      </c>
      <c r="I256">
        <f>_xlfn.IFNA(VLOOKUP(B256,Nyers!A:G,7,0),"")</f>
        <v>3103</v>
      </c>
    </row>
    <row r="257" spans="1:9" x14ac:dyDescent="0.25">
      <c r="A257">
        <f t="shared" si="1"/>
        <v>37</v>
      </c>
      <c r="B257" s="41">
        <v>45913</v>
      </c>
      <c r="C257" t="str">
        <f>_xlfn.IFNA(VLOOKUP(B257,SZO!A:B,2,0),"")</f>
        <v/>
      </c>
      <c r="D257">
        <f>VLOOKUP(B257,[1]Pivot!$A:$B,2,0)</f>
        <v>77</v>
      </c>
      <c r="E257" t="str">
        <f>_xlfn.IFNA(VLOOKUP(B257,Nyers!A:E,5,0),"")</f>
        <v/>
      </c>
      <c r="F257" t="str">
        <f>_xlfn.IFNA(VLOOKUP(B257,Nyers!A:F,6,0),"")</f>
        <v/>
      </c>
      <c r="G257" t="str">
        <f>_xlfn.IFNA(VLOOKUP(B257,Nyers!A:H,8,0),"")</f>
        <v/>
      </c>
      <c r="H257" t="str">
        <f>_xlfn.IFNA(VLOOKUP(B257,Nyers!A:D,4,0),"")</f>
        <v/>
      </c>
      <c r="I257" t="str">
        <f>_xlfn.IFNA(VLOOKUP(B257,Nyers!A:G,7,0),"")</f>
        <v/>
      </c>
    </row>
    <row r="258" spans="1:9" x14ac:dyDescent="0.25">
      <c r="A258">
        <f t="shared" si="1"/>
        <v>38</v>
      </c>
      <c r="B258" s="41">
        <v>45914</v>
      </c>
      <c r="C258" t="str">
        <f>_xlfn.IFNA(VLOOKUP(B258,SZO!A:B,2,0),"")</f>
        <v/>
      </c>
      <c r="D258">
        <f>VLOOKUP(B258,[1]Pivot!$A:$B,2,0)</f>
        <v>106</v>
      </c>
      <c r="E258" t="str">
        <f>_xlfn.IFNA(VLOOKUP(B258,Nyers!A:E,5,0),"")</f>
        <v/>
      </c>
      <c r="F258" t="str">
        <f>_xlfn.IFNA(VLOOKUP(B258,Nyers!A:F,6,0),"")</f>
        <v/>
      </c>
      <c r="G258" t="str">
        <f>_xlfn.IFNA(VLOOKUP(B258,Nyers!A:H,8,0),"")</f>
        <v/>
      </c>
      <c r="H258" t="str">
        <f>_xlfn.IFNA(VLOOKUP(B258,Nyers!A:D,4,0),"")</f>
        <v/>
      </c>
      <c r="I258" t="str">
        <f>_xlfn.IFNA(VLOOKUP(B258,Nyers!A:G,7,0),"")</f>
        <v/>
      </c>
    </row>
    <row r="259" spans="1:9" x14ac:dyDescent="0.25">
      <c r="A259">
        <f t="shared" si="1"/>
        <v>38</v>
      </c>
      <c r="B259" s="41">
        <v>45915</v>
      </c>
      <c r="C259">
        <f>_xlfn.IFNA(VLOOKUP(B259,SZO!A:B,2,0),"")</f>
        <v>2591</v>
      </c>
      <c r="D259">
        <f>VLOOKUP(B259,[1]Pivot!$A:$B,2,0)</f>
        <v>491</v>
      </c>
      <c r="E259">
        <f>_xlfn.IFNA(VLOOKUP(B259,Nyers!A:E,5,0),"")</f>
        <v>324</v>
      </c>
      <c r="F259">
        <f>_xlfn.IFNA(VLOOKUP(B259,Nyers!A:F,6,0),"")</f>
        <v>95</v>
      </c>
      <c r="G259">
        <f>_xlfn.IFNA(VLOOKUP(B259,Nyers!A:H,8,0),"")</f>
        <v>357</v>
      </c>
      <c r="H259">
        <f>_xlfn.IFNA(VLOOKUP(B259,Nyers!A:D,4,0),"")</f>
        <v>735</v>
      </c>
      <c r="I259">
        <f>_xlfn.IFNA(VLOOKUP(B259,Nyers!A:G,7,0),"")</f>
        <v>2674</v>
      </c>
    </row>
    <row r="260" spans="1:9" x14ac:dyDescent="0.25">
      <c r="A260">
        <f t="shared" si="1"/>
        <v>38</v>
      </c>
      <c r="B260" s="41">
        <v>45916</v>
      </c>
      <c r="C260">
        <f>_xlfn.IFNA(VLOOKUP(B260,SZO!A:B,2,0),"")</f>
        <v>2969</v>
      </c>
      <c r="D260">
        <f>VLOOKUP(B260,[1]Pivot!$A:$B,2,0)</f>
        <v>576</v>
      </c>
      <c r="E260">
        <f>_xlfn.IFNA(VLOOKUP(B260,Nyers!A:E,5,0),"")</f>
        <v>345</v>
      </c>
      <c r="F260">
        <f>_xlfn.IFNA(VLOOKUP(B260,Nyers!A:F,6,0),"")</f>
        <v>128</v>
      </c>
      <c r="G260">
        <f>_xlfn.IFNA(VLOOKUP(B260,Nyers!A:H,8,0),"")</f>
        <v>410</v>
      </c>
      <c r="H260">
        <f>_xlfn.IFNA(VLOOKUP(B260,Nyers!A:D,4,0),"")</f>
        <v>815</v>
      </c>
      <c r="I260">
        <f>_xlfn.IFNA(VLOOKUP(B260,Nyers!A:G,7,0),"")</f>
        <v>2383</v>
      </c>
    </row>
    <row r="261" spans="1:9" x14ac:dyDescent="0.25">
      <c r="A261">
        <f t="shared" si="1"/>
        <v>38</v>
      </c>
      <c r="B261" s="41">
        <v>45917</v>
      </c>
      <c r="C261">
        <f>_xlfn.IFNA(VLOOKUP(B261,SZO!A:B,2,0),"")</f>
        <v>0</v>
      </c>
      <c r="D261">
        <f>VLOOKUP(B261,[1]Pivot!$A:$B,2,0)</f>
        <v>664</v>
      </c>
      <c r="E261">
        <f>_xlfn.IFNA(VLOOKUP(B261,Nyers!A:E,5,0),"")</f>
        <v>441</v>
      </c>
      <c r="F261">
        <f>_xlfn.IFNA(VLOOKUP(B261,Nyers!A:F,6,0),"")</f>
        <v>166</v>
      </c>
      <c r="G261">
        <f>_xlfn.IFNA(VLOOKUP(B261,Nyers!A:H,8,0),"")</f>
        <v>500</v>
      </c>
      <c r="H261">
        <f>_xlfn.IFNA(VLOOKUP(B261,Nyers!A:D,4,0),"")</f>
        <v>766</v>
      </c>
      <c r="I261">
        <f>_xlfn.IFNA(VLOOKUP(B261,Nyers!A:G,7,0),"")</f>
        <v>2169</v>
      </c>
    </row>
    <row r="262" spans="1:9" x14ac:dyDescent="0.25">
      <c r="A262">
        <f t="shared" si="1"/>
        <v>38</v>
      </c>
      <c r="B262" s="41">
        <v>45918</v>
      </c>
      <c r="C262">
        <f>_xlfn.IFNA(VLOOKUP(B262,SZO!A:B,2,0),"")</f>
        <v>2861</v>
      </c>
      <c r="D262">
        <f>VLOOKUP(B262,[1]Pivot!$A:$B,2,0)</f>
        <v>451</v>
      </c>
      <c r="E262">
        <f>_xlfn.IFNA(VLOOKUP(B262,Nyers!A:E,5,0),"")</f>
        <v>358</v>
      </c>
      <c r="F262">
        <f>_xlfn.IFNA(VLOOKUP(B262,Nyers!A:F,6,0),"")</f>
        <v>153</v>
      </c>
      <c r="G262">
        <f>_xlfn.IFNA(VLOOKUP(B262,Nyers!A:H,8,0),"")</f>
        <v>429</v>
      </c>
      <c r="H262">
        <f>_xlfn.IFNA(VLOOKUP(B262,Nyers!A:D,4,0),"")</f>
        <v>344</v>
      </c>
      <c r="I262">
        <f>_xlfn.IFNA(VLOOKUP(B262,Nyers!A:G,7,0),"")</f>
        <v>2274</v>
      </c>
    </row>
    <row r="263" spans="1:9" x14ac:dyDescent="0.25">
      <c r="A263">
        <f t="shared" si="1"/>
        <v>38</v>
      </c>
      <c r="B263" s="41">
        <v>45919</v>
      </c>
      <c r="C263">
        <f>_xlfn.IFNA(VLOOKUP(B263,SZO!A:B,2,0),"")</f>
        <v>0</v>
      </c>
      <c r="D263">
        <f>VLOOKUP(B263,[1]Pivot!$A:$B,2,0)</f>
        <v>529</v>
      </c>
      <c r="E263">
        <f>_xlfn.IFNA(VLOOKUP(B263,Nyers!A:E,5,0),"")</f>
        <v>330</v>
      </c>
      <c r="F263">
        <f>_xlfn.IFNA(VLOOKUP(B263,Nyers!A:F,6,0),"")</f>
        <v>181</v>
      </c>
      <c r="G263">
        <f>_xlfn.IFNA(VLOOKUP(B263,Nyers!A:H,8,0),"")</f>
        <v>395</v>
      </c>
      <c r="H263">
        <f>_xlfn.IFNA(VLOOKUP(B263,Nyers!A:D,4,0),"")</f>
        <v>652</v>
      </c>
      <c r="I263">
        <f>_xlfn.IFNA(VLOOKUP(B263,Nyers!A:G,7,0),"")</f>
        <v>2241</v>
      </c>
    </row>
    <row r="264" spans="1:9" x14ac:dyDescent="0.25">
      <c r="A264">
        <f t="shared" si="1"/>
        <v>38</v>
      </c>
      <c r="B264" s="41">
        <v>45920</v>
      </c>
      <c r="C264" t="str">
        <f>_xlfn.IFNA(VLOOKUP(B264,SZO!A:B,2,0),"")</f>
        <v/>
      </c>
      <c r="D264">
        <f>VLOOKUP(B264,[1]Pivot!$A:$B,2,0)</f>
        <v>72</v>
      </c>
      <c r="E264" t="str">
        <f>_xlfn.IFNA(VLOOKUP(B264,Nyers!A:E,5,0),"")</f>
        <v/>
      </c>
      <c r="F264" t="str">
        <f>_xlfn.IFNA(VLOOKUP(B264,Nyers!A:F,6,0),"")</f>
        <v/>
      </c>
      <c r="G264" t="str">
        <f>_xlfn.IFNA(VLOOKUP(B264,Nyers!A:H,8,0),"")</f>
        <v/>
      </c>
      <c r="H264" t="str">
        <f>_xlfn.IFNA(VLOOKUP(B264,Nyers!A:D,4,0),"")</f>
        <v/>
      </c>
      <c r="I264" t="str">
        <f>_xlfn.IFNA(VLOOKUP(B264,Nyers!A:G,7,0),"")</f>
        <v/>
      </c>
    </row>
    <row r="265" spans="1:9" x14ac:dyDescent="0.25">
      <c r="A265">
        <f t="shared" si="1"/>
        <v>39</v>
      </c>
      <c r="B265" s="41">
        <v>45921</v>
      </c>
      <c r="C265" t="str">
        <f>_xlfn.IFNA(VLOOKUP(B265,SZO!A:B,2,0),"")</f>
        <v/>
      </c>
      <c r="D265">
        <f>VLOOKUP(B265,[1]Pivot!$A:$B,2,0)</f>
        <v>106</v>
      </c>
      <c r="E265" t="str">
        <f>_xlfn.IFNA(VLOOKUP(B265,Nyers!A:E,5,0),"")</f>
        <v/>
      </c>
      <c r="F265" t="str">
        <f>_xlfn.IFNA(VLOOKUP(B265,Nyers!A:F,6,0),"")</f>
        <v/>
      </c>
      <c r="G265" t="str">
        <f>_xlfn.IFNA(VLOOKUP(B265,Nyers!A:H,8,0),"")</f>
        <v/>
      </c>
      <c r="H265" t="str">
        <f>_xlfn.IFNA(VLOOKUP(B265,Nyers!A:D,4,0),"")</f>
        <v/>
      </c>
      <c r="I265" t="str">
        <f>_xlfn.IFNA(VLOOKUP(B265,Nyers!A:G,7,0),"")</f>
        <v/>
      </c>
    </row>
    <row r="266" spans="1:9" x14ac:dyDescent="0.25">
      <c r="A266">
        <f t="shared" si="1"/>
        <v>39</v>
      </c>
      <c r="B266" s="41">
        <v>45922</v>
      </c>
      <c r="C266">
        <f>_xlfn.IFNA(VLOOKUP(B266,SZO!A:B,2,0),"")</f>
        <v>0</v>
      </c>
      <c r="D266">
        <f>VLOOKUP(B266,[1]Pivot!$A:$B,2,0)</f>
        <v>587</v>
      </c>
      <c r="E266">
        <f>_xlfn.IFNA(VLOOKUP(B266,Nyers!A:E,5,0),"")</f>
        <v>393</v>
      </c>
      <c r="F266">
        <f>_xlfn.IFNA(VLOOKUP(B266,Nyers!A:F,6,0),"")</f>
        <v>143</v>
      </c>
      <c r="G266">
        <f>_xlfn.IFNA(VLOOKUP(B266,Nyers!A:H,8,0),"")</f>
        <v>432</v>
      </c>
      <c r="H266">
        <f>_xlfn.IFNA(VLOOKUP(B266,Nyers!A:D,4,0),"")</f>
        <v>731</v>
      </c>
      <c r="I266">
        <f>_xlfn.IFNA(VLOOKUP(B266,Nyers!A:G,7,0),"")</f>
        <v>1973</v>
      </c>
    </row>
    <row r="267" spans="1:9" x14ac:dyDescent="0.25">
      <c r="A267">
        <f t="shared" si="1"/>
        <v>39</v>
      </c>
      <c r="B267" s="41">
        <v>45923</v>
      </c>
      <c r="C267">
        <f>_xlfn.IFNA(VLOOKUP(B267,SZO!A:B,2,0),"")</f>
        <v>0</v>
      </c>
      <c r="D267">
        <f>VLOOKUP(B267,[1]Pivot!$A:$B,2,0)</f>
        <v>522</v>
      </c>
      <c r="E267">
        <f>_xlfn.IFNA(VLOOKUP(B267,Nyers!A:E,5,0),"")</f>
        <v>319</v>
      </c>
      <c r="F267">
        <f>_xlfn.IFNA(VLOOKUP(B267,Nyers!A:F,6,0),"")</f>
        <v>92</v>
      </c>
      <c r="G267">
        <f>_xlfn.IFNA(VLOOKUP(B267,Nyers!A:H,8,0),"")</f>
        <v>406</v>
      </c>
      <c r="H267">
        <f>_xlfn.IFNA(VLOOKUP(B267,Nyers!A:D,4,0),"")</f>
        <v>774</v>
      </c>
      <c r="I267">
        <f>_xlfn.IFNA(VLOOKUP(B267,Nyers!A:G,7,0),"")</f>
        <v>1609</v>
      </c>
    </row>
    <row r="268" spans="1:9" x14ac:dyDescent="0.25">
      <c r="A268">
        <f t="shared" si="1"/>
        <v>39</v>
      </c>
      <c r="B268" s="41">
        <v>45924</v>
      </c>
      <c r="C268">
        <f>_xlfn.IFNA(VLOOKUP(B268,SZO!A:B,2,0),"")</f>
        <v>2907</v>
      </c>
      <c r="D268">
        <f>VLOOKUP(B268,[1]Pivot!$A:$B,2,0)</f>
        <v>627</v>
      </c>
      <c r="E268">
        <f>_xlfn.IFNA(VLOOKUP(B268,Nyers!A:E,5,0),"")</f>
        <v>400</v>
      </c>
      <c r="F268">
        <f>_xlfn.IFNA(VLOOKUP(B268,Nyers!A:F,6,0),"")</f>
        <v>163</v>
      </c>
      <c r="G268">
        <f>_xlfn.IFNA(VLOOKUP(B268,Nyers!A:H,8,0),"")</f>
        <v>460</v>
      </c>
      <c r="H268">
        <f>_xlfn.IFNA(VLOOKUP(B268,Nyers!A:D,4,0),"")</f>
        <v>754</v>
      </c>
      <c r="I268">
        <f>_xlfn.IFNA(VLOOKUP(B268,Nyers!A:G,7,0),"")</f>
        <v>1405</v>
      </c>
    </row>
    <row r="269" spans="1:9" x14ac:dyDescent="0.25">
      <c r="A269">
        <f t="shared" si="1"/>
        <v>39</v>
      </c>
      <c r="B269" s="41">
        <v>45925</v>
      </c>
      <c r="C269">
        <f>_xlfn.IFNA(VLOOKUP(B269,SZO!A:B,2,0),"")</f>
        <v>5235</v>
      </c>
      <c r="D269">
        <f>VLOOKUP(B269,[1]Pivot!$A:$B,2,0)</f>
        <v>638</v>
      </c>
      <c r="E269">
        <f>_xlfn.IFNA(VLOOKUP(B269,Nyers!A:E,5,0),"")</f>
        <v>347</v>
      </c>
      <c r="F269">
        <f>_xlfn.IFNA(VLOOKUP(B269,Nyers!A:F,6,0),"")</f>
        <v>102</v>
      </c>
      <c r="G269">
        <f>_xlfn.IFNA(VLOOKUP(B269,Nyers!A:H,8,0),"")</f>
        <v>332</v>
      </c>
      <c r="H269">
        <f>_xlfn.IFNA(VLOOKUP(B269,Nyers!A:D,4,0),"")</f>
        <v>601</v>
      </c>
      <c r="I269">
        <f>_xlfn.IFNA(VLOOKUP(B269,Nyers!A:G,7,0),"")</f>
        <v>1258</v>
      </c>
    </row>
    <row r="270" spans="1:9" x14ac:dyDescent="0.25">
      <c r="A270">
        <f t="shared" si="1"/>
        <v>39</v>
      </c>
      <c r="B270" s="41">
        <v>45926</v>
      </c>
      <c r="C270">
        <f>_xlfn.IFNA(VLOOKUP(B270,SZO!A:B,2,0),"")</f>
        <v>2167</v>
      </c>
      <c r="D270">
        <f>VLOOKUP(B270,[1]Pivot!$A:$B,2,0)</f>
        <v>576</v>
      </c>
      <c r="E270">
        <f>_xlfn.IFNA(VLOOKUP(B270,Nyers!A:E,5,0),"")</f>
        <v>317</v>
      </c>
      <c r="F270">
        <f>_xlfn.IFNA(VLOOKUP(B270,Nyers!A:F,6,0),"")</f>
        <v>167</v>
      </c>
      <c r="G270">
        <f>_xlfn.IFNA(VLOOKUP(B270,Nyers!A:H,8,0),"")</f>
        <v>341</v>
      </c>
      <c r="H270">
        <f>_xlfn.IFNA(VLOOKUP(B270,Nyers!A:D,4,0),"")</f>
        <v>511</v>
      </c>
      <c r="I270">
        <f>_xlfn.IFNA(VLOOKUP(B270,Nyers!A:G,7,0),"")</f>
        <v>1442</v>
      </c>
    </row>
    <row r="271" spans="1:9" x14ac:dyDescent="0.25">
      <c r="A271">
        <f t="shared" si="1"/>
        <v>39</v>
      </c>
      <c r="B271" s="41">
        <v>45927</v>
      </c>
      <c r="C271" t="str">
        <f>_xlfn.IFNA(VLOOKUP(B271,SZO!A:B,2,0),"")</f>
        <v/>
      </c>
      <c r="D271">
        <f>VLOOKUP(B271,[1]Pivot!$A:$B,2,0)</f>
        <v>77</v>
      </c>
      <c r="E271" t="str">
        <f>_xlfn.IFNA(VLOOKUP(B271,Nyers!A:E,5,0),"")</f>
        <v/>
      </c>
      <c r="F271" t="str">
        <f>_xlfn.IFNA(VLOOKUP(B271,Nyers!A:F,6,0),"")</f>
        <v/>
      </c>
      <c r="G271" t="str">
        <f>_xlfn.IFNA(VLOOKUP(B271,Nyers!A:H,8,0),"")</f>
        <v/>
      </c>
      <c r="H271" t="str">
        <f>_xlfn.IFNA(VLOOKUP(B271,Nyers!A:D,4,0),"")</f>
        <v/>
      </c>
      <c r="I271" t="str">
        <f>_xlfn.IFNA(VLOOKUP(B271,Nyers!A:G,7,0),"")</f>
        <v/>
      </c>
    </row>
    <row r="272" spans="1:9" x14ac:dyDescent="0.25">
      <c r="A272">
        <f t="shared" si="1"/>
        <v>40</v>
      </c>
      <c r="B272" s="41">
        <v>45928</v>
      </c>
      <c r="C272" t="str">
        <f>_xlfn.IFNA(VLOOKUP(B272,SZO!A:B,2,0),"")</f>
        <v/>
      </c>
      <c r="D272">
        <f>VLOOKUP(B272,[1]Pivot!$A:$B,2,0)</f>
        <v>120</v>
      </c>
      <c r="E272" t="str">
        <f>_xlfn.IFNA(VLOOKUP(B272,Nyers!A:E,5,0),"")</f>
        <v/>
      </c>
      <c r="F272" t="str">
        <f>_xlfn.IFNA(VLOOKUP(B272,Nyers!A:F,6,0),"")</f>
        <v/>
      </c>
      <c r="G272" t="str">
        <f>_xlfn.IFNA(VLOOKUP(B272,Nyers!A:H,8,0),"")</f>
        <v/>
      </c>
      <c r="H272" t="str">
        <f>_xlfn.IFNA(VLOOKUP(B272,Nyers!A:D,4,0),"")</f>
        <v/>
      </c>
      <c r="I272" t="str">
        <f>_xlfn.IFNA(VLOOKUP(B272,Nyers!A:G,7,0),"")</f>
        <v/>
      </c>
    </row>
    <row r="273" spans="1:9" x14ac:dyDescent="0.25">
      <c r="A273">
        <f t="shared" si="1"/>
        <v>40</v>
      </c>
      <c r="B273" s="41">
        <v>45929</v>
      </c>
      <c r="C273">
        <f>_xlfn.IFNA(VLOOKUP(B273,SZO!A:B,2,0),"")</f>
        <v>2347</v>
      </c>
      <c r="D273">
        <f>VLOOKUP(B273,[1]Pivot!$A:$B,2,0)</f>
        <v>747</v>
      </c>
      <c r="E273">
        <f>_xlfn.IFNA(VLOOKUP(B273,Nyers!A:E,5,0),"")</f>
        <v>362</v>
      </c>
      <c r="F273">
        <f>_xlfn.IFNA(VLOOKUP(B273,Nyers!A:F,6,0),"")</f>
        <v>166</v>
      </c>
      <c r="G273">
        <f>_xlfn.IFNA(VLOOKUP(B273,Nyers!A:H,8,0),"")</f>
        <v>459</v>
      </c>
      <c r="H273">
        <f>_xlfn.IFNA(VLOOKUP(B273,Nyers!A:D,4,0),"")</f>
        <v>544</v>
      </c>
      <c r="I273">
        <f>_xlfn.IFNA(VLOOKUP(B273,Nyers!A:G,7,0),"")</f>
        <v>1441</v>
      </c>
    </row>
    <row r="274" spans="1:9" x14ac:dyDescent="0.25">
      <c r="A274">
        <f t="shared" si="1"/>
        <v>40</v>
      </c>
      <c r="B274" s="41">
        <v>45930</v>
      </c>
      <c r="C274">
        <f>_xlfn.IFNA(VLOOKUP(B274,SZO!A:B,2,0),"")</f>
        <v>2824</v>
      </c>
      <c r="D274">
        <f>VLOOKUP(B274,[1]Pivot!$A:$B,2,0)</f>
        <v>802</v>
      </c>
      <c r="E274">
        <f>_xlfn.IFNA(VLOOKUP(B274,Nyers!A:E,5,0),"")</f>
        <v>380</v>
      </c>
      <c r="F274">
        <f>_xlfn.IFNA(VLOOKUP(B274,Nyers!A:F,6,0),"")</f>
        <v>189</v>
      </c>
      <c r="G274">
        <f>_xlfn.IFNA(VLOOKUP(B274,Nyers!A:H,8,0),"")</f>
        <v>511</v>
      </c>
      <c r="H274">
        <f>_xlfn.IFNA(VLOOKUP(B274,Nyers!A:D,4,0),"")</f>
        <v>531</v>
      </c>
      <c r="I274">
        <f>_xlfn.IFNA(VLOOKUP(B274,Nyers!A:G,7,0),"")</f>
        <v>1531</v>
      </c>
    </row>
    <row r="275" spans="1:9" x14ac:dyDescent="0.25">
      <c r="A275">
        <f t="shared" si="1"/>
        <v>40</v>
      </c>
      <c r="B275" s="41">
        <v>45931</v>
      </c>
      <c r="C275">
        <f>_xlfn.IFNA(VLOOKUP(B275,SZO!A:B,2,0),"")</f>
        <v>2557</v>
      </c>
      <c r="D275">
        <f>VLOOKUP(B275,[1]Pivot!$A:$B,2,0)</f>
        <v>553</v>
      </c>
      <c r="E275">
        <f>_xlfn.IFNA(VLOOKUP(B275,Nyers!A:E,5,0),"")</f>
        <v>463</v>
      </c>
      <c r="F275">
        <f>_xlfn.IFNA(VLOOKUP(B275,Nyers!A:F,6,0),"")</f>
        <v>189</v>
      </c>
      <c r="G275">
        <f>_xlfn.IFNA(VLOOKUP(B275,Nyers!A:H,8,0),"")</f>
        <v>516</v>
      </c>
      <c r="H275">
        <f>_xlfn.IFNA(VLOOKUP(B275,Nyers!A:D,4,0),"")</f>
        <v>467</v>
      </c>
      <c r="I275">
        <f>_xlfn.IFNA(VLOOKUP(B275,Nyers!A:G,7,0),"")</f>
        <v>1586</v>
      </c>
    </row>
    <row r="276" spans="1:9" x14ac:dyDescent="0.25">
      <c r="A276">
        <f t="shared" si="1"/>
        <v>40</v>
      </c>
      <c r="B276" s="41">
        <v>45932</v>
      </c>
      <c r="C276">
        <f>_xlfn.IFNA(VLOOKUP(B276,SZO!A:B,2,0),"")</f>
        <v>2572</v>
      </c>
      <c r="D276">
        <f>VLOOKUP(B276,[1]Pivot!$A:$B,2,0)</f>
        <v>572</v>
      </c>
      <c r="E276">
        <f>_xlfn.IFNA(VLOOKUP(B276,Nyers!A:E,5,0),"")</f>
        <v>411</v>
      </c>
      <c r="F276">
        <f>_xlfn.IFNA(VLOOKUP(B276,Nyers!A:F,6,0),"")</f>
        <v>144</v>
      </c>
      <c r="G276">
        <f>_xlfn.IFNA(VLOOKUP(B276,Nyers!A:H,8,0),"")</f>
        <v>473</v>
      </c>
      <c r="H276">
        <f>_xlfn.IFNA(VLOOKUP(B276,Nyers!A:D,4,0),"")</f>
        <v>554</v>
      </c>
      <c r="I276">
        <f>_xlfn.IFNA(VLOOKUP(B276,Nyers!A:G,7,0),"")</f>
        <v>1566</v>
      </c>
    </row>
    <row r="277" spans="1:9" x14ac:dyDescent="0.25">
      <c r="A277">
        <f t="shared" si="1"/>
        <v>40</v>
      </c>
      <c r="B277" s="41">
        <v>45933</v>
      </c>
      <c r="C277">
        <f>_xlfn.IFNA(VLOOKUP(B277,SZO!A:B,2,0),"")</f>
        <v>2635</v>
      </c>
      <c r="D277">
        <f>VLOOKUP(B277,[1]Pivot!$A:$B,2,0)</f>
        <v>498</v>
      </c>
      <c r="E277">
        <f>_xlfn.IFNA(VLOOKUP(B277,Nyers!A:E,5,0),"")</f>
        <v>335</v>
      </c>
      <c r="F277">
        <f>_xlfn.IFNA(VLOOKUP(B277,Nyers!A:F,6,0),"")</f>
        <v>189</v>
      </c>
      <c r="G277">
        <f>_xlfn.IFNA(VLOOKUP(B277,Nyers!A:H,8,0),"")</f>
        <v>447</v>
      </c>
      <c r="H277">
        <f>_xlfn.IFNA(VLOOKUP(B277,Nyers!A:D,4,0),"")</f>
        <v>482</v>
      </c>
      <c r="I277">
        <f>_xlfn.IFNA(VLOOKUP(B277,Nyers!A:G,7,0),"")</f>
        <v>1974</v>
      </c>
    </row>
    <row r="278" spans="1:9" x14ac:dyDescent="0.25">
      <c r="A278">
        <f t="shared" si="1"/>
        <v>40</v>
      </c>
      <c r="B278" s="41">
        <v>45934</v>
      </c>
      <c r="C278" t="str">
        <f>_xlfn.IFNA(VLOOKUP(B278,SZO!A:B,2,0),"")</f>
        <v/>
      </c>
      <c r="D278">
        <f>VLOOKUP(B278,[1]Pivot!$A:$B,2,0)</f>
        <v>132</v>
      </c>
      <c r="E278" t="str">
        <f>_xlfn.IFNA(VLOOKUP(B278,Nyers!A:E,5,0),"")</f>
        <v/>
      </c>
      <c r="F278" t="str">
        <f>_xlfn.IFNA(VLOOKUP(B278,Nyers!A:F,6,0),"")</f>
        <v/>
      </c>
      <c r="G278" t="str">
        <f>_xlfn.IFNA(VLOOKUP(B278,Nyers!A:H,8,0),"")</f>
        <v/>
      </c>
      <c r="H278" t="str">
        <f>_xlfn.IFNA(VLOOKUP(B278,Nyers!A:D,4,0),"")</f>
        <v/>
      </c>
      <c r="I278" t="str">
        <f>_xlfn.IFNA(VLOOKUP(B278,Nyers!A:G,7,0),"")</f>
        <v/>
      </c>
    </row>
    <row r="279" spans="1:9" x14ac:dyDescent="0.25">
      <c r="A279">
        <f t="shared" si="1"/>
        <v>41</v>
      </c>
      <c r="B279" s="41">
        <v>45935</v>
      </c>
      <c r="C279" t="str">
        <f>_xlfn.IFNA(VLOOKUP(B279,SZO!A:B,2,0),"")</f>
        <v/>
      </c>
      <c r="D279">
        <f>VLOOKUP(B279,[1]Pivot!$A:$B,2,0)</f>
        <v>153</v>
      </c>
      <c r="E279" t="str">
        <f>_xlfn.IFNA(VLOOKUP(B279,Nyers!A:E,5,0),"")</f>
        <v/>
      </c>
      <c r="F279" t="str">
        <f>_xlfn.IFNA(VLOOKUP(B279,Nyers!A:F,6,0),"")</f>
        <v/>
      </c>
      <c r="G279" t="str">
        <f>_xlfn.IFNA(VLOOKUP(B279,Nyers!A:H,8,0),"")</f>
        <v/>
      </c>
      <c r="H279" t="str">
        <f>_xlfn.IFNA(VLOOKUP(B279,Nyers!A:D,4,0),"")</f>
        <v/>
      </c>
      <c r="I279" t="str">
        <f>_xlfn.IFNA(VLOOKUP(B279,Nyers!A:G,7,0),"")</f>
        <v/>
      </c>
    </row>
    <row r="280" spans="1:9" x14ac:dyDescent="0.25">
      <c r="A280">
        <f t="shared" si="1"/>
        <v>41</v>
      </c>
      <c r="B280" s="41">
        <v>45936</v>
      </c>
      <c r="C280">
        <f>_xlfn.IFNA(VLOOKUP(B280,SZO!A:B,2,0),"")</f>
        <v>0</v>
      </c>
      <c r="D280">
        <f>VLOOKUP(B280,[1]Pivot!$A:$B,2,0)</f>
        <v>629</v>
      </c>
      <c r="E280">
        <f>_xlfn.IFNA(VLOOKUP(B280,Nyers!A:E,5,0),"")</f>
        <v>497</v>
      </c>
      <c r="F280">
        <f>_xlfn.IFNA(VLOOKUP(B280,Nyers!A:F,6,0),"")</f>
        <v>199</v>
      </c>
      <c r="G280">
        <f>_xlfn.IFNA(VLOOKUP(B280,Nyers!A:H,8,0),"")</f>
        <v>586</v>
      </c>
      <c r="H280">
        <f>_xlfn.IFNA(VLOOKUP(B280,Nyers!A:D,4,0),"")</f>
        <v>557</v>
      </c>
      <c r="I280">
        <f>_xlfn.IFNA(VLOOKUP(B280,Nyers!A:G,7,0),"")</f>
        <v>2160</v>
      </c>
    </row>
    <row r="281" spans="1:9" x14ac:dyDescent="0.25">
      <c r="A281">
        <f t="shared" si="1"/>
        <v>41</v>
      </c>
      <c r="B281" s="41">
        <v>45937</v>
      </c>
      <c r="C281">
        <f>_xlfn.IFNA(VLOOKUP(B281,SZO!A:B,2,0),"")</f>
        <v>0</v>
      </c>
      <c r="D281">
        <f>VLOOKUP(B281,[1]Pivot!$A:$B,2,0)</f>
        <v>538</v>
      </c>
      <c r="E281">
        <f>_xlfn.IFNA(VLOOKUP(B281,Nyers!A:E,5,0),"")</f>
        <v>432</v>
      </c>
      <c r="F281">
        <f>_xlfn.IFNA(VLOOKUP(B281,Nyers!A:F,6,0),"")</f>
        <v>171</v>
      </c>
      <c r="G281">
        <f>_xlfn.IFNA(VLOOKUP(B281,Nyers!A:H,8,0),"")</f>
        <v>500</v>
      </c>
      <c r="H281">
        <f>_xlfn.IFNA(VLOOKUP(B281,Nyers!A:D,4,0),"")</f>
        <v>554</v>
      </c>
      <c r="I281">
        <f>_xlfn.IFNA(VLOOKUP(B281,Nyers!A:G,7,0),"")</f>
        <v>2194</v>
      </c>
    </row>
    <row r="282" spans="1:9" x14ac:dyDescent="0.25">
      <c r="A282">
        <f t="shared" si="1"/>
        <v>41</v>
      </c>
      <c r="B282" s="41">
        <v>45938</v>
      </c>
      <c r="C282">
        <f>_xlfn.IFNA(VLOOKUP(B282,SZO!A:B,2,0),"")</f>
        <v>216</v>
      </c>
      <c r="D282">
        <f>VLOOKUP(B282,[1]Pivot!$A:$B,2,0)</f>
        <v>576</v>
      </c>
      <c r="E282">
        <f>_xlfn.IFNA(VLOOKUP(B282,Nyers!A:E,5,0),"")</f>
        <v>491</v>
      </c>
      <c r="F282">
        <f>_xlfn.IFNA(VLOOKUP(B282,Nyers!A:F,6,0),"")</f>
        <v>166</v>
      </c>
      <c r="G282">
        <f>_xlfn.IFNA(VLOOKUP(B282,Nyers!A:H,8,0),"")</f>
        <v>491</v>
      </c>
      <c r="H282">
        <f>_xlfn.IFNA(VLOOKUP(B282,Nyers!A:D,4,0),"")</f>
        <v>505</v>
      </c>
      <c r="I282">
        <f>_xlfn.IFNA(VLOOKUP(B282,Nyers!A:G,7,0),"")</f>
        <v>2383</v>
      </c>
    </row>
    <row r="283" spans="1:9" x14ac:dyDescent="0.25">
      <c r="A283">
        <f t="shared" si="1"/>
        <v>41</v>
      </c>
      <c r="B283" s="41">
        <v>45939</v>
      </c>
      <c r="C283">
        <f>_xlfn.IFNA(VLOOKUP(B283,SZO!A:B,2,0),"")</f>
        <v>2267</v>
      </c>
      <c r="D283">
        <f>VLOOKUP(B283,[1]Pivot!$A:$B,2,0)</f>
        <v>433</v>
      </c>
      <c r="E283">
        <f>_xlfn.IFNA(VLOOKUP(B283,Nyers!A:E,5,0),"")</f>
        <v>348</v>
      </c>
      <c r="F283">
        <f>_xlfn.IFNA(VLOOKUP(B283,Nyers!A:F,6,0),"")</f>
        <v>95</v>
      </c>
      <c r="G283">
        <f>_xlfn.IFNA(VLOOKUP(B283,Nyers!A:H,8,0),"")</f>
        <v>345</v>
      </c>
      <c r="H283">
        <f>_xlfn.IFNA(VLOOKUP(B283,Nyers!A:D,4,0),"")</f>
        <v>442</v>
      </c>
      <c r="I283">
        <f>_xlfn.IFNA(VLOOKUP(B283,Nyers!A:G,7,0),"")</f>
        <v>2426</v>
      </c>
    </row>
    <row r="284" spans="1:9" x14ac:dyDescent="0.25">
      <c r="A284">
        <f t="shared" si="1"/>
        <v>41</v>
      </c>
      <c r="B284" s="41">
        <v>45940</v>
      </c>
      <c r="C284">
        <f>_xlfn.IFNA(VLOOKUP(B284,SZO!A:B,2,0),"")</f>
        <v>3574</v>
      </c>
      <c r="D284">
        <f>VLOOKUP(B284,[1]Pivot!$A:$B,2,0)</f>
        <v>409</v>
      </c>
      <c r="E284">
        <f>_xlfn.IFNA(VLOOKUP(B284,Nyers!A:E,5,0),"")</f>
        <v>371</v>
      </c>
      <c r="F284">
        <f>_xlfn.IFNA(VLOOKUP(B284,Nyers!A:F,6,0),"")</f>
        <v>171</v>
      </c>
      <c r="G284">
        <f>_xlfn.IFNA(VLOOKUP(B284,Nyers!A:H,8,0),"")</f>
        <v>342</v>
      </c>
      <c r="H284">
        <f>_xlfn.IFNA(VLOOKUP(B284,Nyers!A:D,4,0),"")</f>
        <v>449</v>
      </c>
      <c r="I284">
        <f>_xlfn.IFNA(VLOOKUP(B284,Nyers!A:G,7,0),"")</f>
        <v>2720</v>
      </c>
    </row>
    <row r="285" spans="1:9" x14ac:dyDescent="0.25">
      <c r="A285">
        <f t="shared" si="1"/>
        <v>41</v>
      </c>
      <c r="B285" s="41">
        <v>45941</v>
      </c>
      <c r="C285" t="str">
        <f>_xlfn.IFNA(VLOOKUP(B285,SZO!A:B,2,0),"")</f>
        <v/>
      </c>
      <c r="D285">
        <f>VLOOKUP(B285,[1]Pivot!$A:$B,2,0)</f>
        <v>77</v>
      </c>
      <c r="E285" t="str">
        <f>_xlfn.IFNA(VLOOKUP(B285,Nyers!A:E,5,0),"")</f>
        <v/>
      </c>
      <c r="F285" t="str">
        <f>_xlfn.IFNA(VLOOKUP(B285,Nyers!A:F,6,0),"")</f>
        <v/>
      </c>
      <c r="G285" t="str">
        <f>_xlfn.IFNA(VLOOKUP(B285,Nyers!A:H,8,0),"")</f>
        <v/>
      </c>
      <c r="H285" t="str">
        <f>_xlfn.IFNA(VLOOKUP(B285,Nyers!A:D,4,0),"")</f>
        <v/>
      </c>
      <c r="I285" t="str">
        <f>_xlfn.IFNA(VLOOKUP(B285,Nyers!A:G,7,0),"")</f>
        <v/>
      </c>
    </row>
    <row r="286" spans="1:9" x14ac:dyDescent="0.25">
      <c r="A286">
        <f t="shared" si="1"/>
        <v>42</v>
      </c>
      <c r="B286" s="41">
        <v>45942</v>
      </c>
      <c r="C286" t="str">
        <f>_xlfn.IFNA(VLOOKUP(B286,SZO!A:B,2,0),"")</f>
        <v/>
      </c>
      <c r="D286">
        <f>VLOOKUP(B286,[1]Pivot!$A:$B,2,0)</f>
        <v>102</v>
      </c>
      <c r="E286" t="str">
        <f>_xlfn.IFNA(VLOOKUP(B286,Nyers!A:E,5,0),"")</f>
        <v/>
      </c>
      <c r="F286" t="str">
        <f>_xlfn.IFNA(VLOOKUP(B286,Nyers!A:F,6,0),"")</f>
        <v/>
      </c>
      <c r="G286" t="str">
        <f>_xlfn.IFNA(VLOOKUP(B286,Nyers!A:H,8,0),"")</f>
        <v/>
      </c>
      <c r="H286" t="str">
        <f>_xlfn.IFNA(VLOOKUP(B286,Nyers!A:D,4,0),"")</f>
        <v/>
      </c>
      <c r="I286" t="str">
        <f>_xlfn.IFNA(VLOOKUP(B286,Nyers!A:G,7,0),"")</f>
        <v/>
      </c>
    </row>
    <row r="287" spans="1:9" x14ac:dyDescent="0.25">
      <c r="A287">
        <f t="shared" si="1"/>
        <v>42</v>
      </c>
      <c r="B287" s="41">
        <v>45943</v>
      </c>
      <c r="C287">
        <f>_xlfn.IFNA(VLOOKUP(B287,SZO!A:B,2,0),"")</f>
        <v>2839</v>
      </c>
      <c r="D287">
        <f>VLOOKUP(B287,[1]Pivot!$A:$B,2,0)</f>
        <v>492</v>
      </c>
      <c r="E287">
        <f>_xlfn.IFNA(VLOOKUP(B287,Nyers!A:E,5,0),"")</f>
        <v>382</v>
      </c>
      <c r="F287">
        <f>_xlfn.IFNA(VLOOKUP(B287,Nyers!A:F,6,0),"")</f>
        <v>147</v>
      </c>
      <c r="G287">
        <f>_xlfn.IFNA(VLOOKUP(B287,Nyers!A:H,8,0),"")</f>
        <v>387</v>
      </c>
      <c r="H287">
        <f>_xlfn.IFNA(VLOOKUP(B287,Nyers!A:D,4,0),"")</f>
        <v>647</v>
      </c>
      <c r="I287">
        <f>_xlfn.IFNA(VLOOKUP(B287,Nyers!A:G,7,0),"")</f>
        <v>2576</v>
      </c>
    </row>
    <row r="288" spans="1:9" x14ac:dyDescent="0.25">
      <c r="A288">
        <f t="shared" si="1"/>
        <v>42</v>
      </c>
      <c r="B288" s="41">
        <v>45944</v>
      </c>
      <c r="C288">
        <f>_xlfn.IFNA(VLOOKUP(B288,SZO!A:B,2,0),"")</f>
        <v>2888</v>
      </c>
      <c r="D288">
        <f>VLOOKUP(B288,[1]Pivot!$A:$B,2,0)</f>
        <v>567</v>
      </c>
      <c r="E288">
        <f>_xlfn.IFNA(VLOOKUP(B288,Nyers!A:E,5,0),"")</f>
        <v>364</v>
      </c>
      <c r="F288">
        <f>_xlfn.IFNA(VLOOKUP(B288,Nyers!A:F,6,0),"")</f>
        <v>173</v>
      </c>
      <c r="G288">
        <f>_xlfn.IFNA(VLOOKUP(B288,Nyers!A:H,8,0),"")</f>
        <v>420</v>
      </c>
      <c r="H288">
        <f>_xlfn.IFNA(VLOOKUP(B288,Nyers!A:D,4,0),"")</f>
        <v>693</v>
      </c>
      <c r="I288">
        <f>_xlfn.IFNA(VLOOKUP(B288,Nyers!A:G,7,0),"")</f>
        <v>2483</v>
      </c>
    </row>
    <row r="289" spans="1:9" x14ac:dyDescent="0.25">
      <c r="A289">
        <f t="shared" si="1"/>
        <v>42</v>
      </c>
      <c r="B289" s="41">
        <v>45945</v>
      </c>
      <c r="C289">
        <f>_xlfn.IFNA(VLOOKUP(B289,SZO!A:B,2,0),"")</f>
        <v>2636</v>
      </c>
      <c r="D289">
        <f>VLOOKUP(B289,[1]Pivot!$A:$B,2,0)</f>
        <v>603</v>
      </c>
      <c r="E289">
        <f>_xlfn.IFNA(VLOOKUP(B289,Nyers!A:E,5,0),"")</f>
        <v>492</v>
      </c>
      <c r="F289">
        <f>_xlfn.IFNA(VLOOKUP(B289,Nyers!A:F,6,0),"")</f>
        <v>173</v>
      </c>
      <c r="G289">
        <f>_xlfn.IFNA(VLOOKUP(B289,Nyers!A:H,8,0),"")</f>
        <v>553</v>
      </c>
      <c r="H289">
        <f>_xlfn.IFNA(VLOOKUP(B289,Nyers!A:D,4,0),"")</f>
        <v>758</v>
      </c>
      <c r="I289">
        <f>_xlfn.IFNA(VLOOKUP(B289,Nyers!A:G,7,0),"")</f>
        <v>2348</v>
      </c>
    </row>
    <row r="290" spans="1:9" x14ac:dyDescent="0.25">
      <c r="A290">
        <f t="shared" si="1"/>
        <v>42</v>
      </c>
      <c r="B290" s="41">
        <v>45946</v>
      </c>
      <c r="C290">
        <f>_xlfn.IFNA(VLOOKUP(B290,SZO!A:B,2,0),"")</f>
        <v>2643</v>
      </c>
      <c r="D290">
        <f>VLOOKUP(B290,[1]Pivot!$A:$B,2,0)</f>
        <v>556</v>
      </c>
      <c r="E290">
        <f>_xlfn.IFNA(VLOOKUP(B290,Nyers!A:E,5,0),"")</f>
        <v>443</v>
      </c>
      <c r="F290">
        <f>_xlfn.IFNA(VLOOKUP(B290,Nyers!A:F,6,0),"")</f>
        <v>156</v>
      </c>
      <c r="G290">
        <f>_xlfn.IFNA(VLOOKUP(B290,Nyers!A:H,8,0),"")</f>
        <v>408</v>
      </c>
      <c r="H290">
        <f>_xlfn.IFNA(VLOOKUP(B290,Nyers!A:D,4,0),"")</f>
        <v>588</v>
      </c>
      <c r="I290">
        <f>_xlfn.IFNA(VLOOKUP(B290,Nyers!A:G,7,0),"")</f>
        <v>2393</v>
      </c>
    </row>
    <row r="291" spans="1:9" x14ac:dyDescent="0.25">
      <c r="A291">
        <f t="shared" si="1"/>
        <v>42</v>
      </c>
      <c r="B291" s="41">
        <v>45947</v>
      </c>
      <c r="C291">
        <f>_xlfn.IFNA(VLOOKUP(B291,SZO!A:B,2,0),"")</f>
        <v>0</v>
      </c>
      <c r="D291">
        <f>VLOOKUP(B291,[1]Pivot!$A:$B,2,0)</f>
        <v>464</v>
      </c>
      <c r="E291">
        <f>_xlfn.IFNA(VLOOKUP(B291,Nyers!A:E,5,0),"")</f>
        <v>317</v>
      </c>
      <c r="F291">
        <f>_xlfn.IFNA(VLOOKUP(B291,Nyers!A:F,6,0),"")</f>
        <v>141</v>
      </c>
      <c r="G291">
        <f>_xlfn.IFNA(VLOOKUP(B291,Nyers!A:H,8,0),"")</f>
        <v>440</v>
      </c>
      <c r="H291">
        <f>_xlfn.IFNA(VLOOKUP(B291,Nyers!A:D,4,0),"")</f>
        <v>525</v>
      </c>
      <c r="I291">
        <f>_xlfn.IFNA(VLOOKUP(B291,Nyers!A:G,7,0),"")</f>
        <v>2360</v>
      </c>
    </row>
    <row r="292" spans="1:9" x14ac:dyDescent="0.25">
      <c r="A292">
        <f t="shared" si="1"/>
        <v>42</v>
      </c>
      <c r="B292" s="41">
        <v>45948</v>
      </c>
      <c r="C292">
        <f>_xlfn.IFNA(VLOOKUP(B292,SZO!A:B,2,0),"")</f>
        <v>0</v>
      </c>
      <c r="D292">
        <f>VLOOKUP(B292,[1]Pivot!$A:$B,2,0)</f>
        <v>240</v>
      </c>
      <c r="E292">
        <f>_xlfn.IFNA(VLOOKUP(B292,Nyers!A:E,5,0),"")</f>
        <v>181</v>
      </c>
      <c r="F292">
        <f>_xlfn.IFNA(VLOOKUP(B292,Nyers!A:F,6,0),"")</f>
        <v>117</v>
      </c>
      <c r="G292">
        <f>_xlfn.IFNA(VLOOKUP(B292,Nyers!A:H,8,0),"")</f>
        <v>163</v>
      </c>
      <c r="H292">
        <f>_xlfn.IFNA(VLOOKUP(B292,Nyers!A:D,4,0),"")</f>
        <v>550</v>
      </c>
      <c r="I292">
        <f>_xlfn.IFNA(VLOOKUP(B292,Nyers!A:G,7,0),"")</f>
        <v>2278</v>
      </c>
    </row>
    <row r="293" spans="1:9" x14ac:dyDescent="0.25">
      <c r="A293">
        <f t="shared" si="1"/>
        <v>43</v>
      </c>
      <c r="B293" s="41">
        <v>45949</v>
      </c>
      <c r="C293" t="str">
        <f>_xlfn.IFNA(VLOOKUP(B293,SZO!A:B,2,0),"")</f>
        <v/>
      </c>
      <c r="D293">
        <f>VLOOKUP(B293,[1]Pivot!$A:$B,2,0)</f>
        <v>155</v>
      </c>
      <c r="E293" t="str">
        <f>_xlfn.IFNA(VLOOKUP(B293,Nyers!A:E,5,0),"")</f>
        <v/>
      </c>
      <c r="F293" t="str">
        <f>_xlfn.IFNA(VLOOKUP(B293,Nyers!A:F,6,0),"")</f>
        <v/>
      </c>
      <c r="G293" t="str">
        <f>_xlfn.IFNA(VLOOKUP(B293,Nyers!A:H,8,0),"")</f>
        <v/>
      </c>
      <c r="H293" t="str">
        <f>_xlfn.IFNA(VLOOKUP(B293,Nyers!A:D,4,0),"")</f>
        <v/>
      </c>
      <c r="I293" t="str">
        <f>_xlfn.IFNA(VLOOKUP(B293,Nyers!A:G,7,0),"")</f>
        <v/>
      </c>
    </row>
    <row r="294" spans="1:9" x14ac:dyDescent="0.25">
      <c r="A294">
        <f t="shared" si="1"/>
        <v>43</v>
      </c>
      <c r="B294" s="41">
        <v>45950</v>
      </c>
      <c r="C294">
        <f>_xlfn.IFNA(VLOOKUP(B294,SZO!A:B,2,0),"")</f>
        <v>0</v>
      </c>
      <c r="D294">
        <f>VLOOKUP(B294,[1]Pivot!$A:$B,2,0)</f>
        <v>567</v>
      </c>
      <c r="E294">
        <f>_xlfn.IFNA(VLOOKUP(B294,Nyers!A:E,5,0),"")</f>
        <v>418</v>
      </c>
      <c r="F294">
        <f>_xlfn.IFNA(VLOOKUP(B294,Nyers!A:F,6,0),"")</f>
        <v>136</v>
      </c>
      <c r="G294">
        <f>_xlfn.IFNA(VLOOKUP(B294,Nyers!A:H,8,0),"")</f>
        <v>547</v>
      </c>
      <c r="H294">
        <f>_xlfn.IFNA(VLOOKUP(B294,Nyers!A:D,4,0),"")</f>
        <v>541</v>
      </c>
      <c r="I294">
        <f>_xlfn.IFNA(VLOOKUP(B294,Nyers!A:G,7,0),"")</f>
        <v>2309</v>
      </c>
    </row>
    <row r="295" spans="1:9" x14ac:dyDescent="0.25">
      <c r="A295">
        <f t="shared" si="1"/>
        <v>43</v>
      </c>
      <c r="B295" s="41">
        <v>45951</v>
      </c>
      <c r="C295">
        <f>_xlfn.IFNA(VLOOKUP(B295,SZO!A:B,2,0),"")</f>
        <v>335</v>
      </c>
      <c r="D295">
        <f>VLOOKUP(B295,[1]Pivot!$A:$B,2,0)</f>
        <v>479</v>
      </c>
      <c r="E295">
        <f>_xlfn.IFNA(VLOOKUP(B295,Nyers!A:E,5,0),"")</f>
        <v>390</v>
      </c>
      <c r="F295">
        <f>_xlfn.IFNA(VLOOKUP(B295,Nyers!A:F,6,0),"")</f>
        <v>157</v>
      </c>
      <c r="G295">
        <f>_xlfn.IFNA(VLOOKUP(B295,Nyers!A:H,8,0),"")</f>
        <v>436</v>
      </c>
      <c r="H295">
        <f>_xlfn.IFNA(VLOOKUP(B295,Nyers!A:D,4,0),"")</f>
        <v>499</v>
      </c>
      <c r="I295">
        <f>_xlfn.IFNA(VLOOKUP(B295,Nyers!A:G,7,0),"")</f>
        <v>2359</v>
      </c>
    </row>
    <row r="296" spans="1:9" x14ac:dyDescent="0.25">
      <c r="A296">
        <f t="shared" si="1"/>
        <v>43</v>
      </c>
      <c r="B296" s="41">
        <v>45952</v>
      </c>
      <c r="C296">
        <f>_xlfn.IFNA(VLOOKUP(B296,SZO!A:B,2,0),"")</f>
        <v>0</v>
      </c>
      <c r="D296">
        <f>VLOOKUP(B296,[1]Pivot!$A:$B,2,0)</f>
        <v>383</v>
      </c>
      <c r="E296">
        <f>_xlfn.IFNA(VLOOKUP(B296,Nyers!A:E,5,0),"")</f>
        <v>520</v>
      </c>
      <c r="F296">
        <f>_xlfn.IFNA(VLOOKUP(B296,Nyers!A:F,6,0),"")</f>
        <v>222</v>
      </c>
      <c r="G296">
        <f>_xlfn.IFNA(VLOOKUP(B296,Nyers!A:H,8,0),"")</f>
        <v>439</v>
      </c>
      <c r="H296">
        <f>_xlfn.IFNA(VLOOKUP(B296,Nyers!A:D,4,0),"")</f>
        <v>591</v>
      </c>
      <c r="I296">
        <f>_xlfn.IFNA(VLOOKUP(B296,Nyers!A:G,7,0),"")</f>
        <v>2733</v>
      </c>
    </row>
    <row r="297" spans="1:9" x14ac:dyDescent="0.25">
      <c r="A297">
        <f t="shared" si="1"/>
        <v>43</v>
      </c>
      <c r="B297" s="41">
        <v>45953</v>
      </c>
      <c r="C297">
        <f>_xlfn.IFNA(VLOOKUP(B297,SZO!A:B,2,0),"")</f>
        <v>0</v>
      </c>
      <c r="D297">
        <f>VLOOKUP(B297,[1]Pivot!$A:$B,2,0)</f>
        <v>134</v>
      </c>
      <c r="E297" t="str">
        <f>_xlfn.IFNA(VLOOKUP(B297,Nyers!A:E,5,0),"")</f>
        <v/>
      </c>
      <c r="F297" t="str">
        <f>_xlfn.IFNA(VLOOKUP(B297,Nyers!A:F,6,0),"")</f>
        <v/>
      </c>
      <c r="G297" t="str">
        <f>_xlfn.IFNA(VLOOKUP(B297,Nyers!A:H,8,0),"")</f>
        <v/>
      </c>
      <c r="H297" t="str">
        <f>_xlfn.IFNA(VLOOKUP(B297,Nyers!A:D,4,0),"")</f>
        <v/>
      </c>
      <c r="I297" t="str">
        <f>_xlfn.IFNA(VLOOKUP(B297,Nyers!A:G,7,0),"")</f>
        <v/>
      </c>
    </row>
    <row r="298" spans="1:9" x14ac:dyDescent="0.25">
      <c r="A298">
        <f t="shared" si="1"/>
        <v>43</v>
      </c>
      <c r="B298" s="41">
        <v>45954</v>
      </c>
      <c r="C298">
        <f>_xlfn.IFNA(VLOOKUP(B298,SZO!A:B,2,0),"")</f>
        <v>0</v>
      </c>
      <c r="D298">
        <f>VLOOKUP(B298,[1]Pivot!$A:$B,2,0)</f>
        <v>136</v>
      </c>
      <c r="E298" t="str">
        <f>_xlfn.IFNA(VLOOKUP(B298,Nyers!A:E,5,0),"")</f>
        <v/>
      </c>
      <c r="F298" t="str">
        <f>_xlfn.IFNA(VLOOKUP(B298,Nyers!A:F,6,0),"")</f>
        <v/>
      </c>
      <c r="G298" t="str">
        <f>_xlfn.IFNA(VLOOKUP(B298,Nyers!A:H,8,0),"")</f>
        <v/>
      </c>
      <c r="H298" t="str">
        <f>_xlfn.IFNA(VLOOKUP(B298,Nyers!A:D,4,0),"")</f>
        <v/>
      </c>
      <c r="I298" t="str">
        <f>_xlfn.IFNA(VLOOKUP(B298,Nyers!A:G,7,0),"")</f>
        <v/>
      </c>
    </row>
    <row r="299" spans="1:9" x14ac:dyDescent="0.25">
      <c r="A299">
        <f t="shared" si="1"/>
        <v>43</v>
      </c>
      <c r="B299" s="41">
        <v>45955</v>
      </c>
      <c r="C299" t="str">
        <f>_xlfn.IFNA(VLOOKUP(B299,SZO!A:B,2,0),"")</f>
        <v/>
      </c>
      <c r="D299">
        <f>VLOOKUP(B299,[1]Pivot!$A:$B,2,0)</f>
        <v>73</v>
      </c>
      <c r="E299" t="str">
        <f>_xlfn.IFNA(VLOOKUP(B299,Nyers!A:E,5,0),"")</f>
        <v/>
      </c>
      <c r="F299" t="str">
        <f>_xlfn.IFNA(VLOOKUP(B299,Nyers!A:F,6,0),"")</f>
        <v/>
      </c>
      <c r="G299" t="str">
        <f>_xlfn.IFNA(VLOOKUP(B299,Nyers!A:H,8,0),"")</f>
        <v/>
      </c>
      <c r="H299" t="str">
        <f>_xlfn.IFNA(VLOOKUP(B299,Nyers!A:D,4,0),"")</f>
        <v/>
      </c>
      <c r="I299" t="str">
        <f>_xlfn.IFNA(VLOOKUP(B299,Nyers!A:G,7,0),"")</f>
        <v/>
      </c>
    </row>
    <row r="300" spans="1:9" x14ac:dyDescent="0.25">
      <c r="A300">
        <f t="shared" si="1"/>
        <v>44</v>
      </c>
      <c r="B300" s="41">
        <v>45956</v>
      </c>
      <c r="C300" t="str">
        <f>_xlfn.IFNA(VLOOKUP(B300,SZO!A:B,2,0),"")</f>
        <v/>
      </c>
      <c r="D300">
        <f>VLOOKUP(B300,[1]Pivot!$A:$B,2,0)</f>
        <v>108</v>
      </c>
      <c r="E300" t="str">
        <f>_xlfn.IFNA(VLOOKUP(B300,Nyers!A:E,5,0),"")</f>
        <v/>
      </c>
      <c r="F300" t="str">
        <f>_xlfn.IFNA(VLOOKUP(B300,Nyers!A:F,6,0),"")</f>
        <v/>
      </c>
      <c r="G300" t="str">
        <f>_xlfn.IFNA(VLOOKUP(B300,Nyers!A:H,8,0),"")</f>
        <v/>
      </c>
      <c r="H300" t="str">
        <f>_xlfn.IFNA(VLOOKUP(B300,Nyers!A:D,4,0),"")</f>
        <v/>
      </c>
      <c r="I300" t="str">
        <f>_xlfn.IFNA(VLOOKUP(B300,Nyers!A:G,7,0),"")</f>
        <v/>
      </c>
    </row>
    <row r="301" spans="1:9" x14ac:dyDescent="0.25">
      <c r="A301">
        <f t="shared" si="1"/>
        <v>44</v>
      </c>
      <c r="B301" s="41">
        <v>45957</v>
      </c>
      <c r="C301">
        <f>_xlfn.IFNA(VLOOKUP(B301,SZO!A:B,2,0),"")</f>
        <v>0</v>
      </c>
      <c r="D301">
        <f>VLOOKUP(B301,[1]Pivot!$A:$B,2,0)</f>
        <v>532</v>
      </c>
      <c r="E301">
        <f>_xlfn.IFNA(VLOOKUP(B301,Nyers!A:E,5,0),"")</f>
        <v>403</v>
      </c>
      <c r="F301">
        <f>_xlfn.IFNA(VLOOKUP(B301,Nyers!A:F,6,0),"")</f>
        <v>144</v>
      </c>
      <c r="G301">
        <f>_xlfn.IFNA(VLOOKUP(B301,Nyers!A:H,8,0),"")</f>
        <v>455</v>
      </c>
      <c r="H301">
        <f>_xlfn.IFNA(VLOOKUP(B301,Nyers!A:D,4,0),"")</f>
        <v>529</v>
      </c>
      <c r="I301">
        <f>_xlfn.IFNA(VLOOKUP(B301,Nyers!A:G,7,0),"")</f>
        <v>2723</v>
      </c>
    </row>
    <row r="302" spans="1:9" x14ac:dyDescent="0.25">
      <c r="A302">
        <f t="shared" si="1"/>
        <v>44</v>
      </c>
      <c r="B302" s="41">
        <v>45958</v>
      </c>
      <c r="C302">
        <f>_xlfn.IFNA(VLOOKUP(B302,SZO!A:B,2,0),"")</f>
        <v>2044</v>
      </c>
      <c r="D302">
        <f>VLOOKUP(B302,[1]Pivot!$A:$B,2,0)</f>
        <v>396</v>
      </c>
      <c r="E302">
        <f>_xlfn.IFNA(VLOOKUP(B302,Nyers!A:E,5,0),"")</f>
        <v>306</v>
      </c>
      <c r="F302">
        <f>_xlfn.IFNA(VLOOKUP(B302,Nyers!A:F,6,0),"")</f>
        <v>134</v>
      </c>
      <c r="G302">
        <f>_xlfn.IFNA(VLOOKUP(B302,Nyers!A:H,8,0),"")</f>
        <v>326</v>
      </c>
      <c r="H302">
        <f>_xlfn.IFNA(VLOOKUP(B302,Nyers!A:D,4,0),"")</f>
        <v>509</v>
      </c>
      <c r="I302">
        <f>_xlfn.IFNA(VLOOKUP(B302,Nyers!A:G,7,0),"")</f>
        <v>2604</v>
      </c>
    </row>
    <row r="303" spans="1:9" x14ac:dyDescent="0.25">
      <c r="A303">
        <f t="shared" si="1"/>
        <v>44</v>
      </c>
      <c r="B303" s="41">
        <v>45959</v>
      </c>
      <c r="C303">
        <f>_xlfn.IFNA(VLOOKUP(B303,SZO!A:B,2,0),"")</f>
        <v>2943</v>
      </c>
      <c r="D303">
        <f>VLOOKUP(B303,[1]Pivot!$A:$B,2,0)</f>
        <v>399</v>
      </c>
      <c r="E303">
        <f>_xlfn.IFNA(VLOOKUP(B303,Nyers!A:E,5,0),"")</f>
        <v>332</v>
      </c>
      <c r="F303">
        <f>_xlfn.IFNA(VLOOKUP(B303,Nyers!A:F,6,0),"")</f>
        <v>140</v>
      </c>
      <c r="G303">
        <f>_xlfn.IFNA(VLOOKUP(B303,Nyers!A:H,8,0),"")</f>
        <v>355</v>
      </c>
      <c r="H303">
        <f>_xlfn.IFNA(VLOOKUP(B303,Nyers!A:D,4,0),"")</f>
        <v>580</v>
      </c>
      <c r="I303">
        <f>_xlfn.IFNA(VLOOKUP(B303,Nyers!A:G,7,0),"")</f>
        <v>2463</v>
      </c>
    </row>
    <row r="304" spans="1:9" x14ac:dyDescent="0.25">
      <c r="A304">
        <f t="shared" si="1"/>
        <v>44</v>
      </c>
      <c r="B304" s="41">
        <v>45960</v>
      </c>
      <c r="C304">
        <f>_xlfn.IFNA(VLOOKUP(B304,SZO!A:B,2,0),"")</f>
        <v>2226</v>
      </c>
      <c r="D304">
        <f>VLOOKUP(B304,[1]Pivot!$A:$B,2,0)</f>
        <v>308</v>
      </c>
      <c r="E304">
        <f>_xlfn.IFNA(VLOOKUP(B304,Nyers!A:E,5,0),"")</f>
        <v>292</v>
      </c>
      <c r="F304">
        <f>_xlfn.IFNA(VLOOKUP(B304,Nyers!A:F,6,0),"")</f>
        <v>93</v>
      </c>
      <c r="G304">
        <f>_xlfn.IFNA(VLOOKUP(B304,Nyers!A:H,8,0),"")</f>
        <v>290</v>
      </c>
      <c r="H304">
        <f>_xlfn.IFNA(VLOOKUP(B304,Nyers!A:D,4,0),"")</f>
        <v>654</v>
      </c>
      <c r="I304">
        <f>_xlfn.IFNA(VLOOKUP(B304,Nyers!A:G,7,0),"")</f>
        <v>2068</v>
      </c>
    </row>
    <row r="305" spans="1:9" x14ac:dyDescent="0.25">
      <c r="A305">
        <f t="shared" si="1"/>
        <v>44</v>
      </c>
      <c r="B305" s="41">
        <v>45961</v>
      </c>
      <c r="C305">
        <f>_xlfn.IFNA(VLOOKUP(B305,SZO!A:B,2,0),"")</f>
        <v>2463</v>
      </c>
      <c r="D305">
        <f>VLOOKUP(B305,[1]Pivot!$A:$B,2,0)</f>
        <v>393</v>
      </c>
      <c r="E305">
        <f>_xlfn.IFNA(VLOOKUP(B305,Nyers!A:E,5,0),"")</f>
        <v>275</v>
      </c>
      <c r="F305">
        <f>_xlfn.IFNA(VLOOKUP(B305,Nyers!A:F,6,0),"")</f>
        <v>115</v>
      </c>
      <c r="G305">
        <f>_xlfn.IFNA(VLOOKUP(B305,Nyers!A:H,8,0),"")</f>
        <v>307</v>
      </c>
      <c r="H305">
        <f>_xlfn.IFNA(VLOOKUP(B305,Nyers!A:D,4,0),"")</f>
        <v>448</v>
      </c>
      <c r="I305">
        <f>_xlfn.IFNA(VLOOKUP(B305,Nyers!A:G,7,0),"")</f>
        <v>2248</v>
      </c>
    </row>
    <row r="306" spans="1:9" x14ac:dyDescent="0.25">
      <c r="A306">
        <f t="shared" si="1"/>
        <v>44</v>
      </c>
      <c r="B306" s="41">
        <v>45962</v>
      </c>
      <c r="C306" t="str">
        <f>_xlfn.IFNA(VLOOKUP(B306,SZO!A:B,2,0),"")</f>
        <v/>
      </c>
      <c r="D306">
        <f>VLOOKUP(B306,[1]Pivot!$A:$B,2,0)</f>
        <v>91</v>
      </c>
      <c r="E306" t="str">
        <f>_xlfn.IFNA(VLOOKUP(B306,Nyers!A:E,5,0),"")</f>
        <v/>
      </c>
      <c r="F306" t="str">
        <f>_xlfn.IFNA(VLOOKUP(B306,Nyers!A:F,6,0),"")</f>
        <v/>
      </c>
      <c r="G306" t="str">
        <f>_xlfn.IFNA(VLOOKUP(B306,Nyers!A:H,8,0),"")</f>
        <v/>
      </c>
      <c r="H306" t="str">
        <f>_xlfn.IFNA(VLOOKUP(B306,Nyers!A:D,4,0),"")</f>
        <v/>
      </c>
      <c r="I306" t="str">
        <f>_xlfn.IFNA(VLOOKUP(B306,Nyers!A:G,7,0),"")</f>
        <v/>
      </c>
    </row>
    <row r="307" spans="1:9" x14ac:dyDescent="0.25">
      <c r="A307">
        <f t="shared" si="1"/>
        <v>45</v>
      </c>
      <c r="B307" s="41">
        <v>45963</v>
      </c>
      <c r="C307" t="str">
        <f>_xlfn.IFNA(VLOOKUP(B307,SZO!A:B,2,0),"")</f>
        <v/>
      </c>
      <c r="D307">
        <f>VLOOKUP(B307,[1]Pivot!$A:$B,2,0)</f>
        <v>97</v>
      </c>
      <c r="E307" t="str">
        <f>_xlfn.IFNA(VLOOKUP(B307,Nyers!A:E,5,0),"")</f>
        <v/>
      </c>
      <c r="F307" t="str">
        <f>_xlfn.IFNA(VLOOKUP(B307,Nyers!A:F,6,0),"")</f>
        <v/>
      </c>
      <c r="G307" t="str">
        <f>_xlfn.IFNA(VLOOKUP(B307,Nyers!A:H,8,0),"")</f>
        <v/>
      </c>
      <c r="H307" t="str">
        <f>_xlfn.IFNA(VLOOKUP(B307,Nyers!A:D,4,0),"")</f>
        <v/>
      </c>
      <c r="I307" t="str">
        <f>_xlfn.IFNA(VLOOKUP(B307,Nyers!A:G,7,0),"")</f>
        <v/>
      </c>
    </row>
    <row r="308" spans="1:9" x14ac:dyDescent="0.25">
      <c r="A308">
        <f t="shared" si="1"/>
        <v>45</v>
      </c>
      <c r="B308" s="41">
        <v>45964</v>
      </c>
      <c r="C308">
        <f>_xlfn.IFNA(VLOOKUP(B308,SZO!A:B,2,0),"")</f>
        <v>2676</v>
      </c>
      <c r="D308">
        <f>VLOOKUP(B308,[1]Pivot!$A:$B,2,0)</f>
        <v>466</v>
      </c>
      <c r="E308">
        <f>_xlfn.IFNA(VLOOKUP(B308,Nyers!A:E,5,0),"")</f>
        <v>375</v>
      </c>
      <c r="F308">
        <f>_xlfn.IFNA(VLOOKUP(B308,Nyers!A:F,6,0),"")</f>
        <v>139</v>
      </c>
      <c r="G308">
        <f>_xlfn.IFNA(VLOOKUP(B308,Nyers!A:H,8,0),"")</f>
        <v>457</v>
      </c>
      <c r="H308">
        <f>_xlfn.IFNA(VLOOKUP(B308,Nyers!A:D,4,0),"")</f>
        <v>594</v>
      </c>
      <c r="I308">
        <f>_xlfn.IFNA(VLOOKUP(B308,Nyers!A:G,7,0),"")</f>
        <v>2156</v>
      </c>
    </row>
    <row r="309" spans="1:9" x14ac:dyDescent="0.25">
      <c r="A309">
        <f t="shared" si="1"/>
        <v>45</v>
      </c>
      <c r="B309" s="41">
        <v>45965</v>
      </c>
      <c r="C309">
        <f>_xlfn.IFNA(VLOOKUP(B309,SZO!A:B,2,0),"")</f>
        <v>2681</v>
      </c>
      <c r="D309">
        <f>VLOOKUP(B309,[1]Pivot!$A:$B,2,0)</f>
        <v>502</v>
      </c>
      <c r="E309">
        <f>_xlfn.IFNA(VLOOKUP(B309,Nyers!A:E,5,0),"")</f>
        <v>347</v>
      </c>
      <c r="F309">
        <f>_xlfn.IFNA(VLOOKUP(B309,Nyers!A:F,6,0),"")</f>
        <v>134</v>
      </c>
      <c r="G309">
        <f>_xlfn.IFNA(VLOOKUP(B309,Nyers!A:H,8,0),"")</f>
        <v>443</v>
      </c>
      <c r="H309">
        <f>_xlfn.IFNA(VLOOKUP(B309,Nyers!A:D,4,0),"")</f>
        <v>549</v>
      </c>
      <c r="I309">
        <f>_xlfn.IFNA(VLOOKUP(B309,Nyers!A:G,7,0),"")</f>
        <v>2049</v>
      </c>
    </row>
    <row r="310" spans="1:9" x14ac:dyDescent="0.25">
      <c r="A310">
        <f t="shared" si="1"/>
        <v>45</v>
      </c>
      <c r="B310" s="41">
        <v>45966</v>
      </c>
      <c r="C310">
        <f>_xlfn.IFNA(VLOOKUP(B310,SZO!A:B,2,0),"")</f>
        <v>233</v>
      </c>
      <c r="D310">
        <f>VLOOKUP(B310,[1]Pivot!$A:$B,2,0)</f>
        <v>498</v>
      </c>
      <c r="E310">
        <f>_xlfn.IFNA(VLOOKUP(B310,Nyers!A:E,5,0),"")</f>
        <v>378</v>
      </c>
      <c r="F310">
        <f>_xlfn.IFNA(VLOOKUP(B310,Nyers!A:F,6,0),"")</f>
        <v>139</v>
      </c>
      <c r="G310">
        <f>_xlfn.IFNA(VLOOKUP(B310,Nyers!A:H,8,0),"")</f>
        <v>466</v>
      </c>
      <c r="H310">
        <f>_xlfn.IFNA(VLOOKUP(B310,Nyers!A:D,4,0),"")</f>
        <v>612</v>
      </c>
      <c r="I310">
        <f>_xlfn.IFNA(VLOOKUP(B310,Nyers!A:G,7,0),"")</f>
        <v>1963</v>
      </c>
    </row>
    <row r="311" spans="1:9" x14ac:dyDescent="0.25">
      <c r="A311">
        <f t="shared" si="1"/>
        <v>45</v>
      </c>
      <c r="B311" s="41">
        <v>45967</v>
      </c>
      <c r="C311">
        <f>_xlfn.IFNA(VLOOKUP(B311,SZO!A:B,2,0),"")</f>
        <v>0</v>
      </c>
      <c r="D311">
        <f>VLOOKUP(B311,[1]Pivot!$A:$B,2,0)</f>
        <v>551</v>
      </c>
      <c r="E311">
        <f>_xlfn.IFNA(VLOOKUP(B311,Nyers!A:E,5,0),"")</f>
        <v>343</v>
      </c>
      <c r="F311">
        <f>_xlfn.IFNA(VLOOKUP(B311,Nyers!A:F,6,0),"")</f>
        <v>98</v>
      </c>
      <c r="G311">
        <f>_xlfn.IFNA(VLOOKUP(B311,Nyers!A:H,8,0),"")</f>
        <v>886</v>
      </c>
      <c r="H311">
        <f>_xlfn.IFNA(VLOOKUP(B311,Nyers!A:D,4,0),"")</f>
        <v>586</v>
      </c>
      <c r="I311">
        <f>_xlfn.IFNA(VLOOKUP(B311,Nyers!A:G,7,0),"")</f>
        <v>1966</v>
      </c>
    </row>
    <row r="312" spans="1:9" x14ac:dyDescent="0.25">
      <c r="A312">
        <f t="shared" si="1"/>
        <v>45</v>
      </c>
      <c r="B312" s="41">
        <v>45968</v>
      </c>
      <c r="C312">
        <f>_xlfn.IFNA(VLOOKUP(B312,SZO!A:B,2,0),"")</f>
        <v>906</v>
      </c>
      <c r="D312">
        <f>VLOOKUP(B312,[1]Pivot!$A:$B,2,0)</f>
        <v>479</v>
      </c>
      <c r="E312">
        <f>_xlfn.IFNA(VLOOKUP(B312,Nyers!A:E,5,0),"")</f>
        <v>306</v>
      </c>
      <c r="F312">
        <f>_xlfn.IFNA(VLOOKUP(B312,Nyers!A:F,6,0),"")</f>
        <v>156</v>
      </c>
      <c r="G312">
        <f>_xlfn.IFNA(VLOOKUP(B312,Nyers!A:H,8,0),"")</f>
        <v>451</v>
      </c>
      <c r="H312">
        <f>_xlfn.IFNA(VLOOKUP(B312,Nyers!A:D,4,0),"")</f>
        <v>538</v>
      </c>
      <c r="I312">
        <f>_xlfn.IFNA(VLOOKUP(B312,Nyers!A:G,7,0),"")</f>
        <v>2227</v>
      </c>
    </row>
    <row r="313" spans="1:9" x14ac:dyDescent="0.25">
      <c r="A313">
        <f t="shared" si="1"/>
        <v>45</v>
      </c>
      <c r="B313" s="41">
        <v>45969</v>
      </c>
      <c r="C313" t="str">
        <f>_xlfn.IFNA(VLOOKUP(B313,SZO!A:B,2,0),"")</f>
        <v/>
      </c>
      <c r="D313">
        <f>VLOOKUP(B313,[1]Pivot!$A:$B,2,0)</f>
        <v>113</v>
      </c>
      <c r="E313" t="str">
        <f>_xlfn.IFNA(VLOOKUP(B313,Nyers!A:E,5,0),"")</f>
        <v/>
      </c>
      <c r="F313" t="str">
        <f>_xlfn.IFNA(VLOOKUP(B313,Nyers!A:F,6,0),"")</f>
        <v/>
      </c>
      <c r="G313" t="str">
        <f>_xlfn.IFNA(VLOOKUP(B313,Nyers!A:H,8,0),"")</f>
        <v/>
      </c>
      <c r="H313" t="str">
        <f>_xlfn.IFNA(VLOOKUP(B313,Nyers!A:D,4,0),"")</f>
        <v/>
      </c>
      <c r="I313" t="str">
        <f>_xlfn.IFNA(VLOOKUP(B313,Nyers!A:G,7,0),"")</f>
        <v/>
      </c>
    </row>
    <row r="314" spans="1:9" x14ac:dyDescent="0.25">
      <c r="A314">
        <f t="shared" si="1"/>
        <v>46</v>
      </c>
      <c r="B314" s="41">
        <v>45970</v>
      </c>
      <c r="C314" t="str">
        <f>_xlfn.IFNA(VLOOKUP(B314,SZO!A:B,2,0),"")</f>
        <v/>
      </c>
      <c r="D314">
        <f>VLOOKUP(B314,[1]Pivot!$A:$B,2,0)</f>
        <v>131</v>
      </c>
      <c r="E314" t="str">
        <f>_xlfn.IFNA(VLOOKUP(B314,Nyers!A:E,5,0),"")</f>
        <v/>
      </c>
      <c r="F314" t="str">
        <f>_xlfn.IFNA(VLOOKUP(B314,Nyers!A:F,6,0),"")</f>
        <v/>
      </c>
      <c r="G314" t="str">
        <f>_xlfn.IFNA(VLOOKUP(B314,Nyers!A:H,8,0),"")</f>
        <v/>
      </c>
      <c r="H314" t="str">
        <f>_xlfn.IFNA(VLOOKUP(B314,Nyers!A:D,4,0),"")</f>
        <v/>
      </c>
      <c r="I314" t="str">
        <f>_xlfn.IFNA(VLOOKUP(B314,Nyers!A:G,7,0),"")</f>
        <v/>
      </c>
    </row>
    <row r="315" spans="1:9" x14ac:dyDescent="0.25">
      <c r="A315">
        <f t="shared" si="1"/>
        <v>46</v>
      </c>
      <c r="B315" s="41">
        <v>45971</v>
      </c>
      <c r="C315">
        <f>_xlfn.IFNA(VLOOKUP(B315,SZO!A:B,2,0),"")</f>
        <v>20</v>
      </c>
      <c r="D315">
        <f>VLOOKUP(B315,[1]Pivot!$A:$B,2,0)</f>
        <v>689</v>
      </c>
      <c r="E315">
        <f>_xlfn.IFNA(VLOOKUP(B315,Nyers!A:E,5,0),"")</f>
        <v>439</v>
      </c>
      <c r="F315">
        <f>_xlfn.IFNA(VLOOKUP(B315,Nyers!A:F,6,0),"")</f>
        <v>128</v>
      </c>
      <c r="G315">
        <f>_xlfn.IFNA(VLOOKUP(B315,Nyers!A:H,8,0),"")</f>
        <v>495</v>
      </c>
      <c r="H315">
        <f>_xlfn.IFNA(VLOOKUP(B315,Nyers!A:D,4,0),"")</f>
        <v>612</v>
      </c>
      <c r="I315">
        <f>_xlfn.IFNA(VLOOKUP(B315,Nyers!A:G,7,0),"")</f>
        <v>2221</v>
      </c>
    </row>
    <row r="316" spans="1:9" x14ac:dyDescent="0.25">
      <c r="A316">
        <f t="shared" si="1"/>
        <v>46</v>
      </c>
      <c r="B316" s="41">
        <v>45972</v>
      </c>
      <c r="C316">
        <f>_xlfn.IFNA(VLOOKUP(B316,SZO!A:B,2,0),"")</f>
        <v>648</v>
      </c>
      <c r="D316">
        <f>VLOOKUP(B316,[1]Pivot!$A:$B,2,0)</f>
        <v>559</v>
      </c>
      <c r="E316">
        <f>_xlfn.IFNA(VLOOKUP(B316,Nyers!A:E,5,0),"")</f>
        <v>292</v>
      </c>
      <c r="F316">
        <f>_xlfn.IFNA(VLOOKUP(B316,Nyers!A:F,6,0),"")</f>
        <v>121</v>
      </c>
      <c r="G316">
        <f>_xlfn.IFNA(VLOOKUP(B316,Nyers!A:H,8,0),"")</f>
        <v>440</v>
      </c>
      <c r="H316">
        <f>_xlfn.IFNA(VLOOKUP(B316,Nyers!A:D,4,0),"")</f>
        <v>632</v>
      </c>
      <c r="I316">
        <f>_xlfn.IFNA(VLOOKUP(B316,Nyers!A:G,7,0),"")</f>
        <v>2111</v>
      </c>
    </row>
    <row r="317" spans="1:9" x14ac:dyDescent="0.25">
      <c r="A317">
        <f t="shared" si="1"/>
        <v>46</v>
      </c>
      <c r="B317" s="41">
        <v>45973</v>
      </c>
      <c r="C317">
        <f>_xlfn.IFNA(VLOOKUP(B317,SZO!A:B,2,0),"")</f>
        <v>272</v>
      </c>
      <c r="D317">
        <f>VLOOKUP(B317,[1]Pivot!$A:$B,2,0)</f>
        <v>503</v>
      </c>
      <c r="E317">
        <f>_xlfn.IFNA(VLOOKUP(B317,Nyers!A:E,5,0),"")</f>
        <v>347</v>
      </c>
      <c r="F317">
        <f>_xlfn.IFNA(VLOOKUP(B317,Nyers!A:F,6,0),"")</f>
        <v>120</v>
      </c>
      <c r="G317">
        <f>_xlfn.IFNA(VLOOKUP(B317,Nyers!A:H,8,0),"")</f>
        <v>397</v>
      </c>
      <c r="H317">
        <f>_xlfn.IFNA(VLOOKUP(B317,Nyers!A:D,4,0),"")</f>
        <v>618</v>
      </c>
      <c r="I317">
        <f>_xlfn.IFNA(VLOOKUP(B317,Nyers!A:G,7,0),"")</f>
        <v>2024</v>
      </c>
    </row>
    <row r="318" spans="1:9" x14ac:dyDescent="0.25">
      <c r="A318">
        <f t="shared" ref="A318:A381" si="2">WEEKNUM(B318)</f>
        <v>46</v>
      </c>
      <c r="B318" s="41">
        <v>45974</v>
      </c>
      <c r="C318">
        <f>_xlfn.IFNA(VLOOKUP(B318,SZO!A:B,2,0),"")</f>
        <v>0</v>
      </c>
      <c r="D318">
        <f>VLOOKUP(B318,[1]Pivot!$A:$B,2,0)</f>
        <v>461</v>
      </c>
      <c r="E318">
        <f>_xlfn.IFNA(VLOOKUP(B318,Nyers!A:E,5,0),"")</f>
        <v>258</v>
      </c>
      <c r="F318">
        <f>_xlfn.IFNA(VLOOKUP(B318,Nyers!A:F,6,0),"")</f>
        <v>82</v>
      </c>
      <c r="G318">
        <f>_xlfn.IFNA(VLOOKUP(B318,Nyers!A:H,8,0),"")</f>
        <v>300</v>
      </c>
      <c r="H318">
        <f>_xlfn.IFNA(VLOOKUP(B318,Nyers!A:D,4,0),"")</f>
        <v>797</v>
      </c>
      <c r="I318">
        <f>_xlfn.IFNA(VLOOKUP(B318,Nyers!A:G,7,0),"")</f>
        <v>1817</v>
      </c>
    </row>
    <row r="319" spans="1:9" x14ac:dyDescent="0.25">
      <c r="A319">
        <f t="shared" si="2"/>
        <v>46</v>
      </c>
      <c r="B319" s="41">
        <v>45975</v>
      </c>
      <c r="C319">
        <f>_xlfn.IFNA(VLOOKUP(B319,SZO!A:B,2,0),"")</f>
        <v>0</v>
      </c>
      <c r="D319">
        <f>VLOOKUP(B319,[1]Pivot!$A:$B,2,0)</f>
        <v>425</v>
      </c>
      <c r="E319">
        <f>_xlfn.IFNA(VLOOKUP(B319,Nyers!A:E,5,0),"")</f>
        <v>237</v>
      </c>
      <c r="F319">
        <f>_xlfn.IFNA(VLOOKUP(B319,Nyers!A:F,6,0),"")</f>
        <v>114</v>
      </c>
      <c r="G319">
        <f>_xlfn.IFNA(VLOOKUP(B319,Nyers!A:H,8,0),"")</f>
        <v>318</v>
      </c>
      <c r="H319">
        <f>_xlfn.IFNA(VLOOKUP(B319,Nyers!A:D,4,0),"")</f>
        <v>599</v>
      </c>
      <c r="I319">
        <f>_xlfn.IFNA(VLOOKUP(B319,Nyers!A:G,7,0),"")</f>
        <v>1892</v>
      </c>
    </row>
    <row r="320" spans="1:9" x14ac:dyDescent="0.25">
      <c r="A320">
        <f t="shared" si="2"/>
        <v>46</v>
      </c>
      <c r="B320" s="41">
        <v>45976</v>
      </c>
      <c r="C320" t="str">
        <f>_xlfn.IFNA(VLOOKUP(B320,SZO!A:B,2,0),"")</f>
        <v/>
      </c>
      <c r="D320">
        <f>VLOOKUP(B320,[1]Pivot!$A:$B,2,0)</f>
        <v>91</v>
      </c>
      <c r="E320" t="str">
        <f>_xlfn.IFNA(VLOOKUP(B320,Nyers!A:E,5,0),"")</f>
        <v/>
      </c>
      <c r="F320" t="str">
        <f>_xlfn.IFNA(VLOOKUP(B320,Nyers!A:F,6,0),"")</f>
        <v/>
      </c>
      <c r="G320" t="str">
        <f>_xlfn.IFNA(VLOOKUP(B320,Nyers!A:H,8,0),"")</f>
        <v/>
      </c>
      <c r="H320" t="str">
        <f>_xlfn.IFNA(VLOOKUP(B320,Nyers!A:D,4,0),"")</f>
        <v/>
      </c>
      <c r="I320" t="str">
        <f>_xlfn.IFNA(VLOOKUP(B320,Nyers!A:G,7,0),"")</f>
        <v/>
      </c>
    </row>
    <row r="321" spans="1:9" x14ac:dyDescent="0.25">
      <c r="A321">
        <f t="shared" si="2"/>
        <v>47</v>
      </c>
      <c r="B321" s="41">
        <v>45977</v>
      </c>
      <c r="C321" t="str">
        <f>_xlfn.IFNA(VLOOKUP(B321,SZO!A:B,2,0),"")</f>
        <v/>
      </c>
      <c r="D321">
        <f>VLOOKUP(B321,[1]Pivot!$A:$B,2,0)</f>
        <v>106</v>
      </c>
      <c r="E321" t="str">
        <f>_xlfn.IFNA(VLOOKUP(B321,Nyers!A:E,5,0),"")</f>
        <v/>
      </c>
      <c r="F321" t="str">
        <f>_xlfn.IFNA(VLOOKUP(B321,Nyers!A:F,6,0),"")</f>
        <v/>
      </c>
      <c r="G321" t="str">
        <f>_xlfn.IFNA(VLOOKUP(B321,Nyers!A:H,8,0),"")</f>
        <v/>
      </c>
      <c r="H321" t="str">
        <f>_xlfn.IFNA(VLOOKUP(B321,Nyers!A:D,4,0),"")</f>
        <v/>
      </c>
      <c r="I321" t="str">
        <f>_xlfn.IFNA(VLOOKUP(B321,Nyers!A:G,7,0),"")</f>
        <v/>
      </c>
    </row>
    <row r="322" spans="1:9" x14ac:dyDescent="0.25">
      <c r="A322">
        <f t="shared" si="2"/>
        <v>47</v>
      </c>
      <c r="B322" s="41">
        <v>45978</v>
      </c>
      <c r="C322">
        <f>_xlfn.IFNA(VLOOKUP(B322,SZO!A:B,2,0),"")</f>
        <v>0</v>
      </c>
      <c r="D322">
        <f>VLOOKUP(B322,[1]Pivot!$A:$B,2,0)</f>
        <v>510</v>
      </c>
      <c r="E322">
        <f>_xlfn.IFNA(VLOOKUP(B322,Nyers!A:E,5,0),"")</f>
        <v>280</v>
      </c>
      <c r="F322">
        <f>_xlfn.IFNA(VLOOKUP(B322,Nyers!A:F,6,0),"")</f>
        <v>98</v>
      </c>
      <c r="G322">
        <f>_xlfn.IFNA(VLOOKUP(B322,Nyers!A:H,8,0),"")</f>
        <v>376</v>
      </c>
      <c r="H322">
        <f>_xlfn.IFNA(VLOOKUP(B322,Nyers!A:D,4,0),"")</f>
        <v>628</v>
      </c>
      <c r="I322">
        <f>_xlfn.IFNA(VLOOKUP(B322,Nyers!A:G,7,0),"")</f>
        <v>1675</v>
      </c>
    </row>
    <row r="323" spans="1:9" x14ac:dyDescent="0.25">
      <c r="A323">
        <f t="shared" si="2"/>
        <v>47</v>
      </c>
      <c r="B323" s="41">
        <v>45979</v>
      </c>
      <c r="C323">
        <f>_xlfn.IFNA(VLOOKUP(B323,SZO!A:B,2,0),"")</f>
        <v>0</v>
      </c>
      <c r="D323">
        <f>VLOOKUP(B323,[1]Pivot!$A:$B,2,0)</f>
        <v>428</v>
      </c>
      <c r="E323">
        <f>_xlfn.IFNA(VLOOKUP(B323,Nyers!A:E,5,0),"")</f>
        <v>295</v>
      </c>
      <c r="F323">
        <f>_xlfn.IFNA(VLOOKUP(B323,Nyers!A:F,6,0),"")</f>
        <v>91</v>
      </c>
      <c r="G323">
        <f>_xlfn.IFNA(VLOOKUP(B323,Nyers!A:H,8,0),"")</f>
        <v>315</v>
      </c>
      <c r="H323">
        <f>_xlfn.IFNA(VLOOKUP(B323,Nyers!A:D,4,0),"")</f>
        <v>609</v>
      </c>
      <c r="I323">
        <f>_xlfn.IFNA(VLOOKUP(B323,Nyers!A:G,7,0),"")</f>
        <v>1516</v>
      </c>
    </row>
    <row r="324" spans="1:9" x14ac:dyDescent="0.25">
      <c r="A324">
        <f t="shared" si="2"/>
        <v>47</v>
      </c>
      <c r="B324" s="41">
        <v>45980</v>
      </c>
      <c r="C324">
        <f>_xlfn.IFNA(VLOOKUP(B324,SZO!A:B,2,0),"")</f>
        <v>0</v>
      </c>
      <c r="D324">
        <f>VLOOKUP(B324,[1]Pivot!$A:$B,2,0)</f>
        <v>435</v>
      </c>
      <c r="E324">
        <f>_xlfn.IFNA(VLOOKUP(B324,Nyers!A:E,5,0),"")</f>
        <v>263</v>
      </c>
      <c r="F324">
        <f>_xlfn.IFNA(VLOOKUP(B324,Nyers!A:F,6,0),"")</f>
        <v>99</v>
      </c>
      <c r="G324">
        <f>_xlfn.IFNA(VLOOKUP(B324,Nyers!A:H,8,0),"")</f>
        <v>285</v>
      </c>
      <c r="H324">
        <f>_xlfn.IFNA(VLOOKUP(B324,Nyers!A:D,4,0),"")</f>
        <v>571</v>
      </c>
      <c r="I324">
        <f>_xlfn.IFNA(VLOOKUP(B324,Nyers!A:G,7,0),"")</f>
        <v>1420</v>
      </c>
    </row>
    <row r="325" spans="1:9" x14ac:dyDescent="0.25">
      <c r="A325">
        <f t="shared" si="2"/>
        <v>47</v>
      </c>
      <c r="B325" s="41">
        <v>45981</v>
      </c>
      <c r="C325">
        <f>_xlfn.IFNA(VLOOKUP(B325,SZO!A:B,2,0),"")</f>
        <v>3284</v>
      </c>
      <c r="D325">
        <f>VLOOKUP(B325,[1]Pivot!$A:$B,2,0)</f>
        <v>383</v>
      </c>
      <c r="E325">
        <f>_xlfn.IFNA(VLOOKUP(B325,Nyers!A:E,5,0),"")</f>
        <v>195</v>
      </c>
      <c r="F325">
        <f>_xlfn.IFNA(VLOOKUP(B325,Nyers!A:F,6,0),"")</f>
        <v>80</v>
      </c>
      <c r="G325">
        <f>_xlfn.IFNA(VLOOKUP(B325,Nyers!A:H,8,0),"")</f>
        <v>285</v>
      </c>
      <c r="H325">
        <f>_xlfn.IFNA(VLOOKUP(B325,Nyers!A:D,4,0),"")</f>
        <v>580</v>
      </c>
      <c r="I325">
        <f>_xlfn.IFNA(VLOOKUP(B325,Nyers!A:G,7,0),"")</f>
        <v>1241</v>
      </c>
    </row>
    <row r="326" spans="1:9" x14ac:dyDescent="0.25">
      <c r="A326">
        <f t="shared" si="2"/>
        <v>47</v>
      </c>
      <c r="B326" s="41">
        <v>45982</v>
      </c>
      <c r="C326">
        <f>_xlfn.IFNA(VLOOKUP(B326,SZO!A:B,2,0),"")</f>
        <v>4985</v>
      </c>
      <c r="D326">
        <f>VLOOKUP(B326,[1]Pivot!$A:$B,2,0)</f>
        <v>326</v>
      </c>
      <c r="E326">
        <f>_xlfn.IFNA(VLOOKUP(B326,Nyers!A:E,5,0),"")</f>
        <v>197</v>
      </c>
      <c r="F326">
        <f>_xlfn.IFNA(VLOOKUP(B326,Nyers!A:F,6,0),"")</f>
        <v>105</v>
      </c>
      <c r="G326">
        <f>_xlfn.IFNA(VLOOKUP(B326,Nyers!A:H,8,0),"")</f>
        <v>242</v>
      </c>
      <c r="H326">
        <f>_xlfn.IFNA(VLOOKUP(B326,Nyers!A:D,4,0),"")</f>
        <v>464</v>
      </c>
      <c r="I326">
        <f>_xlfn.IFNA(VLOOKUP(B326,Nyers!A:G,7,0),"")</f>
        <v>1289</v>
      </c>
    </row>
    <row r="327" spans="1:9" x14ac:dyDescent="0.25">
      <c r="A327">
        <f t="shared" si="2"/>
        <v>47</v>
      </c>
      <c r="B327" s="41">
        <v>45983</v>
      </c>
      <c r="C327" t="str">
        <f>_xlfn.IFNA(VLOOKUP(B327,SZO!A:B,2,0),"")</f>
        <v/>
      </c>
      <c r="D327">
        <f>VLOOKUP(B327,[1]Pivot!$A:$B,2,0)</f>
        <v>63</v>
      </c>
      <c r="E327" t="str">
        <f>_xlfn.IFNA(VLOOKUP(B327,Nyers!A:E,5,0),"")</f>
        <v/>
      </c>
      <c r="F327" t="str">
        <f>_xlfn.IFNA(VLOOKUP(B327,Nyers!A:F,6,0),"")</f>
        <v/>
      </c>
      <c r="G327" t="str">
        <f>_xlfn.IFNA(VLOOKUP(B327,Nyers!A:H,8,0),"")</f>
        <v/>
      </c>
      <c r="H327" t="str">
        <f>_xlfn.IFNA(VLOOKUP(B327,Nyers!A:D,4,0),"")</f>
        <v/>
      </c>
      <c r="I327" t="str">
        <f>_xlfn.IFNA(VLOOKUP(B327,Nyers!A:G,7,0),"")</f>
        <v/>
      </c>
    </row>
    <row r="328" spans="1:9" x14ac:dyDescent="0.25">
      <c r="A328">
        <f t="shared" si="2"/>
        <v>48</v>
      </c>
      <c r="B328" s="41">
        <v>45984</v>
      </c>
      <c r="C328" t="str">
        <f>_xlfn.IFNA(VLOOKUP(B328,SZO!A:B,2,0),"")</f>
        <v/>
      </c>
      <c r="D328">
        <f>VLOOKUP(B328,[1]Pivot!$A:$B,2,0)</f>
        <v>82</v>
      </c>
      <c r="E328" t="str">
        <f>_xlfn.IFNA(VLOOKUP(B328,Nyers!A:E,5,0),"")</f>
        <v/>
      </c>
      <c r="F328" t="str">
        <f>_xlfn.IFNA(VLOOKUP(B328,Nyers!A:F,6,0),"")</f>
        <v/>
      </c>
      <c r="G328" t="str">
        <f>_xlfn.IFNA(VLOOKUP(B328,Nyers!A:H,8,0),"")</f>
        <v/>
      </c>
      <c r="H328" t="str">
        <f>_xlfn.IFNA(VLOOKUP(B328,Nyers!A:D,4,0),"")</f>
        <v/>
      </c>
      <c r="I328" t="str">
        <f>_xlfn.IFNA(VLOOKUP(B328,Nyers!A:G,7,0),"")</f>
        <v/>
      </c>
    </row>
    <row r="329" spans="1:9" x14ac:dyDescent="0.25">
      <c r="A329">
        <f t="shared" si="2"/>
        <v>48</v>
      </c>
      <c r="B329" s="41">
        <v>45985</v>
      </c>
      <c r="C329">
        <f>_xlfn.IFNA(VLOOKUP(B329,SZO!A:B,2,0),"")</f>
        <v>2676</v>
      </c>
      <c r="D329">
        <f>VLOOKUP(B329,[1]Pivot!$A:$B,2,0)</f>
        <v>375</v>
      </c>
      <c r="E329">
        <f>_xlfn.IFNA(VLOOKUP(B329,Nyers!A:E,5,0),"")</f>
        <v>249</v>
      </c>
      <c r="F329">
        <f>_xlfn.IFNA(VLOOKUP(B329,Nyers!A:F,6,0),"")</f>
        <v>97</v>
      </c>
      <c r="G329">
        <f>_xlfn.IFNA(VLOOKUP(B329,Nyers!A:H,8,0),"")</f>
        <v>331</v>
      </c>
      <c r="H329">
        <f>_xlfn.IFNA(VLOOKUP(B329,Nyers!A:D,4,0),"")</f>
        <v>555</v>
      </c>
      <c r="I329">
        <f>_xlfn.IFNA(VLOOKUP(B329,Nyers!A:G,7,0),"")</f>
        <v>1119</v>
      </c>
    </row>
    <row r="330" spans="1:9" x14ac:dyDescent="0.25">
      <c r="A330">
        <f t="shared" si="2"/>
        <v>48</v>
      </c>
      <c r="B330" s="41">
        <v>45986</v>
      </c>
      <c r="C330">
        <f>_xlfn.IFNA(VLOOKUP(B330,SZO!A:B,2,0),"")</f>
        <v>2652</v>
      </c>
      <c r="D330">
        <f>VLOOKUP(B330,[1]Pivot!$A:$B,2,0)</f>
        <v>509</v>
      </c>
      <c r="E330">
        <f>_xlfn.IFNA(VLOOKUP(B330,Nyers!A:E,5,0),"")</f>
        <v>261</v>
      </c>
      <c r="F330">
        <f>_xlfn.IFNA(VLOOKUP(B330,Nyers!A:F,6,0),"")</f>
        <v>119</v>
      </c>
      <c r="G330">
        <f>_xlfn.IFNA(VLOOKUP(B330,Nyers!A:H,8,0),"")</f>
        <v>455</v>
      </c>
      <c r="H330">
        <f>_xlfn.IFNA(VLOOKUP(B330,Nyers!A:D,4,0),"")</f>
        <v>545</v>
      </c>
      <c r="I330">
        <f>_xlfn.IFNA(VLOOKUP(B330,Nyers!A:G,7,0),"")</f>
        <v>1149</v>
      </c>
    </row>
    <row r="331" spans="1:9" x14ac:dyDescent="0.25">
      <c r="A331">
        <f t="shared" si="2"/>
        <v>48</v>
      </c>
      <c r="B331" s="41">
        <v>45987</v>
      </c>
      <c r="C331">
        <f>_xlfn.IFNA(VLOOKUP(B331,SZO!A:B,2,0),"")</f>
        <v>2616</v>
      </c>
      <c r="D331">
        <f>VLOOKUP(B331,[1]Pivot!$A:$B,2,0)</f>
        <v>549</v>
      </c>
      <c r="E331">
        <f>_xlfn.IFNA(VLOOKUP(B331,Nyers!A:E,5,0),"")</f>
        <v>370</v>
      </c>
      <c r="F331">
        <f>_xlfn.IFNA(VLOOKUP(B331,Nyers!A:F,6,0),"")</f>
        <v>159</v>
      </c>
      <c r="G331">
        <f>_xlfn.IFNA(VLOOKUP(B331,Nyers!A:H,8,0),"")</f>
        <v>536</v>
      </c>
      <c r="H331">
        <f>_xlfn.IFNA(VLOOKUP(B331,Nyers!A:D,4,0),"")</f>
        <v>457</v>
      </c>
      <c r="I331">
        <f>_xlfn.IFNA(VLOOKUP(B331,Nyers!A:G,7,0),"")</f>
        <v>1306</v>
      </c>
    </row>
    <row r="332" spans="1:9" x14ac:dyDescent="0.25">
      <c r="A332">
        <f t="shared" si="2"/>
        <v>48</v>
      </c>
      <c r="B332" s="41">
        <v>45988</v>
      </c>
      <c r="C332">
        <f>_xlfn.IFNA(VLOOKUP(B332,SZO!A:B,2,0),"")</f>
        <v>3238</v>
      </c>
      <c r="D332">
        <f>VLOOKUP(B332,[1]Pivot!$A:$B,2,0)</f>
        <v>579</v>
      </c>
      <c r="E332">
        <f>_xlfn.IFNA(VLOOKUP(B332,Nyers!A:E,5,0),"")</f>
        <v>345</v>
      </c>
      <c r="F332">
        <f>_xlfn.IFNA(VLOOKUP(B332,Nyers!A:F,6,0),"")</f>
        <v>144</v>
      </c>
      <c r="G332">
        <f>_xlfn.IFNA(VLOOKUP(B332,Nyers!A:H,8,0),"")</f>
        <v>517</v>
      </c>
      <c r="H332">
        <f>_xlfn.IFNA(VLOOKUP(B332,Nyers!A:D,4,0),"")</f>
        <v>409</v>
      </c>
      <c r="I332">
        <f>_xlfn.IFNA(VLOOKUP(B332,Nyers!A:G,7,0),"")</f>
        <v>1526</v>
      </c>
    </row>
    <row r="333" spans="1:9" x14ac:dyDescent="0.25">
      <c r="A333">
        <f t="shared" si="2"/>
        <v>48</v>
      </c>
      <c r="B333" s="41">
        <v>45989</v>
      </c>
      <c r="C333">
        <f>_xlfn.IFNA(VLOOKUP(B333,SZO!A:B,2,0),"")</f>
        <v>3145</v>
      </c>
      <c r="D333">
        <f>VLOOKUP(B333,[1]Pivot!$A:$B,2,0)</f>
        <v>482</v>
      </c>
      <c r="E333">
        <f>_xlfn.IFNA(VLOOKUP(B333,Nyers!A:E,5,0),"")</f>
        <v>350</v>
      </c>
      <c r="F333">
        <f>_xlfn.IFNA(VLOOKUP(B333,Nyers!A:F,6,0),"")</f>
        <v>134</v>
      </c>
      <c r="G333">
        <f>_xlfn.IFNA(VLOOKUP(B333,Nyers!A:H,8,0),"")</f>
        <v>485</v>
      </c>
      <c r="H333">
        <f>_xlfn.IFNA(VLOOKUP(B333,Nyers!A:D,4,0),"")</f>
        <v>392</v>
      </c>
      <c r="I333">
        <f>_xlfn.IFNA(VLOOKUP(B333,Nyers!A:G,7,0),"")</f>
        <v>1957</v>
      </c>
    </row>
    <row r="334" spans="1:9" x14ac:dyDescent="0.25">
      <c r="A334">
        <f t="shared" si="2"/>
        <v>48</v>
      </c>
      <c r="B334" s="41">
        <v>45990</v>
      </c>
      <c r="C334" t="str">
        <f>_xlfn.IFNA(VLOOKUP(B334,SZO!A:B,2,0),"")</f>
        <v/>
      </c>
      <c r="D334">
        <f>VLOOKUP(B334,[1]Pivot!$A:$B,2,0)</f>
        <v>112</v>
      </c>
      <c r="E334" t="str">
        <f>_xlfn.IFNA(VLOOKUP(B334,Nyers!A:E,5,0),"")</f>
        <v/>
      </c>
      <c r="F334" t="str">
        <f>_xlfn.IFNA(VLOOKUP(B334,Nyers!A:F,6,0),"")</f>
        <v/>
      </c>
      <c r="G334" t="str">
        <f>_xlfn.IFNA(VLOOKUP(B334,Nyers!A:H,8,0),"")</f>
        <v/>
      </c>
      <c r="H334" t="str">
        <f>_xlfn.IFNA(VLOOKUP(B334,Nyers!A:D,4,0),"")</f>
        <v/>
      </c>
      <c r="I334" t="str">
        <f>_xlfn.IFNA(VLOOKUP(B334,Nyers!A:G,7,0),"")</f>
        <v/>
      </c>
    </row>
    <row r="335" spans="1:9" x14ac:dyDescent="0.25">
      <c r="A335">
        <f t="shared" si="2"/>
        <v>49</v>
      </c>
      <c r="B335" s="41">
        <v>45991</v>
      </c>
      <c r="C335" t="str">
        <f>_xlfn.IFNA(VLOOKUP(B335,SZO!A:B,2,0),"")</f>
        <v/>
      </c>
      <c r="D335">
        <f>VLOOKUP(B335,[1]Pivot!$A:$B,2,0)</f>
        <v>129</v>
      </c>
      <c r="E335" t="str">
        <f>_xlfn.IFNA(VLOOKUP(B335,Nyers!A:E,5,0),"")</f>
        <v/>
      </c>
      <c r="F335" t="str">
        <f>_xlfn.IFNA(VLOOKUP(B335,Nyers!A:F,6,0),"")</f>
        <v/>
      </c>
      <c r="G335" t="str">
        <f>_xlfn.IFNA(VLOOKUP(B335,Nyers!A:H,8,0),"")</f>
        <v/>
      </c>
      <c r="H335" t="str">
        <f>_xlfn.IFNA(VLOOKUP(B335,Nyers!A:D,4,0),"")</f>
        <v/>
      </c>
      <c r="I335" t="str">
        <f>_xlfn.IFNA(VLOOKUP(B335,Nyers!A:G,7,0),"")</f>
        <v/>
      </c>
    </row>
    <row r="336" spans="1:9" x14ac:dyDescent="0.25">
      <c r="A336">
        <f t="shared" si="2"/>
        <v>49</v>
      </c>
      <c r="B336" s="41">
        <v>45992</v>
      </c>
      <c r="C336">
        <f>_xlfn.IFNA(VLOOKUP(B336,SZO!A:B,2,0),"")</f>
        <v>9</v>
      </c>
      <c r="D336">
        <f>VLOOKUP(B336,[1]Pivot!$A:$B,2,0)</f>
        <v>609</v>
      </c>
      <c r="E336">
        <f>_xlfn.IFNA(VLOOKUP(B336,Nyers!A:E,5,0),"")</f>
        <v>394</v>
      </c>
      <c r="F336">
        <f>_xlfn.IFNA(VLOOKUP(B336,Nyers!A:F,6,0),"")</f>
        <v>133</v>
      </c>
      <c r="G336">
        <f>_xlfn.IFNA(VLOOKUP(B336,Nyers!A:H,8,0),"")</f>
        <v>650</v>
      </c>
      <c r="H336">
        <f>_xlfn.IFNA(VLOOKUP(B336,Nyers!A:D,4,0),"")</f>
        <v>579</v>
      </c>
      <c r="I336">
        <f>_xlfn.IFNA(VLOOKUP(B336,Nyers!A:G,7,0),"")</f>
        <v>2019</v>
      </c>
    </row>
    <row r="337" spans="1:9" x14ac:dyDescent="0.25">
      <c r="A337">
        <f t="shared" si="2"/>
        <v>49</v>
      </c>
      <c r="B337" s="41">
        <v>45993</v>
      </c>
      <c r="C337">
        <f>_xlfn.IFNA(VLOOKUP(B337,SZO!A:B,2,0),"")</f>
        <v>0</v>
      </c>
      <c r="D337">
        <f>VLOOKUP(B337,[1]Pivot!$A:$B,2,0)</f>
        <v>660</v>
      </c>
      <c r="E337">
        <f>_xlfn.IFNA(VLOOKUP(B337,Nyers!A:E,5,0),"")</f>
        <v>372</v>
      </c>
      <c r="F337">
        <f>_xlfn.IFNA(VLOOKUP(B337,Nyers!A:F,6,0),"")</f>
        <v>142</v>
      </c>
      <c r="G337">
        <f>_xlfn.IFNA(VLOOKUP(B337,Nyers!A:H,8,0),"")</f>
        <v>562</v>
      </c>
      <c r="H337">
        <f>_xlfn.IFNA(VLOOKUP(B337,Nyers!A:D,4,0),"")</f>
        <v>576</v>
      </c>
      <c r="I337">
        <f>_xlfn.IFNA(VLOOKUP(B337,Nyers!A:G,7,0),"")</f>
        <v>2115</v>
      </c>
    </row>
    <row r="338" spans="1:9" x14ac:dyDescent="0.25">
      <c r="A338">
        <f t="shared" si="2"/>
        <v>49</v>
      </c>
      <c r="B338" s="41">
        <v>45994</v>
      </c>
      <c r="C338">
        <f>_xlfn.IFNA(VLOOKUP(B338,SZO!A:B,2,0),"")</f>
        <v>0</v>
      </c>
      <c r="D338">
        <f>VLOOKUP(B338,[1]Pivot!$A:$B,2,0)</f>
        <v>625</v>
      </c>
      <c r="E338">
        <f>_xlfn.IFNA(VLOOKUP(B338,Nyers!A:E,5,0),"")</f>
        <v>425</v>
      </c>
      <c r="F338">
        <f>_xlfn.IFNA(VLOOKUP(B338,Nyers!A:F,6,0),"")</f>
        <v>126</v>
      </c>
      <c r="G338">
        <f>_xlfn.IFNA(VLOOKUP(B338,Nyers!A:H,8,0),"")</f>
        <v>576</v>
      </c>
      <c r="H338">
        <f>_xlfn.IFNA(VLOOKUP(B338,Nyers!A:D,4,0),"")</f>
        <v>560</v>
      </c>
      <c r="I338">
        <f>_xlfn.IFNA(VLOOKUP(B338,Nyers!A:G,7,0),"")</f>
        <v>2239</v>
      </c>
    </row>
    <row r="339" spans="1:9" x14ac:dyDescent="0.25">
      <c r="A339">
        <f t="shared" si="2"/>
        <v>49</v>
      </c>
      <c r="B339" s="41">
        <v>45995</v>
      </c>
      <c r="C339">
        <f>_xlfn.IFNA(VLOOKUP(B339,SZO!A:B,2,0),"")</f>
        <v>0</v>
      </c>
      <c r="D339">
        <f>VLOOKUP(B339,[1]Pivot!$A:$B,2,0)</f>
        <v>604</v>
      </c>
      <c r="E339">
        <f>_xlfn.IFNA(VLOOKUP(B339,Nyers!A:E,5,0),"")</f>
        <v>330</v>
      </c>
      <c r="F339">
        <f>_xlfn.IFNA(VLOOKUP(B339,Nyers!A:F,6,0),"")</f>
        <v>111</v>
      </c>
      <c r="G339">
        <f>_xlfn.IFNA(VLOOKUP(B339,Nyers!A:H,8,0),"")</f>
        <v>407</v>
      </c>
      <c r="H339">
        <f>_xlfn.IFNA(VLOOKUP(B339,Nyers!A:D,4,0),"")</f>
        <v>649</v>
      </c>
      <c r="I339">
        <f>_xlfn.IFNA(VLOOKUP(B339,Nyers!A:G,7,0),"")</f>
        <v>2228</v>
      </c>
    </row>
    <row r="340" spans="1:9" x14ac:dyDescent="0.25">
      <c r="A340">
        <f t="shared" si="2"/>
        <v>49</v>
      </c>
      <c r="B340" s="41">
        <v>45996</v>
      </c>
      <c r="C340">
        <f>_xlfn.IFNA(VLOOKUP(B340,SZO!A:B,2,0),"")</f>
        <v>0</v>
      </c>
      <c r="D340">
        <f>VLOOKUP(B340,[1]Pivot!$A:$B,2,0)</f>
        <v>406</v>
      </c>
      <c r="E340">
        <f>_xlfn.IFNA(VLOOKUP(B340,Nyers!A:E,5,0),"")</f>
        <v>267</v>
      </c>
      <c r="F340">
        <f>_xlfn.IFNA(VLOOKUP(B340,Nyers!A:F,6,0),"")</f>
        <v>105</v>
      </c>
      <c r="G340">
        <f>_xlfn.IFNA(VLOOKUP(B340,Nyers!A:H,8,0),"")</f>
        <v>433</v>
      </c>
      <c r="H340">
        <f>_xlfn.IFNA(VLOOKUP(B340,Nyers!A:D,4,0),"")</f>
        <v>446</v>
      </c>
      <c r="I340">
        <f>_xlfn.IFNA(VLOOKUP(B340,Nyers!A:G,7,0),"")</f>
        <v>2555</v>
      </c>
    </row>
    <row r="341" spans="1:9" x14ac:dyDescent="0.25">
      <c r="A341">
        <f t="shared" si="2"/>
        <v>49</v>
      </c>
      <c r="B341" s="41">
        <v>45997</v>
      </c>
      <c r="C341" t="str">
        <f>_xlfn.IFNA(VLOOKUP(B341,SZO!A:B,2,0),"")</f>
        <v/>
      </c>
      <c r="D341">
        <f>VLOOKUP(B341,[1]Pivot!$A:$B,2,0)</f>
        <v>88</v>
      </c>
      <c r="E341" t="str">
        <f>_xlfn.IFNA(VLOOKUP(B341,Nyers!A:E,5,0),"")</f>
        <v/>
      </c>
      <c r="F341" t="str">
        <f>_xlfn.IFNA(VLOOKUP(B341,Nyers!A:F,6,0),"")</f>
        <v/>
      </c>
      <c r="G341" t="str">
        <f>_xlfn.IFNA(VLOOKUP(B341,Nyers!A:H,8,0),"")</f>
        <v/>
      </c>
      <c r="H341" t="str">
        <f>_xlfn.IFNA(VLOOKUP(B341,Nyers!A:D,4,0),"")</f>
        <v/>
      </c>
      <c r="I341" t="str">
        <f>_xlfn.IFNA(VLOOKUP(B341,Nyers!A:G,7,0),"")</f>
        <v/>
      </c>
    </row>
    <row r="342" spans="1:9" x14ac:dyDescent="0.25">
      <c r="A342">
        <f t="shared" si="2"/>
        <v>50</v>
      </c>
      <c r="B342" s="41">
        <v>45998</v>
      </c>
      <c r="C342" t="str">
        <f>_xlfn.IFNA(VLOOKUP(B342,SZO!A:B,2,0),"")</f>
        <v/>
      </c>
      <c r="D342">
        <f>VLOOKUP(B342,[1]Pivot!$A:$B,2,0)</f>
        <v>135</v>
      </c>
      <c r="E342" t="str">
        <f>_xlfn.IFNA(VLOOKUP(B342,Nyers!A:E,5,0),"")</f>
        <v/>
      </c>
      <c r="F342" t="str">
        <f>_xlfn.IFNA(VLOOKUP(B342,Nyers!A:F,6,0),"")</f>
        <v/>
      </c>
      <c r="G342" t="str">
        <f>_xlfn.IFNA(VLOOKUP(B342,Nyers!A:H,8,0),"")</f>
        <v/>
      </c>
      <c r="H342" t="str">
        <f>_xlfn.IFNA(VLOOKUP(B342,Nyers!A:D,4,0),"")</f>
        <v/>
      </c>
      <c r="I342" t="str">
        <f>_xlfn.IFNA(VLOOKUP(B342,Nyers!A:G,7,0),"")</f>
        <v/>
      </c>
    </row>
    <row r="343" spans="1:9" x14ac:dyDescent="0.25">
      <c r="A343">
        <f t="shared" si="2"/>
        <v>50</v>
      </c>
      <c r="B343" s="41">
        <v>45999</v>
      </c>
      <c r="C343">
        <f>_xlfn.IFNA(VLOOKUP(B343,SZO!A:B,2,0),"")</f>
        <v>0</v>
      </c>
      <c r="D343">
        <f>VLOOKUP(B343,[1]Pivot!$A:$B,2,0)</f>
        <v>566</v>
      </c>
      <c r="E343">
        <f>_xlfn.IFNA(VLOOKUP(B343,Nyers!A:E,5,0),"")</f>
        <v>415</v>
      </c>
      <c r="F343">
        <f>_xlfn.IFNA(VLOOKUP(B343,Nyers!A:F,6,0),"")</f>
        <v>82</v>
      </c>
      <c r="G343">
        <f>_xlfn.IFNA(VLOOKUP(B343,Nyers!A:H,8,0),"")</f>
        <v>527</v>
      </c>
      <c r="H343">
        <f>_xlfn.IFNA(VLOOKUP(B343,Nyers!A:D,4,0),"")</f>
        <v>412</v>
      </c>
      <c r="I343">
        <f>_xlfn.IFNA(VLOOKUP(B343,Nyers!A:G,7,0),"")</f>
        <v>2552</v>
      </c>
    </row>
    <row r="344" spans="1:9" x14ac:dyDescent="0.25">
      <c r="A344">
        <f t="shared" si="2"/>
        <v>50</v>
      </c>
      <c r="B344" s="41">
        <v>46000</v>
      </c>
      <c r="C344">
        <f>_xlfn.IFNA(VLOOKUP(B344,SZO!A:B,2,0),"")</f>
        <v>0</v>
      </c>
      <c r="D344">
        <f>VLOOKUP(B344,[1]Pivot!$A:$B,2,0)</f>
        <v>448</v>
      </c>
      <c r="E344">
        <f>_xlfn.IFNA(VLOOKUP(B344,Nyers!A:E,5,0),"")</f>
        <v>314</v>
      </c>
      <c r="F344">
        <f>_xlfn.IFNA(VLOOKUP(B344,Nyers!A:F,6,0),"")</f>
        <v>77</v>
      </c>
      <c r="G344">
        <f>_xlfn.IFNA(VLOOKUP(B344,Nyers!A:H,8,0),"")</f>
        <v>362</v>
      </c>
      <c r="H344">
        <f>_xlfn.IFNA(VLOOKUP(B344,Nyers!A:D,4,0),"")</f>
        <v>519</v>
      </c>
      <c r="I344">
        <f>_xlfn.IFNA(VLOOKUP(B344,Nyers!A:G,7,0),"")</f>
        <v>2502</v>
      </c>
    </row>
    <row r="345" spans="1:9" x14ac:dyDescent="0.25">
      <c r="A345">
        <f t="shared" si="2"/>
        <v>50</v>
      </c>
      <c r="B345" s="41">
        <v>46001</v>
      </c>
      <c r="C345">
        <f>_xlfn.IFNA(VLOOKUP(B345,SZO!A:B,2,0),"")</f>
        <v>0</v>
      </c>
      <c r="D345">
        <f>VLOOKUP(B345,[1]Pivot!$A:$B,2,0)</f>
        <v>451</v>
      </c>
      <c r="E345">
        <f>_xlfn.IFNA(VLOOKUP(B345,Nyers!A:E,5,0),"")</f>
        <v>358</v>
      </c>
      <c r="F345">
        <f>_xlfn.IFNA(VLOOKUP(B345,Nyers!A:F,6,0),"")</f>
        <v>78</v>
      </c>
      <c r="G345">
        <f>_xlfn.IFNA(VLOOKUP(B345,Nyers!A:H,8,0),"")</f>
        <v>336</v>
      </c>
      <c r="H345">
        <f>_xlfn.IFNA(VLOOKUP(B345,Nyers!A:D,4,0),"")</f>
        <v>569</v>
      </c>
      <c r="I345">
        <f>_xlfn.IFNA(VLOOKUP(B345,Nyers!A:G,7,0),"")</f>
        <v>2373</v>
      </c>
    </row>
    <row r="346" spans="1:9" x14ac:dyDescent="0.25">
      <c r="A346">
        <f t="shared" si="2"/>
        <v>50</v>
      </c>
      <c r="B346" s="41">
        <v>46002</v>
      </c>
      <c r="C346">
        <f>_xlfn.IFNA(VLOOKUP(B346,SZO!A:B,2,0),"")</f>
        <v>0</v>
      </c>
      <c r="D346">
        <f>VLOOKUP(B346,[1]Pivot!$A:$B,2,0)</f>
        <v>429</v>
      </c>
      <c r="E346">
        <f>_xlfn.IFNA(VLOOKUP(B346,Nyers!A:E,5,0),"")</f>
        <v>277</v>
      </c>
      <c r="F346">
        <f>_xlfn.IFNA(VLOOKUP(B346,Nyers!A:F,6,0),"")</f>
        <v>62</v>
      </c>
      <c r="G346">
        <f>_xlfn.IFNA(VLOOKUP(B346,Nyers!A:H,8,0),"")</f>
        <v>275</v>
      </c>
      <c r="H346">
        <f>_xlfn.IFNA(VLOOKUP(B346,Nyers!A:D,4,0),"")</f>
        <v>625</v>
      </c>
      <c r="I346">
        <f>_xlfn.IFNA(VLOOKUP(B346,Nyers!A:G,7,0),"")</f>
        <v>2175</v>
      </c>
    </row>
    <row r="347" spans="1:9" x14ac:dyDescent="0.25">
      <c r="A347">
        <f t="shared" si="2"/>
        <v>50</v>
      </c>
      <c r="B347" s="41">
        <v>46003</v>
      </c>
      <c r="C347">
        <f>_xlfn.IFNA(VLOOKUP(B347,SZO!A:B,2,0),"")</f>
        <v>3276</v>
      </c>
      <c r="D347">
        <f>VLOOKUP(B347,[1]Pivot!$A:$B,2,0)</f>
        <v>311</v>
      </c>
      <c r="E347">
        <f>_xlfn.IFNA(VLOOKUP(B347,Nyers!A:E,5,0),"")</f>
        <v>250</v>
      </c>
      <c r="F347">
        <f>_xlfn.IFNA(VLOOKUP(B347,Nyers!A:F,6,0),"")</f>
        <v>75</v>
      </c>
      <c r="G347">
        <f>_xlfn.IFNA(VLOOKUP(B347,Nyers!A:H,8,0),"")</f>
        <v>276</v>
      </c>
      <c r="H347">
        <f>_xlfn.IFNA(VLOOKUP(B347,Nyers!A:D,4,0),"")</f>
        <v>0</v>
      </c>
      <c r="I347">
        <f>_xlfn.IFNA(VLOOKUP(B347,Nyers!A:G,7,0),"")</f>
        <v>0</v>
      </c>
    </row>
    <row r="348" spans="1:9" x14ac:dyDescent="0.25">
      <c r="A348">
        <f t="shared" si="2"/>
        <v>50</v>
      </c>
      <c r="B348" s="41">
        <v>46004</v>
      </c>
      <c r="C348">
        <f>_xlfn.IFNA(VLOOKUP(B348,SZO!A:B,2,0),"")</f>
        <v>5591</v>
      </c>
      <c r="D348">
        <f>VLOOKUP(B348,[1]Pivot!$A:$B,2,0)</f>
        <v>163</v>
      </c>
      <c r="E348">
        <f>_xlfn.IFNA(VLOOKUP(B348,Nyers!A:E,5,0),"")</f>
        <v>0</v>
      </c>
      <c r="F348">
        <f>_xlfn.IFNA(VLOOKUP(B348,Nyers!A:F,6,0),"")</f>
        <v>0</v>
      </c>
      <c r="G348">
        <f>_xlfn.IFNA(VLOOKUP(B348,Nyers!A:H,8,0),"")</f>
        <v>0</v>
      </c>
      <c r="H348">
        <f>_xlfn.IFNA(VLOOKUP(B348,Nyers!A:D,4,0),"")</f>
        <v>231</v>
      </c>
      <c r="I348">
        <f>_xlfn.IFNA(VLOOKUP(B348,Nyers!A:G,7,0),"")</f>
        <v>2113</v>
      </c>
    </row>
    <row r="349" spans="1:9" x14ac:dyDescent="0.25">
      <c r="A349">
        <f t="shared" si="2"/>
        <v>51</v>
      </c>
      <c r="B349" s="41">
        <v>46005</v>
      </c>
      <c r="C349" t="str">
        <f>_xlfn.IFNA(VLOOKUP(B349,SZO!A:B,2,0),"")</f>
        <v/>
      </c>
      <c r="D349">
        <f>VLOOKUP(B349,[1]Pivot!$A:$B,2,0)</f>
        <v>100</v>
      </c>
      <c r="E349" t="str">
        <f>_xlfn.IFNA(VLOOKUP(B349,Nyers!A:E,5,0),"")</f>
        <v/>
      </c>
      <c r="F349" t="str">
        <f>_xlfn.IFNA(VLOOKUP(B349,Nyers!A:F,6,0),"")</f>
        <v/>
      </c>
      <c r="G349" t="str">
        <f>_xlfn.IFNA(VLOOKUP(B349,Nyers!A:H,8,0),"")</f>
        <v/>
      </c>
      <c r="H349" t="str">
        <f>_xlfn.IFNA(VLOOKUP(B349,Nyers!A:D,4,0),"")</f>
        <v/>
      </c>
      <c r="I349" t="str">
        <f>_xlfn.IFNA(VLOOKUP(B349,Nyers!A:G,7,0),"")</f>
        <v/>
      </c>
    </row>
    <row r="350" spans="1:9" x14ac:dyDescent="0.25">
      <c r="A350">
        <f t="shared" si="2"/>
        <v>51</v>
      </c>
      <c r="B350" s="41">
        <v>46006</v>
      </c>
      <c r="C350">
        <f>_xlfn.IFNA(VLOOKUP(B350,SZO!A:B,2,0),"")</f>
        <v>0</v>
      </c>
      <c r="D350">
        <f>VLOOKUP(B350,[1]Pivot!$A:$B,2,0)</f>
        <v>515</v>
      </c>
      <c r="E350">
        <f>_xlfn.IFNA(VLOOKUP(B350,Nyers!A:E,5,0),"")</f>
        <v>370</v>
      </c>
      <c r="F350">
        <f>_xlfn.IFNA(VLOOKUP(B350,Nyers!A:F,6,0),"")</f>
        <v>88</v>
      </c>
      <c r="G350">
        <f>_xlfn.IFNA(VLOOKUP(B350,Nyers!A:H,8,0),"")</f>
        <v>443</v>
      </c>
      <c r="H350">
        <f>_xlfn.IFNA(VLOOKUP(B350,Nyers!A:D,4,0),"")</f>
        <v>510</v>
      </c>
      <c r="I350">
        <f>_xlfn.IFNA(VLOOKUP(B350,Nyers!A:G,7,0),"")</f>
        <v>2093</v>
      </c>
    </row>
    <row r="351" spans="1:9" x14ac:dyDescent="0.25">
      <c r="A351">
        <f t="shared" si="2"/>
        <v>51</v>
      </c>
      <c r="B351" s="41">
        <v>46007</v>
      </c>
      <c r="C351">
        <f>_xlfn.IFNA(VLOOKUP(B351,SZO!A:B,2,0),"")</f>
        <v>0</v>
      </c>
      <c r="D351">
        <f>VLOOKUP(B351,[1]Pivot!$A:$B,2,0)</f>
        <v>460</v>
      </c>
      <c r="E351">
        <f>_xlfn.IFNA(VLOOKUP(B351,Nyers!A:E,5,0),"")</f>
        <v>320</v>
      </c>
      <c r="F351">
        <f>_xlfn.IFNA(VLOOKUP(B351,Nyers!A:F,6,0),"")</f>
        <v>70</v>
      </c>
      <c r="G351">
        <f>_xlfn.IFNA(VLOOKUP(B351,Nyers!A:H,8,0),"")</f>
        <v>360</v>
      </c>
      <c r="H351">
        <f>_xlfn.IFNA(VLOOKUP(B351,Nyers!A:D,4,0),"")</f>
        <v>574</v>
      </c>
      <c r="I351">
        <f>_xlfn.IFNA(VLOOKUP(B351,Nyers!A:G,7,0),"")</f>
        <v>1949</v>
      </c>
    </row>
    <row r="352" spans="1:9" x14ac:dyDescent="0.25">
      <c r="A352">
        <f t="shared" si="2"/>
        <v>51</v>
      </c>
      <c r="B352" s="41">
        <v>46008</v>
      </c>
      <c r="C352">
        <f>_xlfn.IFNA(VLOOKUP(B352,SZO!A:B,2,0),"")</f>
        <v>0</v>
      </c>
      <c r="D352">
        <f>VLOOKUP(B352,[1]Pivot!$A:$B,2,0)</f>
        <v>473</v>
      </c>
      <c r="E352">
        <f>_xlfn.IFNA(VLOOKUP(B352,Nyers!A:E,5,0),"")</f>
        <v>384</v>
      </c>
      <c r="F352">
        <f>_xlfn.IFNA(VLOOKUP(B352,Nyers!A:F,6,0),"")</f>
        <v>104</v>
      </c>
      <c r="G352">
        <f>_xlfn.IFNA(VLOOKUP(B352,Nyers!A:H,8,0),"")</f>
        <v>506</v>
      </c>
      <c r="H352">
        <f>_xlfn.IFNA(VLOOKUP(B352,Nyers!A:D,4,0),"")</f>
        <v>598</v>
      </c>
      <c r="I352">
        <f>_xlfn.IFNA(VLOOKUP(B352,Nyers!A:G,7,0),"")</f>
        <v>1811</v>
      </c>
    </row>
    <row r="353" spans="1:9" x14ac:dyDescent="0.25">
      <c r="A353">
        <f t="shared" si="2"/>
        <v>51</v>
      </c>
      <c r="B353" s="41">
        <v>46009</v>
      </c>
      <c r="C353">
        <f>_xlfn.IFNA(VLOOKUP(B353,SZO!A:B,2,0),"")</f>
        <v>0</v>
      </c>
      <c r="D353">
        <f>VLOOKUP(B353,[1]Pivot!$A:$B,2,0)</f>
        <v>478</v>
      </c>
      <c r="E353">
        <f>_xlfn.IFNA(VLOOKUP(B353,Nyers!A:E,5,0),"")</f>
        <v>358</v>
      </c>
      <c r="F353">
        <f>_xlfn.IFNA(VLOOKUP(B353,Nyers!A:F,6,0),"")</f>
        <v>84</v>
      </c>
      <c r="G353">
        <f>_xlfn.IFNA(VLOOKUP(B353,Nyers!A:H,8,0),"")</f>
        <v>359</v>
      </c>
      <c r="H353">
        <f>_xlfn.IFNA(VLOOKUP(B353,Nyers!A:D,4,0),"")</f>
        <v>498</v>
      </c>
      <c r="I353">
        <f>_xlfn.IFNA(VLOOKUP(B353,Nyers!A:G,7,0),"")</f>
        <v>1767</v>
      </c>
    </row>
    <row r="354" spans="1:9" x14ac:dyDescent="0.25">
      <c r="A354">
        <f t="shared" si="2"/>
        <v>51</v>
      </c>
      <c r="B354" s="41">
        <v>46010</v>
      </c>
      <c r="C354">
        <f>_xlfn.IFNA(VLOOKUP(B354,SZO!A:B,2,0),"")</f>
        <v>7</v>
      </c>
      <c r="D354">
        <f>VLOOKUP(B354,[1]Pivot!$A:$B,2,0)</f>
        <v>446</v>
      </c>
      <c r="E354">
        <f>_xlfn.IFNA(VLOOKUP(B354,Nyers!A:E,5,0),"")</f>
        <v>265</v>
      </c>
      <c r="F354">
        <f>_xlfn.IFNA(VLOOKUP(B354,Nyers!A:F,6,0),"")</f>
        <v>79</v>
      </c>
      <c r="G354">
        <f>_xlfn.IFNA(VLOOKUP(B354,Nyers!A:H,8,0),"")</f>
        <v>287</v>
      </c>
      <c r="H354">
        <f>_xlfn.IFNA(VLOOKUP(B354,Nyers!A:D,4,0),"")</f>
        <v>424</v>
      </c>
      <c r="I354">
        <f>_xlfn.IFNA(VLOOKUP(B354,Nyers!A:G,7,0),"")</f>
        <v>1784</v>
      </c>
    </row>
    <row r="355" spans="1:9" x14ac:dyDescent="0.25">
      <c r="A355">
        <f t="shared" si="2"/>
        <v>51</v>
      </c>
      <c r="B355" s="41">
        <v>46011</v>
      </c>
      <c r="C355" t="str">
        <f>_xlfn.IFNA(VLOOKUP(B355,SZO!A:B,2,0),"")</f>
        <v/>
      </c>
      <c r="D355">
        <f>VLOOKUP(B355,[1]Pivot!$A:$B,2,0)</f>
        <v>101</v>
      </c>
      <c r="E355" t="str">
        <f>_xlfn.IFNA(VLOOKUP(B355,Nyers!A:E,5,0),"")</f>
        <v/>
      </c>
      <c r="F355" t="str">
        <f>_xlfn.IFNA(VLOOKUP(B355,Nyers!A:F,6,0),"")</f>
        <v/>
      </c>
      <c r="G355" t="str">
        <f>_xlfn.IFNA(VLOOKUP(B355,Nyers!A:H,8,0),"")</f>
        <v/>
      </c>
      <c r="H355" t="str">
        <f>_xlfn.IFNA(VLOOKUP(B355,Nyers!A:D,4,0),"")</f>
        <v/>
      </c>
      <c r="I355" t="str">
        <f>_xlfn.IFNA(VLOOKUP(B355,Nyers!A:G,7,0),"")</f>
        <v/>
      </c>
    </row>
    <row r="356" spans="1:9" x14ac:dyDescent="0.25">
      <c r="A356">
        <f t="shared" si="2"/>
        <v>52</v>
      </c>
      <c r="B356" s="41">
        <v>46012</v>
      </c>
      <c r="C356" t="str">
        <f>_xlfn.IFNA(VLOOKUP(B356,SZO!A:B,2,0),"")</f>
        <v/>
      </c>
      <c r="D356">
        <f>VLOOKUP(B356,[1]Pivot!$A:$B,2,0)</f>
        <v>89</v>
      </c>
      <c r="E356" t="str">
        <f>_xlfn.IFNA(VLOOKUP(B356,Nyers!A:E,5,0),"")</f>
        <v/>
      </c>
      <c r="F356" t="str">
        <f>_xlfn.IFNA(VLOOKUP(B356,Nyers!A:F,6,0),"")</f>
        <v/>
      </c>
      <c r="G356" t="str">
        <f>_xlfn.IFNA(VLOOKUP(B356,Nyers!A:H,8,0),"")</f>
        <v/>
      </c>
      <c r="H356" t="str">
        <f>_xlfn.IFNA(VLOOKUP(B356,Nyers!A:D,4,0),"")</f>
        <v/>
      </c>
      <c r="I356" t="str">
        <f>_xlfn.IFNA(VLOOKUP(B356,Nyers!A:G,7,0),"")</f>
        <v/>
      </c>
    </row>
    <row r="357" spans="1:9" x14ac:dyDescent="0.25">
      <c r="A357">
        <f t="shared" si="2"/>
        <v>52</v>
      </c>
      <c r="B357" s="41">
        <v>46013</v>
      </c>
      <c r="C357">
        <f>_xlfn.IFNA(VLOOKUP(B357,SZO!A:B,2,0),"")</f>
        <v>0</v>
      </c>
      <c r="D357">
        <f>VLOOKUP(B357,[1]Pivot!$A:$B,2,0)</f>
        <v>371</v>
      </c>
      <c r="E357">
        <f>_xlfn.IFNA(VLOOKUP(B357,Nyers!A:E,5,0),"")</f>
        <v>437</v>
      </c>
      <c r="F357">
        <f>_xlfn.IFNA(VLOOKUP(B357,Nyers!A:F,6,0),"")</f>
        <v>80</v>
      </c>
      <c r="G357">
        <f>_xlfn.IFNA(VLOOKUP(B357,Nyers!A:H,8,0),"")</f>
        <v>368</v>
      </c>
      <c r="H357">
        <f>_xlfn.IFNA(VLOOKUP(B357,Nyers!A:D,4,0),"")</f>
        <v>385</v>
      </c>
      <c r="I357">
        <f>_xlfn.IFNA(VLOOKUP(B357,Nyers!A:G,7,0),"")</f>
        <v>1978</v>
      </c>
    </row>
    <row r="358" spans="1:9" x14ac:dyDescent="0.25">
      <c r="A358">
        <f t="shared" si="2"/>
        <v>52</v>
      </c>
      <c r="B358" s="41">
        <v>46014</v>
      </c>
      <c r="C358">
        <f>_xlfn.IFNA(VLOOKUP(B358,SZO!A:B,2,0),"")</f>
        <v>0</v>
      </c>
      <c r="D358">
        <f>VLOOKUP(B358,[1]Pivot!$A:$B,2,0)</f>
        <v>300</v>
      </c>
      <c r="E358">
        <f>_xlfn.IFNA(VLOOKUP(B358,Nyers!A:E,5,0),"")</f>
        <v>306</v>
      </c>
      <c r="F358">
        <f>_xlfn.IFNA(VLOOKUP(B358,Nyers!A:F,6,0),"")</f>
        <v>87</v>
      </c>
      <c r="G358">
        <f>_xlfn.IFNA(VLOOKUP(B358,Nyers!A:H,8,0),"")</f>
        <v>251</v>
      </c>
      <c r="H358">
        <f>_xlfn.IFNA(VLOOKUP(B358,Nyers!A:D,4,0),"")</f>
        <v>398</v>
      </c>
      <c r="I358">
        <f>_xlfn.IFNA(VLOOKUP(B358,Nyers!A:G,7,0),"")</f>
        <v>2263</v>
      </c>
    </row>
    <row r="359" spans="1:9" x14ac:dyDescent="0.25">
      <c r="A359">
        <f t="shared" si="2"/>
        <v>52</v>
      </c>
      <c r="B359" s="41">
        <v>46015</v>
      </c>
      <c r="C359">
        <f>_xlfn.IFNA(VLOOKUP(B359,SZO!A:B,2,0),"")</f>
        <v>0</v>
      </c>
      <c r="D359">
        <f>VLOOKUP(B359,[1]Pivot!$A:$B,2,0)</f>
        <v>62</v>
      </c>
      <c r="E359" t="str">
        <f>_xlfn.IFNA(VLOOKUP(B359,Nyers!A:E,5,0),"")</f>
        <v/>
      </c>
      <c r="F359" t="str">
        <f>_xlfn.IFNA(VLOOKUP(B359,Nyers!A:F,6,0),"")</f>
        <v/>
      </c>
      <c r="G359" t="str">
        <f>_xlfn.IFNA(VLOOKUP(B359,Nyers!A:H,8,0),"")</f>
        <v/>
      </c>
      <c r="H359" t="str">
        <f>_xlfn.IFNA(VLOOKUP(B359,Nyers!A:D,4,0),"")</f>
        <v/>
      </c>
      <c r="I359" t="str">
        <f>_xlfn.IFNA(VLOOKUP(B359,Nyers!A:G,7,0),"")</f>
        <v/>
      </c>
    </row>
    <row r="360" spans="1:9" x14ac:dyDescent="0.25">
      <c r="A360">
        <f t="shared" si="2"/>
        <v>52</v>
      </c>
      <c r="B360" s="41">
        <v>46016</v>
      </c>
      <c r="C360">
        <f>_xlfn.IFNA(VLOOKUP(B360,SZO!A:B,2,0),"")</f>
        <v>0</v>
      </c>
      <c r="D360">
        <f>VLOOKUP(B360,[1]Pivot!$A:$B,2,0)</f>
        <v>42</v>
      </c>
      <c r="E360" t="str">
        <f>_xlfn.IFNA(VLOOKUP(B360,Nyers!A:E,5,0),"")</f>
        <v/>
      </c>
      <c r="F360" t="str">
        <f>_xlfn.IFNA(VLOOKUP(B360,Nyers!A:F,6,0),"")</f>
        <v/>
      </c>
      <c r="G360" t="str">
        <f>_xlfn.IFNA(VLOOKUP(B360,Nyers!A:H,8,0),"")</f>
        <v/>
      </c>
      <c r="H360" t="str">
        <f>_xlfn.IFNA(VLOOKUP(B360,Nyers!A:D,4,0),"")</f>
        <v/>
      </c>
      <c r="I360" t="str">
        <f>_xlfn.IFNA(VLOOKUP(B360,Nyers!A:G,7,0),"")</f>
        <v/>
      </c>
    </row>
    <row r="361" spans="1:9" x14ac:dyDescent="0.25">
      <c r="A361">
        <f t="shared" si="2"/>
        <v>52</v>
      </c>
      <c r="B361" s="41">
        <v>46017</v>
      </c>
      <c r="C361">
        <f>_xlfn.IFNA(VLOOKUP(B361,SZO!A:B,2,0),"")</f>
        <v>0</v>
      </c>
      <c r="D361">
        <f>VLOOKUP(B361,[1]Pivot!$A:$B,2,0)</f>
        <v>68</v>
      </c>
      <c r="E361" t="str">
        <f>_xlfn.IFNA(VLOOKUP(B361,Nyers!A:E,5,0),"")</f>
        <v/>
      </c>
      <c r="F361" t="str">
        <f>_xlfn.IFNA(VLOOKUP(B361,Nyers!A:F,6,0),"")</f>
        <v/>
      </c>
      <c r="G361" t="str">
        <f>_xlfn.IFNA(VLOOKUP(B361,Nyers!A:H,8,0),"")</f>
        <v/>
      </c>
      <c r="H361" t="str">
        <f>_xlfn.IFNA(VLOOKUP(B361,Nyers!A:D,4,0),"")</f>
        <v/>
      </c>
      <c r="I361" t="str">
        <f>_xlfn.IFNA(VLOOKUP(B361,Nyers!A:G,7,0),"")</f>
        <v/>
      </c>
    </row>
    <row r="362" spans="1:9" x14ac:dyDescent="0.25">
      <c r="A362">
        <f t="shared" si="2"/>
        <v>52</v>
      </c>
      <c r="B362" s="41">
        <v>46018</v>
      </c>
      <c r="C362" t="str">
        <f>_xlfn.IFNA(VLOOKUP(B362,SZO!A:B,2,0),"")</f>
        <v/>
      </c>
      <c r="D362">
        <f>VLOOKUP(B362,[1]Pivot!$A:$B,2,0)</f>
        <v>81</v>
      </c>
      <c r="E362" t="str">
        <f>_xlfn.IFNA(VLOOKUP(B362,Nyers!A:E,5,0),"")</f>
        <v/>
      </c>
      <c r="F362" t="str">
        <f>_xlfn.IFNA(VLOOKUP(B362,Nyers!A:F,6,0),"")</f>
        <v/>
      </c>
      <c r="G362" t="str">
        <f>_xlfn.IFNA(VLOOKUP(B362,Nyers!A:H,8,0),"")</f>
        <v/>
      </c>
      <c r="H362" t="str">
        <f>_xlfn.IFNA(VLOOKUP(B362,Nyers!A:D,4,0),"")</f>
        <v/>
      </c>
      <c r="I362" t="str">
        <f>_xlfn.IFNA(VLOOKUP(B362,Nyers!A:G,7,0),"")</f>
        <v/>
      </c>
    </row>
    <row r="363" spans="1:9" x14ac:dyDescent="0.25">
      <c r="A363">
        <f t="shared" si="2"/>
        <v>53</v>
      </c>
      <c r="B363" s="41">
        <v>46019</v>
      </c>
      <c r="C363" t="str">
        <f>_xlfn.IFNA(VLOOKUP(B363,SZO!A:B,2,0),"")</f>
        <v/>
      </c>
      <c r="D363">
        <f>VLOOKUP(B363,[1]Pivot!$A:$B,2,0)</f>
        <v>79</v>
      </c>
      <c r="E363" t="str">
        <f>_xlfn.IFNA(VLOOKUP(B363,Nyers!A:E,5,0),"")</f>
        <v/>
      </c>
      <c r="F363" t="str">
        <f>_xlfn.IFNA(VLOOKUP(B363,Nyers!A:F,6,0),"")</f>
        <v/>
      </c>
      <c r="G363" t="str">
        <f>_xlfn.IFNA(VLOOKUP(B363,Nyers!A:H,8,0),"")</f>
        <v/>
      </c>
      <c r="H363" t="str">
        <f>_xlfn.IFNA(VLOOKUP(B363,Nyers!A:D,4,0),"")</f>
        <v/>
      </c>
      <c r="I363" t="str">
        <f>_xlfn.IFNA(VLOOKUP(B363,Nyers!A:G,7,0),"")</f>
        <v/>
      </c>
    </row>
    <row r="364" spans="1:9" x14ac:dyDescent="0.25">
      <c r="A364">
        <f t="shared" si="2"/>
        <v>53</v>
      </c>
      <c r="B364" s="41">
        <v>46020</v>
      </c>
      <c r="C364">
        <f>_xlfn.IFNA(VLOOKUP(B364,SZO!A:B,2,0),"")</f>
        <v>0</v>
      </c>
      <c r="D364">
        <f>VLOOKUP(B364,[1]Pivot!$A:$B,2,0)</f>
        <v>336</v>
      </c>
      <c r="E364">
        <f>_xlfn.IFNA(VLOOKUP(B364,Nyers!A:E,5,0),"")</f>
        <v>512</v>
      </c>
      <c r="F364">
        <f>_xlfn.IFNA(VLOOKUP(B364,Nyers!A:F,6,0),"")</f>
        <v>63</v>
      </c>
      <c r="G364">
        <f>_xlfn.IFNA(VLOOKUP(B364,Nyers!A:H,8,0),"")</f>
        <v>319</v>
      </c>
      <c r="H364">
        <f>_xlfn.IFNA(VLOOKUP(B364,Nyers!A:D,4,0),"")</f>
        <v>431</v>
      </c>
      <c r="I364">
        <f>_xlfn.IFNA(VLOOKUP(B364,Nyers!A:G,7,0),"")</f>
        <v>2121</v>
      </c>
    </row>
    <row r="365" spans="1:9" x14ac:dyDescent="0.25">
      <c r="A365">
        <f t="shared" si="2"/>
        <v>53</v>
      </c>
      <c r="B365" s="41">
        <v>46021</v>
      </c>
      <c r="C365">
        <f>_xlfn.IFNA(VLOOKUP(B365,SZO!A:B,2,0),"")</f>
        <v>0</v>
      </c>
      <c r="D365">
        <f>VLOOKUP(B365,[1]Pivot!$A:$B,2,0)</f>
        <v>261</v>
      </c>
      <c r="E365">
        <f>_xlfn.IFNA(VLOOKUP(B365,Nyers!A:E,5,0),"")</f>
        <v>364</v>
      </c>
      <c r="F365">
        <f>_xlfn.IFNA(VLOOKUP(B365,Nyers!A:F,6,0),"")</f>
        <v>41</v>
      </c>
      <c r="G365">
        <f>_xlfn.IFNA(VLOOKUP(B365,Nyers!A:H,8,0),"")</f>
        <v>221</v>
      </c>
      <c r="H365">
        <f>_xlfn.IFNA(VLOOKUP(B365,Nyers!A:D,4,0),"")</f>
        <v>431</v>
      </c>
      <c r="I365">
        <f>_xlfn.IFNA(VLOOKUP(B365,Nyers!A:G,7,0),"")</f>
        <v>1898</v>
      </c>
    </row>
    <row r="366" spans="1:9" x14ac:dyDescent="0.25">
      <c r="A366">
        <f t="shared" si="2"/>
        <v>53</v>
      </c>
      <c r="B366" s="41">
        <v>46022</v>
      </c>
      <c r="C366">
        <f>_xlfn.IFNA(VLOOKUP(B366,SZO!A:B,2,0),"")</f>
        <v>0</v>
      </c>
      <c r="D366">
        <f>VLOOKUP(B366,[1]Pivot!$A:$B,2,0)</f>
        <v>146</v>
      </c>
      <c r="E366">
        <f>_xlfn.IFNA(VLOOKUP(B366,Nyers!A:E,5,0),"")</f>
        <v>102</v>
      </c>
      <c r="F366">
        <f>_xlfn.IFNA(VLOOKUP(B366,Nyers!A:F,6,0),"")</f>
        <v>17</v>
      </c>
      <c r="G366">
        <f>_xlfn.IFNA(VLOOKUP(B366,Nyers!A:H,8,0),"")</f>
        <v>62</v>
      </c>
      <c r="H366">
        <f>_xlfn.IFNA(VLOOKUP(B366,Nyers!A:D,4,0),"")</f>
        <v>218</v>
      </c>
      <c r="I366">
        <f>_xlfn.IFNA(VLOOKUP(B366,Nyers!A:G,7,0),"")</f>
        <v>2306</v>
      </c>
    </row>
    <row r="367" spans="1:9" x14ac:dyDescent="0.25">
      <c r="A367">
        <f t="shared" si="2"/>
        <v>1</v>
      </c>
      <c r="B367" s="41">
        <v>46023</v>
      </c>
      <c r="C367">
        <f>_xlfn.IFNA(VLOOKUP(B367,SZO!A:B,2,0),"")</f>
        <v>0</v>
      </c>
      <c r="D367">
        <f>VLOOKUP(B367,[1]Pivot!$A:$B,2,0)</f>
        <v>49</v>
      </c>
      <c r="E367">
        <f>_xlfn.IFNA(VLOOKUP(B367,Nyers!A:E,5,0),"")</f>
        <v>0</v>
      </c>
      <c r="F367">
        <f>_xlfn.IFNA(VLOOKUP(B367,Nyers!A:F,6,0),"")</f>
        <v>0</v>
      </c>
      <c r="G367">
        <f>_xlfn.IFNA(VLOOKUP(B367,Nyers!A:H,8,0),"")</f>
        <v>0</v>
      </c>
      <c r="H367">
        <f>_xlfn.IFNA(VLOOKUP(B367,Nyers!A:D,4,0),"")</f>
        <v>0</v>
      </c>
      <c r="I367">
        <f>_xlfn.IFNA(VLOOKUP(B367,Nyers!A:G,7,0),"")</f>
        <v>0</v>
      </c>
    </row>
    <row r="368" spans="1:9" x14ac:dyDescent="0.25">
      <c r="A368">
        <f t="shared" si="2"/>
        <v>1</v>
      </c>
      <c r="B368" s="41">
        <v>46024</v>
      </c>
      <c r="C368">
        <f>_xlfn.IFNA(VLOOKUP(B368,SZO!A:B,2,0),"")</f>
        <v>0</v>
      </c>
      <c r="D368">
        <f>VLOOKUP(B368,[1]Pivot!$A:$B,2,0)</f>
        <v>142</v>
      </c>
      <c r="E368">
        <f>_xlfn.IFNA(VLOOKUP(B368,Nyers!A:E,5,0),"")</f>
        <v>0</v>
      </c>
      <c r="F368">
        <f>_xlfn.IFNA(VLOOKUP(B368,Nyers!A:F,6,0),"")</f>
        <v>0</v>
      </c>
      <c r="G368">
        <f>_xlfn.IFNA(VLOOKUP(B368,Nyers!A:H,8,0),"")</f>
        <v>0</v>
      </c>
      <c r="H368">
        <f>_xlfn.IFNA(VLOOKUP(B368,Nyers!A:D,4,0),"")</f>
        <v>0</v>
      </c>
      <c r="I368">
        <f>_xlfn.IFNA(VLOOKUP(B368,Nyers!A:G,7,0),"")</f>
        <v>0</v>
      </c>
    </row>
    <row r="369" spans="1:9" x14ac:dyDescent="0.25">
      <c r="A369">
        <f t="shared" si="2"/>
        <v>1</v>
      </c>
      <c r="B369" s="41">
        <v>46025</v>
      </c>
      <c r="C369" t="str">
        <f>_xlfn.IFNA(VLOOKUP(B369,SZO!A:B,2,0),"")</f>
        <v/>
      </c>
      <c r="D369">
        <f>VLOOKUP(B369,[1]Pivot!$A:$B,2,0)</f>
        <v>111</v>
      </c>
      <c r="E369">
        <f>_xlfn.IFNA(VLOOKUP(B369,Nyers!A:E,5,0),"")</f>
        <v>0</v>
      </c>
      <c r="F369">
        <f>_xlfn.IFNA(VLOOKUP(B369,Nyers!A:F,6,0),"")</f>
        <v>0</v>
      </c>
      <c r="G369">
        <f>_xlfn.IFNA(VLOOKUP(B369,Nyers!A:H,8,0),"")</f>
        <v>0</v>
      </c>
      <c r="H369">
        <f>_xlfn.IFNA(VLOOKUP(B369,Nyers!A:D,4,0),"")</f>
        <v>0</v>
      </c>
      <c r="I369">
        <f>_xlfn.IFNA(VLOOKUP(B369,Nyers!A:G,7,0),"")</f>
        <v>0</v>
      </c>
    </row>
    <row r="370" spans="1:9" x14ac:dyDescent="0.25">
      <c r="A370">
        <f t="shared" si="2"/>
        <v>2</v>
      </c>
      <c r="B370" s="41">
        <v>46026</v>
      </c>
      <c r="C370" t="str">
        <f>_xlfn.IFNA(VLOOKUP(B370,SZO!A:B,2,0),"")</f>
        <v/>
      </c>
      <c r="D370">
        <f>VLOOKUP(B370,[1]Pivot!$A:$B,2,0)</f>
        <v>114</v>
      </c>
      <c r="E370">
        <f>_xlfn.IFNA(VLOOKUP(B370,Nyers!A:E,5,0),"")</f>
        <v>0</v>
      </c>
      <c r="F370">
        <f>_xlfn.IFNA(VLOOKUP(B370,Nyers!A:F,6,0),"")</f>
        <v>0</v>
      </c>
      <c r="G370">
        <f>_xlfn.IFNA(VLOOKUP(B370,Nyers!A:H,8,0),"")</f>
        <v>0</v>
      </c>
      <c r="H370">
        <f>_xlfn.IFNA(VLOOKUP(B370,Nyers!A:D,4,0),"")</f>
        <v>0</v>
      </c>
      <c r="I370">
        <f>_xlfn.IFNA(VLOOKUP(B370,Nyers!A:G,7,0),"")</f>
        <v>0</v>
      </c>
    </row>
    <row r="371" spans="1:9" x14ac:dyDescent="0.25">
      <c r="A371">
        <f t="shared" si="2"/>
        <v>2</v>
      </c>
      <c r="B371" s="41">
        <v>46027</v>
      </c>
      <c r="C371">
        <f>_xlfn.IFNA(VLOOKUP(B371,SZO!A:B,2,0),"")</f>
        <v>0</v>
      </c>
      <c r="D371">
        <f>VLOOKUP(B371,[1]Pivot!$A:$B,2,0)</f>
        <v>530</v>
      </c>
      <c r="E371">
        <f>_xlfn.IFNA(VLOOKUP(B371,Nyers!A:E,5,0),"")</f>
        <v>733</v>
      </c>
      <c r="F371">
        <f>_xlfn.IFNA(VLOOKUP(B371,Nyers!A:F,6,0),"")</f>
        <v>97</v>
      </c>
      <c r="G371">
        <f>_xlfn.IFNA(VLOOKUP(B371,Nyers!A:H,8,0),"")</f>
        <v>572</v>
      </c>
      <c r="H371">
        <f>_xlfn.IFNA(VLOOKUP(B371,Nyers!A:D,4,0),"")</f>
        <v>425</v>
      </c>
      <c r="I371">
        <f>_xlfn.IFNA(VLOOKUP(B371,Nyers!A:G,7,0),"")</f>
        <v>2388</v>
      </c>
    </row>
    <row r="372" spans="1:9" x14ac:dyDescent="0.25">
      <c r="A372">
        <f t="shared" si="2"/>
        <v>2</v>
      </c>
      <c r="B372" s="41">
        <v>46028</v>
      </c>
      <c r="C372">
        <f>_xlfn.IFNA(VLOOKUP(B372,SZO!A:B,2,0),"")</f>
        <v>0</v>
      </c>
      <c r="D372">
        <f>VLOOKUP(B372,[1]Pivot!$A:$B,2,0)</f>
        <v>501</v>
      </c>
      <c r="E372">
        <f>_xlfn.IFNA(VLOOKUP(B372,Nyers!A:E,5,0),"")</f>
        <v>437</v>
      </c>
      <c r="F372">
        <f>_xlfn.IFNA(VLOOKUP(B372,Nyers!A:F,6,0),"")</f>
        <v>87</v>
      </c>
      <c r="G372">
        <f>_xlfn.IFNA(VLOOKUP(B372,Nyers!A:H,8,0),"")</f>
        <v>369</v>
      </c>
      <c r="H372">
        <f>_xlfn.IFNA(VLOOKUP(B372,Nyers!A:D,4,0),"")</f>
        <v>584</v>
      </c>
      <c r="I372">
        <f>_xlfn.IFNA(VLOOKUP(B372,Nyers!A:G,7,0),"")</f>
        <v>2243</v>
      </c>
    </row>
    <row r="373" spans="1:9" x14ac:dyDescent="0.25">
      <c r="A373">
        <f t="shared" si="2"/>
        <v>2</v>
      </c>
      <c r="B373" s="41">
        <v>46029</v>
      </c>
      <c r="C373">
        <f>_xlfn.IFNA(VLOOKUP(B373,SZO!A:B,2,0),"")</f>
        <v>0</v>
      </c>
      <c r="D373">
        <f>VLOOKUP(B373,[1]Pivot!$A:$B,2,0)</f>
        <v>437</v>
      </c>
      <c r="E373">
        <f>_xlfn.IFNA(VLOOKUP(B373,Nyers!A:E,5,0),"")</f>
        <v>349</v>
      </c>
      <c r="F373">
        <f>_xlfn.IFNA(VLOOKUP(B373,Nyers!A:F,6,0),"")</f>
        <v>72</v>
      </c>
      <c r="G373">
        <f>_xlfn.IFNA(VLOOKUP(B373,Nyers!A:H,8,0),"")</f>
        <v>355</v>
      </c>
      <c r="H373">
        <f>_xlfn.IFNA(VLOOKUP(B373,Nyers!A:D,4,0),"")</f>
        <v>573</v>
      </c>
      <c r="I373">
        <f>_xlfn.IFNA(VLOOKUP(B373,Nyers!A:G,7,0),"")</f>
        <v>2038</v>
      </c>
    </row>
    <row r="374" spans="1:9" x14ac:dyDescent="0.25">
      <c r="A374">
        <f t="shared" si="2"/>
        <v>2</v>
      </c>
      <c r="B374" s="41">
        <v>46030</v>
      </c>
      <c r="C374">
        <f>_xlfn.IFNA(VLOOKUP(B374,SZO!A:B,2,0),"")</f>
        <v>0</v>
      </c>
      <c r="D374">
        <f>VLOOKUP(B374,[1]Pivot!$A:$B,2,0)</f>
        <v>471</v>
      </c>
      <c r="E374">
        <f>_xlfn.IFNA(VLOOKUP(B374,Nyers!A:E,5,0),"")</f>
        <v>389</v>
      </c>
      <c r="F374">
        <f>_xlfn.IFNA(VLOOKUP(B374,Nyers!A:F,6,0),"")</f>
        <v>55</v>
      </c>
      <c r="G374">
        <f>_xlfn.IFNA(VLOOKUP(B374,Nyers!A:H,8,0),"")</f>
        <v>322</v>
      </c>
      <c r="H374">
        <f>_xlfn.IFNA(VLOOKUP(B374,Nyers!A:D,4,0),"")</f>
        <v>649</v>
      </c>
      <c r="I374">
        <f>_xlfn.IFNA(VLOOKUP(B374,Nyers!A:G,7,0),"")</f>
        <v>1806</v>
      </c>
    </row>
    <row r="375" spans="1:9" x14ac:dyDescent="0.25">
      <c r="A375">
        <f t="shared" si="2"/>
        <v>2</v>
      </c>
      <c r="B375" s="41">
        <v>46031</v>
      </c>
      <c r="C375">
        <f>_xlfn.IFNA(VLOOKUP(B375,SZO!A:B,2,0),"")</f>
        <v>0</v>
      </c>
      <c r="D375">
        <f>VLOOKUP(B375,[1]Pivot!$A:$B,2,0)</f>
        <v>384</v>
      </c>
      <c r="E375">
        <f>_xlfn.IFNA(VLOOKUP(B375,Nyers!A:E,5,0),"")</f>
        <v>306</v>
      </c>
      <c r="F375">
        <f>_xlfn.IFNA(VLOOKUP(B375,Nyers!A:F,6,0),"")</f>
        <v>61</v>
      </c>
      <c r="G375">
        <f>_xlfn.IFNA(VLOOKUP(B375,Nyers!A:H,8,0),"")</f>
        <v>285</v>
      </c>
      <c r="H375">
        <f>_xlfn.IFNA(VLOOKUP(B375,Nyers!A:D,4,0),"")</f>
        <v>521</v>
      </c>
      <c r="I375">
        <f>_xlfn.IFNA(VLOOKUP(B375,Nyers!A:G,7,0),"")</f>
        <v>1629</v>
      </c>
    </row>
    <row r="376" spans="1:9" x14ac:dyDescent="0.25">
      <c r="A376">
        <f t="shared" si="2"/>
        <v>2</v>
      </c>
      <c r="B376" s="41">
        <v>46032</v>
      </c>
      <c r="C376">
        <f>_xlfn.IFNA(VLOOKUP(B376,SZO!A:B,2,0),"")</f>
        <v>0</v>
      </c>
      <c r="D376">
        <f>VLOOKUP(B376,[1]Pivot!$A:$B,2,0)</f>
        <v>182</v>
      </c>
      <c r="E376">
        <f>_xlfn.IFNA(VLOOKUP(B376,Nyers!A:E,5,0),"")</f>
        <v>159</v>
      </c>
      <c r="F376">
        <f>_xlfn.IFNA(VLOOKUP(B376,Nyers!A:F,6,0),"")</f>
        <v>24</v>
      </c>
      <c r="G376">
        <f>_xlfn.IFNA(VLOOKUP(B376,Nyers!A:H,8,0),"")</f>
        <v>102</v>
      </c>
      <c r="H376">
        <f>_xlfn.IFNA(VLOOKUP(B376,Nyers!A:D,4,0),"")</f>
        <v>441</v>
      </c>
      <c r="I376">
        <f>_xlfn.IFNA(VLOOKUP(B376,Nyers!A:G,7,0),"")</f>
        <v>1470</v>
      </c>
    </row>
    <row r="377" spans="1:9" x14ac:dyDescent="0.25">
      <c r="A377">
        <f t="shared" si="2"/>
        <v>3</v>
      </c>
      <c r="B377" s="41">
        <v>46033</v>
      </c>
      <c r="C377" t="str">
        <f>_xlfn.IFNA(VLOOKUP(B377,SZO!A:B,2,0),"")</f>
        <v/>
      </c>
      <c r="D377">
        <f>VLOOKUP(B377,[1]Pivot!$A:$B,2,0)</f>
        <v>98</v>
      </c>
      <c r="E377">
        <f>_xlfn.IFNA(VLOOKUP(B377,Nyers!A:E,5,0),"")</f>
        <v>575</v>
      </c>
      <c r="F377">
        <f>_xlfn.IFNA(VLOOKUP(B377,Nyers!A:F,6,0),"")</f>
        <v>82</v>
      </c>
      <c r="G377">
        <f>_xlfn.IFNA(VLOOKUP(B377,Nyers!A:H,8,0),"")</f>
        <v>410</v>
      </c>
      <c r="H377">
        <f>_xlfn.IFNA(VLOOKUP(B377,Nyers!A:D,4,0),"")</f>
        <v>567</v>
      </c>
      <c r="I377">
        <f>_xlfn.IFNA(VLOOKUP(B377,Nyers!A:G,7,0),"")</f>
        <v>1291</v>
      </c>
    </row>
    <row r="378" spans="1:9" x14ac:dyDescent="0.25">
      <c r="A378">
        <f t="shared" si="2"/>
        <v>3</v>
      </c>
      <c r="B378" s="41">
        <v>46034</v>
      </c>
      <c r="C378">
        <f>_xlfn.IFNA(VLOOKUP(B378,SZO!A:B,2,0),"")</f>
        <v>0</v>
      </c>
      <c r="D378">
        <f>VLOOKUP(B378,[1]Pivot!$A:$B,2,0)</f>
        <v>471</v>
      </c>
      <c r="E378">
        <f>_xlfn.IFNA(VLOOKUP(B378,Nyers!A:E,5,0),"")</f>
        <v>575</v>
      </c>
      <c r="F378">
        <f>_xlfn.IFNA(VLOOKUP(B378,Nyers!A:F,6,0),"")</f>
        <v>82</v>
      </c>
      <c r="G378">
        <f>_xlfn.IFNA(VLOOKUP(B378,Nyers!A:H,8,0),"")</f>
        <v>410</v>
      </c>
      <c r="H378">
        <f>_xlfn.IFNA(VLOOKUP(B378,Nyers!A:D,4,0),"")</f>
        <v>567</v>
      </c>
      <c r="I378">
        <f>_xlfn.IFNA(VLOOKUP(B378,Nyers!A:G,7,0),"")</f>
        <v>1291</v>
      </c>
    </row>
    <row r="379" spans="1:9" x14ac:dyDescent="0.25">
      <c r="A379">
        <f t="shared" si="2"/>
        <v>3</v>
      </c>
      <c r="B379" s="41">
        <v>46035</v>
      </c>
      <c r="C379">
        <f>_xlfn.IFNA(VLOOKUP(B379,SZO!A:B,2,0),"")</f>
        <v>0</v>
      </c>
      <c r="D379">
        <f>VLOOKUP(B379,[1]Pivot!$A:$B,2,0)</f>
        <v>427</v>
      </c>
      <c r="E379">
        <f>_xlfn.IFNA(VLOOKUP(B379,Nyers!A:E,5,0),"")</f>
        <v>381</v>
      </c>
      <c r="F379">
        <f>_xlfn.IFNA(VLOOKUP(B379,Nyers!A:F,6,0),"")</f>
        <v>59</v>
      </c>
      <c r="G379">
        <f>_xlfn.IFNA(VLOOKUP(B379,Nyers!A:H,8,0),"")</f>
        <v>313</v>
      </c>
      <c r="H379">
        <f>_xlfn.IFNA(VLOOKUP(B379,Nyers!A:D,4,0),"")</f>
        <v>573</v>
      </c>
      <c r="I379">
        <f>_xlfn.IFNA(VLOOKUP(B379,Nyers!A:G,7,0),"")</f>
        <v>1203</v>
      </c>
    </row>
    <row r="380" spans="1:9" x14ac:dyDescent="0.25">
      <c r="A380">
        <f t="shared" si="2"/>
        <v>3</v>
      </c>
      <c r="B380" s="41">
        <v>46036</v>
      </c>
      <c r="C380">
        <f>_xlfn.IFNA(VLOOKUP(B380,SZO!A:B,2,0),"")</f>
        <v>0</v>
      </c>
      <c r="D380">
        <f>VLOOKUP(B380,[1]Pivot!$A:$B,2,0)</f>
        <v>456</v>
      </c>
      <c r="E380">
        <f>_xlfn.IFNA(VLOOKUP(B380,Nyers!A:E,5,0),"")</f>
        <v>575</v>
      </c>
      <c r="F380">
        <f>_xlfn.IFNA(VLOOKUP(B380,Nyers!A:F,6,0),"")</f>
        <v>99</v>
      </c>
      <c r="G380">
        <f>_xlfn.IFNA(VLOOKUP(B380,Nyers!A:H,8,0),"")</f>
        <v>346</v>
      </c>
      <c r="H380">
        <f>_xlfn.IFNA(VLOOKUP(B380,Nyers!A:D,4,0),"")</f>
        <v>606</v>
      </c>
      <c r="I380">
        <f>_xlfn.IFNA(VLOOKUP(B380,Nyers!A:G,7,0),"")</f>
        <v>1041</v>
      </c>
    </row>
    <row r="381" spans="1:9" x14ac:dyDescent="0.25">
      <c r="A381">
        <f t="shared" si="2"/>
        <v>3</v>
      </c>
      <c r="B381" s="41">
        <v>46037</v>
      </c>
      <c r="C381">
        <f>_xlfn.IFNA(VLOOKUP(B381,SZO!A:B,2,0),"")</f>
        <v>0</v>
      </c>
      <c r="D381">
        <f>VLOOKUP(B381,[1]Pivot!$A:$B,2,0)</f>
        <v>435</v>
      </c>
      <c r="E381">
        <f>_xlfn.IFNA(VLOOKUP(B381,Nyers!A:E,5,0),"")</f>
        <v>626</v>
      </c>
      <c r="F381">
        <f>_xlfn.IFNA(VLOOKUP(B381,Nyers!A:F,6,0),"")</f>
        <v>52</v>
      </c>
      <c r="G381">
        <f>_xlfn.IFNA(VLOOKUP(B381,Nyers!A:H,8,0),"")</f>
        <v>302</v>
      </c>
      <c r="H381">
        <f>_xlfn.IFNA(VLOOKUP(B381,Nyers!A:D,4,0),"")</f>
        <v>441</v>
      </c>
      <c r="I381">
        <f>_xlfn.IFNA(VLOOKUP(B381,Nyers!A:G,7,0),"")</f>
        <v>1023</v>
      </c>
    </row>
    <row r="382" spans="1:9" x14ac:dyDescent="0.25">
      <c r="A382">
        <f t="shared" ref="A382:A407" si="3">WEEKNUM(B382)</f>
        <v>3</v>
      </c>
      <c r="B382" s="41">
        <v>46038</v>
      </c>
      <c r="C382">
        <f>_xlfn.IFNA(VLOOKUP(B382,SZO!A:B,2,0),"")</f>
        <v>0</v>
      </c>
      <c r="D382">
        <f>VLOOKUP(B382,[1]Pivot!$A:$B,2,0)</f>
        <v>329</v>
      </c>
      <c r="E382">
        <f>_xlfn.IFNA(VLOOKUP(B382,Nyers!A:E,5,0),"")</f>
        <v>539</v>
      </c>
      <c r="F382">
        <f>_xlfn.IFNA(VLOOKUP(B382,Nyers!A:F,6,0),"")</f>
        <v>51</v>
      </c>
      <c r="G382">
        <f>_xlfn.IFNA(VLOOKUP(B382,Nyers!A:H,8,0),"")</f>
        <v>327</v>
      </c>
      <c r="H382">
        <f>_xlfn.IFNA(VLOOKUP(B382,Nyers!A:D,4,0),"")</f>
        <v>435</v>
      </c>
      <c r="I382">
        <f>_xlfn.IFNA(VLOOKUP(B382,Nyers!A:G,7,0),"")</f>
        <v>1130</v>
      </c>
    </row>
    <row r="383" spans="1:9" x14ac:dyDescent="0.25">
      <c r="A383">
        <f t="shared" si="3"/>
        <v>3</v>
      </c>
      <c r="B383" s="41">
        <v>46039</v>
      </c>
      <c r="C383" t="str">
        <f>_xlfn.IFNA(VLOOKUP(B383,SZO!A:B,2,0),"")</f>
        <v/>
      </c>
      <c r="D383">
        <f>VLOOKUP(B383,[1]Pivot!$A:$B,2,0)</f>
        <v>82</v>
      </c>
      <c r="E383" t="str">
        <f>_xlfn.IFNA(VLOOKUP(B383,Nyers!A:E,5,0),"")</f>
        <v/>
      </c>
      <c r="F383" t="str">
        <f>_xlfn.IFNA(VLOOKUP(B383,Nyers!A:F,6,0),"")</f>
        <v/>
      </c>
      <c r="G383" t="str">
        <f>_xlfn.IFNA(VLOOKUP(B383,Nyers!A:H,8,0),"")</f>
        <v/>
      </c>
      <c r="H383" t="str">
        <f>_xlfn.IFNA(VLOOKUP(B383,Nyers!A:D,4,0),"")</f>
        <v/>
      </c>
      <c r="I383" t="str">
        <f>_xlfn.IFNA(VLOOKUP(B383,Nyers!A:G,7,0),"")</f>
        <v/>
      </c>
    </row>
    <row r="384" spans="1:9" x14ac:dyDescent="0.25">
      <c r="A384">
        <f t="shared" si="3"/>
        <v>4</v>
      </c>
      <c r="B384" s="41">
        <v>46040</v>
      </c>
      <c r="C384" t="str">
        <f>_xlfn.IFNA(VLOOKUP(B384,SZO!A:B,2,0),"")</f>
        <v/>
      </c>
      <c r="D384">
        <f>VLOOKUP(B384,[1]Pivot!$A:$B,2,0)</f>
        <v>85</v>
      </c>
      <c r="E384" t="str">
        <f>_xlfn.IFNA(VLOOKUP(B384,Nyers!A:E,5,0),"")</f>
        <v/>
      </c>
      <c r="F384" t="str">
        <f>_xlfn.IFNA(VLOOKUP(B384,Nyers!A:F,6,0),"")</f>
        <v/>
      </c>
      <c r="G384" t="str">
        <f>_xlfn.IFNA(VLOOKUP(B384,Nyers!A:H,8,0),"")</f>
        <v/>
      </c>
      <c r="H384" t="str">
        <f>_xlfn.IFNA(VLOOKUP(B384,Nyers!A:D,4,0),"")</f>
        <v/>
      </c>
      <c r="I384" t="str">
        <f>_xlfn.IFNA(VLOOKUP(B384,Nyers!A:G,7,0),"")</f>
        <v/>
      </c>
    </row>
    <row r="385" spans="1:9" x14ac:dyDescent="0.25">
      <c r="A385">
        <f t="shared" si="3"/>
        <v>4</v>
      </c>
      <c r="B385" s="41">
        <v>46041</v>
      </c>
      <c r="C385">
        <f>_xlfn.IFNA(VLOOKUP(B385,SZO!A:B,2,0),"")</f>
        <v>0</v>
      </c>
      <c r="D385">
        <f>VLOOKUP(B385,[1]Pivot!$A:$B,2,0)</f>
        <v>448</v>
      </c>
      <c r="E385">
        <f>_xlfn.IFNA(VLOOKUP(B385,Nyers!A:E,5,0),"")</f>
        <v>799</v>
      </c>
      <c r="F385">
        <f>_xlfn.IFNA(VLOOKUP(B385,Nyers!A:F,6,0),"")</f>
        <v>75</v>
      </c>
      <c r="G385">
        <f>_xlfn.IFNA(VLOOKUP(B385,Nyers!A:H,8,0),"")</f>
        <v>377</v>
      </c>
      <c r="H385">
        <f>_xlfn.IFNA(VLOOKUP(B385,Nyers!A:D,4,0),"")</f>
        <v>561</v>
      </c>
      <c r="I385">
        <f>_xlfn.IFNA(VLOOKUP(B385,Nyers!A:G,7,0),"")</f>
        <v>1038</v>
      </c>
    </row>
    <row r="386" spans="1:9" x14ac:dyDescent="0.25">
      <c r="A386">
        <f t="shared" si="3"/>
        <v>4</v>
      </c>
      <c r="B386" s="41">
        <v>46042</v>
      </c>
      <c r="C386">
        <f>_xlfn.IFNA(VLOOKUP(B386,SZO!A:B,2,0),"")</f>
        <v>0</v>
      </c>
      <c r="D386">
        <f>VLOOKUP(B386,[1]Pivot!$A:$B,2,0)</f>
        <v>451</v>
      </c>
      <c r="E386">
        <f>_xlfn.IFNA(VLOOKUP(B386,Nyers!A:E,5,0),"")</f>
        <v>756</v>
      </c>
      <c r="F386">
        <f>_xlfn.IFNA(VLOOKUP(B386,Nyers!A:F,6,0),"")</f>
        <v>48</v>
      </c>
      <c r="G386">
        <f>_xlfn.IFNA(VLOOKUP(B386,Nyers!A:H,8,0),"")</f>
        <v>369</v>
      </c>
      <c r="H386">
        <f>_xlfn.IFNA(VLOOKUP(B386,Nyers!A:D,4,0),"")</f>
        <v>507</v>
      </c>
      <c r="I386">
        <f>_xlfn.IFNA(VLOOKUP(B386,Nyers!A:G,7,0),"")</f>
        <v>950</v>
      </c>
    </row>
    <row r="387" spans="1:9" x14ac:dyDescent="0.25">
      <c r="A387">
        <f t="shared" si="3"/>
        <v>4</v>
      </c>
      <c r="B387" s="41">
        <v>46043</v>
      </c>
      <c r="C387">
        <f>_xlfn.IFNA(VLOOKUP(B387,SZO!A:B,2,0),"")</f>
        <v>0</v>
      </c>
      <c r="D387">
        <f>VLOOKUP(B387,[1]Pivot!$A:$B,2,0)</f>
        <v>417</v>
      </c>
      <c r="E387">
        <f>_xlfn.IFNA(VLOOKUP(B387,Nyers!A:E,5,0),"")</f>
        <v>878</v>
      </c>
      <c r="F387">
        <f>_xlfn.IFNA(VLOOKUP(B387,Nyers!A:F,6,0),"")</f>
        <v>74</v>
      </c>
      <c r="G387">
        <f>_xlfn.IFNA(VLOOKUP(B387,Nyers!A:H,8,0),"")</f>
        <v>382</v>
      </c>
      <c r="H387">
        <f>_xlfn.IFNA(VLOOKUP(B387,Nyers!A:D,4,0),"")</f>
        <v>502</v>
      </c>
      <c r="I387">
        <f>_xlfn.IFNA(VLOOKUP(B387,Nyers!A:G,7,0),"")</f>
        <v>927</v>
      </c>
    </row>
    <row r="388" spans="1:9" x14ac:dyDescent="0.25">
      <c r="A388">
        <f t="shared" si="3"/>
        <v>4</v>
      </c>
      <c r="B388" s="41">
        <v>46044</v>
      </c>
      <c r="C388">
        <f>_xlfn.IFNA(VLOOKUP(B388,SZO!A:B,2,0),"")</f>
        <v>0</v>
      </c>
      <c r="D388">
        <f>VLOOKUP(B388,[1]Pivot!$A:$B,2,0)</f>
        <v>404</v>
      </c>
      <c r="E388">
        <f>_xlfn.IFNA(VLOOKUP(B388,Nyers!A:E,5,0),"")</f>
        <v>718</v>
      </c>
      <c r="F388">
        <f>_xlfn.IFNA(VLOOKUP(B388,Nyers!A:F,6,0),"")</f>
        <v>42</v>
      </c>
      <c r="G388">
        <f>_xlfn.IFNA(VLOOKUP(B388,Nyers!A:H,8,0),"")</f>
        <v>283</v>
      </c>
      <c r="H388">
        <f>_xlfn.IFNA(VLOOKUP(B388,Nyers!A:D,4,0),"")</f>
        <v>486</v>
      </c>
      <c r="I388">
        <f>_xlfn.IFNA(VLOOKUP(B388,Nyers!A:G,7,0),"")</f>
        <v>903</v>
      </c>
    </row>
    <row r="389" spans="1:9" x14ac:dyDescent="0.25">
      <c r="A389">
        <f t="shared" si="3"/>
        <v>4</v>
      </c>
      <c r="B389" s="41">
        <v>46045</v>
      </c>
      <c r="C389">
        <f>_xlfn.IFNA(VLOOKUP(B389,SZO!A:B,2,0),"")</f>
        <v>27</v>
      </c>
      <c r="D389">
        <f>VLOOKUP(B389,[1]Pivot!$A:$B,2,0)</f>
        <v>345</v>
      </c>
      <c r="E389">
        <f>_xlfn.IFNA(VLOOKUP(B389,Nyers!A:E,5,0),"")</f>
        <v>595</v>
      </c>
      <c r="F389">
        <f>_xlfn.IFNA(VLOOKUP(B389,Nyers!A:F,6,0),"")</f>
        <v>87</v>
      </c>
      <c r="G389">
        <f>_xlfn.IFNA(VLOOKUP(B389,Nyers!A:H,8,0),"")</f>
        <v>317</v>
      </c>
      <c r="H389">
        <f>_xlfn.IFNA(VLOOKUP(B389,Nyers!A:D,4,0),"")</f>
        <v>494</v>
      </c>
      <c r="I389">
        <f>_xlfn.IFNA(VLOOKUP(B389,Nyers!A:G,7,0),"")</f>
        <v>1003</v>
      </c>
    </row>
    <row r="390" spans="1:9" x14ac:dyDescent="0.25">
      <c r="A390">
        <f t="shared" si="3"/>
        <v>4</v>
      </c>
      <c r="B390" s="41">
        <v>46046</v>
      </c>
      <c r="C390" t="str">
        <f>_xlfn.IFNA(VLOOKUP(B390,SZO!A:B,2,0),"")</f>
        <v/>
      </c>
      <c r="D390">
        <f>VLOOKUP(B390,[1]Pivot!$A:$B,2,0)</f>
        <v>78</v>
      </c>
      <c r="E390" t="str">
        <f>_xlfn.IFNA(VLOOKUP(B390,Nyers!A:E,5,0),"")</f>
        <v/>
      </c>
      <c r="F390" t="str">
        <f>_xlfn.IFNA(VLOOKUP(B390,Nyers!A:F,6,0),"")</f>
        <v/>
      </c>
      <c r="G390" t="str">
        <f>_xlfn.IFNA(VLOOKUP(B390,Nyers!A:H,8,0),"")</f>
        <v/>
      </c>
      <c r="H390" t="str">
        <f>_xlfn.IFNA(VLOOKUP(B390,Nyers!A:D,4,0),"")</f>
        <v/>
      </c>
      <c r="I390" t="str">
        <f>_xlfn.IFNA(VLOOKUP(B390,Nyers!A:G,7,0),"")</f>
        <v/>
      </c>
    </row>
    <row r="391" spans="1:9" x14ac:dyDescent="0.25">
      <c r="A391">
        <f t="shared" si="3"/>
        <v>5</v>
      </c>
      <c r="B391" s="41">
        <v>46047</v>
      </c>
      <c r="C391" t="str">
        <f>_xlfn.IFNA(VLOOKUP(B391,SZO!A:B,2,0),"")</f>
        <v/>
      </c>
      <c r="D391">
        <f>VLOOKUP(B391,[1]Pivot!$A:$B,2,0)</f>
        <v>97</v>
      </c>
      <c r="E391" t="str">
        <f>_xlfn.IFNA(VLOOKUP(B391,Nyers!A:E,5,0),"")</f>
        <v/>
      </c>
      <c r="F391" t="str">
        <f>_xlfn.IFNA(VLOOKUP(B391,Nyers!A:F,6,0),"")</f>
        <v/>
      </c>
      <c r="G391" t="str">
        <f>_xlfn.IFNA(VLOOKUP(B391,Nyers!A:H,8,0),"")</f>
        <v/>
      </c>
      <c r="H391" t="str">
        <f>_xlfn.IFNA(VLOOKUP(B391,Nyers!A:D,4,0),"")</f>
        <v/>
      </c>
      <c r="I391" t="str">
        <f>_xlfn.IFNA(VLOOKUP(B391,Nyers!A:G,7,0),"")</f>
        <v/>
      </c>
    </row>
    <row r="392" spans="1:9" x14ac:dyDescent="0.25">
      <c r="A392" s="42">
        <f t="shared" si="3"/>
        <v>5</v>
      </c>
      <c r="B392" s="43">
        <v>46048</v>
      </c>
      <c r="C392" s="42">
        <f>_xlfn.IFNA(VLOOKUP(B392,SZO!A:B,2,0),"")</f>
        <v>3180</v>
      </c>
      <c r="D392">
        <f>VLOOKUP(B392,[1]Pivot!$A:$B,2,0)</f>
        <v>472</v>
      </c>
      <c r="E392">
        <f>_xlfn.IFNA(VLOOKUP(B392,Nyers!A:E,5,0),"")</f>
        <v>985</v>
      </c>
      <c r="F392">
        <f>_xlfn.IFNA(VLOOKUP(B392,Nyers!A:F,6,0),"")</f>
        <v>90</v>
      </c>
      <c r="G392">
        <f>_xlfn.IFNA(VLOOKUP(B392,Nyers!A:H,8,0),"")</f>
        <v>468</v>
      </c>
      <c r="H392">
        <f>_xlfn.IFNA(VLOOKUP(B392,Nyers!A:D,4,0),"")</f>
        <v>486</v>
      </c>
      <c r="I392">
        <f>_xlfn.IFNA(VLOOKUP(B392,Nyers!A:G,7,0),"")</f>
        <v>1008</v>
      </c>
    </row>
    <row r="393" spans="1:9" x14ac:dyDescent="0.25">
      <c r="A393" s="42">
        <f t="shared" si="3"/>
        <v>5</v>
      </c>
      <c r="B393" s="43">
        <v>46049</v>
      </c>
      <c r="C393" s="42">
        <f>_xlfn.IFNA(VLOOKUP(B393,SZO!A:B,2,0),"")</f>
        <v>4624</v>
      </c>
      <c r="D393">
        <f>VLOOKUP(B393,[1]Pivot!$A:$B,2,0)</f>
        <v>449</v>
      </c>
      <c r="E393">
        <f>_xlfn.IFNA(VLOOKUP(B393,Nyers!A:E,5,0),"")</f>
        <v>995</v>
      </c>
      <c r="F393">
        <f>_xlfn.IFNA(VLOOKUP(B393,Nyers!A:F,6,0),"")</f>
        <v>74</v>
      </c>
      <c r="G393">
        <f>_xlfn.IFNA(VLOOKUP(B393,Nyers!A:H,8,0),"")</f>
        <v>432</v>
      </c>
      <c r="H393">
        <f>_xlfn.IFNA(VLOOKUP(B393,Nyers!A:D,4,0),"")</f>
        <v>396</v>
      </c>
      <c r="I393">
        <f>_xlfn.IFNA(VLOOKUP(B393,Nyers!A:G,7,0),"")</f>
        <v>1106</v>
      </c>
    </row>
    <row r="394" spans="1:9" x14ac:dyDescent="0.25">
      <c r="A394" s="42">
        <f t="shared" si="3"/>
        <v>5</v>
      </c>
      <c r="B394" s="43">
        <v>46050</v>
      </c>
      <c r="C394" s="42">
        <f>_xlfn.IFNA(VLOOKUP(B394,SZO!A:B,2,0),"")</f>
        <v>7037</v>
      </c>
      <c r="D394">
        <f>VLOOKUP(B394,[1]Pivot!$A:$B,2,0)</f>
        <v>417</v>
      </c>
      <c r="E394">
        <f>_xlfn.IFNA(VLOOKUP(B394,Nyers!A:E,5,0),"")</f>
        <v>1139</v>
      </c>
      <c r="F394">
        <f>_xlfn.IFNA(VLOOKUP(B394,Nyers!A:F,6,0),"")</f>
        <v>95</v>
      </c>
      <c r="G394">
        <f>_xlfn.IFNA(VLOOKUP(B394,Nyers!A:H,8,0),"")</f>
        <v>586</v>
      </c>
      <c r="H394">
        <f>_xlfn.IFNA(VLOOKUP(B394,Nyers!A:D,4,0),"")</f>
        <v>519</v>
      </c>
      <c r="I394">
        <f>_xlfn.IFNA(VLOOKUP(B394,Nyers!A:G,7,0),"")</f>
        <v>1038</v>
      </c>
    </row>
    <row r="395" spans="1:9" x14ac:dyDescent="0.25">
      <c r="A395" s="42">
        <f t="shared" si="3"/>
        <v>5</v>
      </c>
      <c r="B395" s="43">
        <v>46051</v>
      </c>
      <c r="C395" s="42">
        <f>_xlfn.IFNA(VLOOKUP(B395,SZO!A:B,2,0),"")</f>
        <v>3976</v>
      </c>
      <c r="D395">
        <f>VLOOKUP(B395,[1]Pivot!$A:$B,2,0)</f>
        <v>403</v>
      </c>
      <c r="E395">
        <f>_xlfn.IFNA(VLOOKUP(B395,Nyers!A:E,5,0),"")</f>
        <v>1010</v>
      </c>
      <c r="F395">
        <f>_xlfn.IFNA(VLOOKUP(B395,Nyers!A:F,6,0),"")</f>
        <v>69</v>
      </c>
      <c r="G395">
        <f>_xlfn.IFNA(VLOOKUP(B395,Nyers!A:H,8,0),"")</f>
        <v>386</v>
      </c>
      <c r="H395">
        <f>_xlfn.IFNA(VLOOKUP(B395,Nyers!A:D,4,0),"")</f>
        <v>519</v>
      </c>
      <c r="I395">
        <f>_xlfn.IFNA(VLOOKUP(B395,Nyers!A:G,7,0),"")</f>
        <v>1038</v>
      </c>
    </row>
    <row r="396" spans="1:9" x14ac:dyDescent="0.25">
      <c r="A396" s="42">
        <f t="shared" si="3"/>
        <v>5</v>
      </c>
      <c r="B396" s="43">
        <v>46052</v>
      </c>
      <c r="C396" s="42">
        <f>_xlfn.IFNA(VLOOKUP(B396,SZO!A:B,2,0),"")</f>
        <v>1913</v>
      </c>
      <c r="D396">
        <f>VLOOKUP(B396,[1]Pivot!$A:$B,2,0)</f>
        <v>488</v>
      </c>
      <c r="E396">
        <f>_xlfn.IFNA(VLOOKUP(B396,Nyers!A:E,5,0),"")</f>
        <v>1082</v>
      </c>
      <c r="F396">
        <f>_xlfn.IFNA(VLOOKUP(B396,Nyers!A:F,6,0),"")</f>
        <v>164</v>
      </c>
      <c r="G396">
        <f>_xlfn.IFNA(VLOOKUP(B396,Nyers!A:H,8,0),"")</f>
        <v>554</v>
      </c>
      <c r="H396">
        <f>_xlfn.IFNA(VLOOKUP(B396,Nyers!A:D,4,0),"")</f>
        <v>336</v>
      </c>
      <c r="I396">
        <f>_xlfn.IFNA(VLOOKUP(B396,Nyers!A:G,7,0),"")</f>
        <v>1121</v>
      </c>
    </row>
    <row r="397" spans="1:9" x14ac:dyDescent="0.25">
      <c r="A397">
        <f t="shared" si="3"/>
        <v>5</v>
      </c>
      <c r="B397" s="41">
        <v>46053</v>
      </c>
      <c r="C397" t="str">
        <f>_xlfn.IFNA(VLOOKUP(B397,SZO!A:B,2,0),"")</f>
        <v/>
      </c>
      <c r="D397">
        <f>VLOOKUP(B397,[1]Pivot!$A:$B,2,0)</f>
        <v>126</v>
      </c>
      <c r="E397" t="str">
        <f>_xlfn.IFNA(VLOOKUP(B397,Nyers!A:E,5,0),"")</f>
        <v/>
      </c>
      <c r="F397" t="str">
        <f>_xlfn.IFNA(VLOOKUP(B397,Nyers!A:F,6,0),"")</f>
        <v/>
      </c>
      <c r="G397" t="str">
        <f>_xlfn.IFNA(VLOOKUP(B397,Nyers!A:H,8,0),"")</f>
        <v/>
      </c>
      <c r="H397" t="str">
        <f>_xlfn.IFNA(VLOOKUP(B397,Nyers!A:D,4,0),"")</f>
        <v/>
      </c>
      <c r="I397" t="str">
        <f>_xlfn.IFNA(VLOOKUP(B397,Nyers!A:G,7,0),"")</f>
        <v/>
      </c>
    </row>
    <row r="398" spans="1:9" x14ac:dyDescent="0.25">
      <c r="A398">
        <f t="shared" si="3"/>
        <v>6</v>
      </c>
      <c r="B398" s="41">
        <v>46054</v>
      </c>
      <c r="C398" t="str">
        <f>_xlfn.IFNA(VLOOKUP(B398,SZO!A:B,2,0),"")</f>
        <v/>
      </c>
      <c r="E398" t="str">
        <f>_xlfn.IFNA(VLOOKUP(B398,Nyers!A:E,5,0),"")</f>
        <v/>
      </c>
      <c r="F398" t="str">
        <f>_xlfn.IFNA(VLOOKUP(B398,Nyers!A:F,6,0),"")</f>
        <v/>
      </c>
      <c r="G398" t="str">
        <f>_xlfn.IFNA(VLOOKUP(B398,Nyers!A:H,8,0),"")</f>
        <v/>
      </c>
      <c r="H398" t="str">
        <f>_xlfn.IFNA(VLOOKUP(B398,Nyers!A:D,4,0),"")</f>
        <v/>
      </c>
      <c r="I398" t="str">
        <f>_xlfn.IFNA(VLOOKUP(B398,Nyers!A:G,7,0),"")</f>
        <v/>
      </c>
    </row>
    <row r="399" spans="1:9" x14ac:dyDescent="0.25">
      <c r="A399">
        <f t="shared" si="3"/>
        <v>6</v>
      </c>
      <c r="B399" s="41">
        <v>46055</v>
      </c>
      <c r="C399">
        <f>_xlfn.IFNA(VLOOKUP(B399,SZO!A:B,2,0),"")</f>
        <v>2974</v>
      </c>
      <c r="E399">
        <f>_xlfn.IFNA(VLOOKUP(B399,Nyers!A:E,5,0),"")</f>
        <v>1107</v>
      </c>
      <c r="F399">
        <f>_xlfn.IFNA(VLOOKUP(B399,Nyers!A:F,6,0),"")</f>
        <v>284</v>
      </c>
      <c r="G399">
        <f>_xlfn.IFNA(VLOOKUP(B399,Nyers!A:H,8,0),"")</f>
        <v>1213</v>
      </c>
      <c r="H399">
        <f>_xlfn.IFNA(VLOOKUP(B399,Nyers!A:D,4,0),"")</f>
        <v>596</v>
      </c>
      <c r="I399">
        <f>_xlfn.IFNA(VLOOKUP(B399,Nyers!A:G,7,0),"")</f>
        <v>2056</v>
      </c>
    </row>
    <row r="400" spans="1:9" x14ac:dyDescent="0.25">
      <c r="A400">
        <f t="shared" si="3"/>
        <v>6</v>
      </c>
      <c r="B400" s="41">
        <v>46056</v>
      </c>
      <c r="C400">
        <f>_xlfn.IFNA(VLOOKUP(B400,SZO!A:B,2,0),"")</f>
        <v>2927</v>
      </c>
      <c r="E400">
        <f>_xlfn.IFNA(VLOOKUP(B400,Nyers!A:E,5,0),"")</f>
        <v>731</v>
      </c>
      <c r="F400">
        <f>_xlfn.IFNA(VLOOKUP(B400,Nyers!A:F,6,0),"")</f>
        <v>238</v>
      </c>
      <c r="G400">
        <f>_xlfn.IFNA(VLOOKUP(B400,Nyers!A:H,8,0),"")</f>
        <v>943</v>
      </c>
      <c r="H400">
        <f>_xlfn.IFNA(VLOOKUP(B400,Nyers!A:D,4,0),"")</f>
        <v>606</v>
      </c>
      <c r="I400">
        <f>_xlfn.IFNA(VLOOKUP(B400,Nyers!A:G,7,0),"")</f>
        <v>2434</v>
      </c>
    </row>
    <row r="401" spans="1:9" x14ac:dyDescent="0.25">
      <c r="A401">
        <f t="shared" si="3"/>
        <v>6</v>
      </c>
      <c r="B401" s="41">
        <v>46057</v>
      </c>
      <c r="C401">
        <f>_xlfn.IFNA(VLOOKUP(B401,SZO!A:B,2,0),"")</f>
        <v>2969</v>
      </c>
      <c r="E401">
        <f>_xlfn.IFNA(VLOOKUP(B401,Nyers!A:E,5,0),"")</f>
        <v>898</v>
      </c>
      <c r="F401">
        <f>_xlfn.IFNA(VLOOKUP(B401,Nyers!A:F,6,0),"")</f>
        <v>235</v>
      </c>
      <c r="G401">
        <f>_xlfn.IFNA(VLOOKUP(B401,Nyers!A:H,8,0),"")</f>
        <v>1005</v>
      </c>
      <c r="H401">
        <f>_xlfn.IFNA(VLOOKUP(B401,Nyers!A:D,4,0),"")</f>
        <v>565</v>
      </c>
      <c r="I401">
        <f>_xlfn.IFNA(VLOOKUP(B401,Nyers!A:G,7,0),"")</f>
        <v>2792</v>
      </c>
    </row>
    <row r="402" spans="1:9" x14ac:dyDescent="0.25">
      <c r="A402">
        <f t="shared" si="3"/>
        <v>6</v>
      </c>
      <c r="B402" s="41">
        <v>46058</v>
      </c>
      <c r="C402">
        <f>_xlfn.IFNA(VLOOKUP(B402,SZO!A:B,2,0),"")</f>
        <v>2798</v>
      </c>
      <c r="E402">
        <f>_xlfn.IFNA(VLOOKUP(B402,Nyers!A:E,5,0),"")</f>
        <v>798</v>
      </c>
      <c r="F402">
        <f>_xlfn.IFNA(VLOOKUP(B402,Nyers!A:F,6,0),"")</f>
        <v>148</v>
      </c>
      <c r="G402">
        <f>_xlfn.IFNA(VLOOKUP(B402,Nyers!A:H,8,0),"")</f>
        <v>711</v>
      </c>
      <c r="H402">
        <f>_xlfn.IFNA(VLOOKUP(B402,Nyers!A:D,4,0),"")</f>
        <v>554</v>
      </c>
      <c r="I402">
        <f>_xlfn.IFNA(VLOOKUP(B402,Nyers!A:G,7,0),"")</f>
        <v>2954</v>
      </c>
    </row>
    <row r="403" spans="1:9" x14ac:dyDescent="0.25">
      <c r="A403">
        <f t="shared" si="3"/>
        <v>6</v>
      </c>
      <c r="B403" s="41">
        <v>46059</v>
      </c>
      <c r="C403">
        <f>_xlfn.IFNA(VLOOKUP(B403,SZO!A:B,2,0),"")</f>
        <v>2597</v>
      </c>
      <c r="E403">
        <f>_xlfn.IFNA(VLOOKUP(B403,Nyers!A:E,5,0),"")</f>
        <v>608</v>
      </c>
      <c r="F403">
        <f>_xlfn.IFNA(VLOOKUP(B403,Nyers!A:F,6,0),"")</f>
        <v>197</v>
      </c>
      <c r="G403">
        <f>_xlfn.IFNA(VLOOKUP(B403,Nyers!A:H,8,0),"")</f>
        <v>690</v>
      </c>
      <c r="H403">
        <f>_xlfn.IFNA(VLOOKUP(B403,Nyers!A:D,4,0),"")</f>
        <v>639</v>
      </c>
      <c r="I403">
        <f>_xlfn.IFNA(VLOOKUP(B403,Nyers!A:G,7,0),"")</f>
        <v>3381</v>
      </c>
    </row>
    <row r="404" spans="1:9" x14ac:dyDescent="0.25">
      <c r="A404">
        <f t="shared" si="3"/>
        <v>6</v>
      </c>
      <c r="B404" s="41">
        <v>46060</v>
      </c>
      <c r="C404" t="str">
        <f>_xlfn.IFNA(VLOOKUP(B404,SZO!A:B,2,0),"")</f>
        <v/>
      </c>
      <c r="E404" t="str">
        <f>_xlfn.IFNA(VLOOKUP(B404,Nyers!A:E,5,0),"")</f>
        <v/>
      </c>
      <c r="F404" t="str">
        <f>_xlfn.IFNA(VLOOKUP(B404,Nyers!A:F,6,0),"")</f>
        <v/>
      </c>
      <c r="G404" t="str">
        <f>_xlfn.IFNA(VLOOKUP(B404,Nyers!A:H,8,0),"")</f>
        <v/>
      </c>
      <c r="H404" t="str">
        <f>_xlfn.IFNA(VLOOKUP(B404,Nyers!A:D,4,0),"")</f>
        <v/>
      </c>
      <c r="I404" t="str">
        <f>_xlfn.IFNA(VLOOKUP(B404,Nyers!A:G,7,0),"")</f>
        <v/>
      </c>
    </row>
    <row r="405" spans="1:9" x14ac:dyDescent="0.25">
      <c r="A405">
        <f t="shared" si="3"/>
        <v>7</v>
      </c>
      <c r="B405" s="41">
        <v>46061</v>
      </c>
      <c r="C405" t="str">
        <f>_xlfn.IFNA(VLOOKUP(B405,SZO!A:B,2,0),"")</f>
        <v/>
      </c>
      <c r="E405" t="str">
        <f>_xlfn.IFNA(VLOOKUP(B405,Nyers!A:E,5,0),"")</f>
        <v/>
      </c>
      <c r="F405" t="str">
        <f>_xlfn.IFNA(VLOOKUP(B405,Nyers!A:F,6,0),"")</f>
        <v/>
      </c>
      <c r="G405" t="str">
        <f>_xlfn.IFNA(VLOOKUP(B405,Nyers!A:H,8,0),"")</f>
        <v/>
      </c>
      <c r="H405" t="str">
        <f>_xlfn.IFNA(VLOOKUP(B405,Nyers!A:D,4,0),"")</f>
        <v/>
      </c>
      <c r="I405" t="str">
        <f>_xlfn.IFNA(VLOOKUP(B405,Nyers!A:G,7,0),"")</f>
        <v/>
      </c>
    </row>
    <row r="406" spans="1:9" x14ac:dyDescent="0.25">
      <c r="A406">
        <f t="shared" si="3"/>
        <v>7</v>
      </c>
      <c r="B406" s="41">
        <v>46062</v>
      </c>
      <c r="C406">
        <f>_xlfn.IFNA(VLOOKUP(B406,SZO!A:B,2,0),"")</f>
        <v>0</v>
      </c>
      <c r="E406">
        <f>_xlfn.IFNA(VLOOKUP(B406,Nyers!A:E,5,0),"")</f>
        <v>768</v>
      </c>
      <c r="F406">
        <f>_xlfn.IFNA(VLOOKUP(B406,Nyers!A:F,6,0),"")</f>
        <v>175</v>
      </c>
      <c r="G406">
        <f>_xlfn.IFNA(VLOOKUP(B406,Nyers!A:H,8,0),"")</f>
        <v>885</v>
      </c>
      <c r="H406">
        <f>_xlfn.IFNA(VLOOKUP(B406,Nyers!A:D,4,0),"")</f>
        <v>632</v>
      </c>
      <c r="I406">
        <f>_xlfn.IFNA(VLOOKUP(B406,Nyers!A:G,7,0),"")</f>
        <v>3513</v>
      </c>
    </row>
    <row r="407" spans="1:9" x14ac:dyDescent="0.25">
      <c r="A407">
        <f t="shared" si="3"/>
        <v>7</v>
      </c>
      <c r="B407" s="41">
        <v>46063</v>
      </c>
      <c r="C407">
        <f>_xlfn.IFNA(VLOOKUP(B407,SZO!A:B,2,0),"")</f>
        <v>0</v>
      </c>
      <c r="E407">
        <f>_xlfn.IFNA(VLOOKUP(B407,Nyers!A:E,5,0),"")</f>
        <v>611</v>
      </c>
      <c r="F407">
        <f>_xlfn.IFNA(VLOOKUP(B407,Nyers!A:F,6,0),"")</f>
        <v>159</v>
      </c>
      <c r="G407">
        <f>_xlfn.IFNA(VLOOKUP(B407,Nyers!A:H,8,0),"")</f>
        <v>691</v>
      </c>
      <c r="H407">
        <f>_xlfn.IFNA(VLOOKUP(B407,Nyers!A:D,4,0),"")</f>
        <v>558</v>
      </c>
      <c r="I407">
        <f>_xlfn.IFNA(VLOOKUP(B407,Nyers!A:G,7,0),"")</f>
        <v>3645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C7FC-F55C-484D-8CCF-82AE2A2CC1AB}">
  <dimension ref="A1:H547"/>
  <sheetViews>
    <sheetView workbookViewId="0">
      <selection activeCell="K484" sqref="K484"/>
    </sheetView>
  </sheetViews>
  <sheetFormatPr defaultRowHeight="15" x14ac:dyDescent="0.25"/>
  <cols>
    <col min="1" max="1" width="16" bestFit="1" customWidth="1"/>
    <col min="2" max="2" width="31.7109375" bestFit="1" customWidth="1"/>
    <col min="3" max="3" width="40.5703125" bestFit="1" customWidth="1"/>
    <col min="4" max="4" width="35.7109375" bestFit="1" customWidth="1"/>
    <col min="5" max="5" width="36.85546875" bestFit="1" customWidth="1"/>
    <col min="6" max="6" width="24.5703125" bestFit="1" customWidth="1"/>
    <col min="7" max="7" width="26.140625" bestFit="1" customWidth="1"/>
    <col min="8" max="8" width="24" bestFit="1" customWidth="1"/>
  </cols>
  <sheetData>
    <row r="1" spans="1:8" ht="18.75" x14ac:dyDescent="0.3">
      <c r="A1" s="6" t="s">
        <v>59</v>
      </c>
      <c r="B1" s="7" t="s">
        <v>60</v>
      </c>
      <c r="C1" s="7" t="s">
        <v>61</v>
      </c>
      <c r="D1" s="7" t="s">
        <v>62</v>
      </c>
      <c r="E1" s="8" t="s">
        <v>4</v>
      </c>
      <c r="F1" s="8" t="s">
        <v>5</v>
      </c>
      <c r="G1" s="8" t="s">
        <v>63</v>
      </c>
      <c r="H1" s="8" t="s">
        <v>6</v>
      </c>
    </row>
    <row r="2" spans="1:8" ht="18.75" hidden="1" x14ac:dyDescent="0.3">
      <c r="A2" s="6">
        <v>45309</v>
      </c>
      <c r="B2" s="7"/>
      <c r="C2" s="7"/>
      <c r="D2" s="7"/>
      <c r="E2" s="7"/>
      <c r="F2" s="7"/>
      <c r="G2" s="7">
        <v>8079</v>
      </c>
      <c r="H2" s="7"/>
    </row>
    <row r="3" spans="1:8" ht="18.75" hidden="1" x14ac:dyDescent="0.3">
      <c r="A3" s="6">
        <v>45320</v>
      </c>
      <c r="B3" s="7">
        <v>1188</v>
      </c>
      <c r="C3" s="7">
        <v>6279</v>
      </c>
      <c r="D3" s="7">
        <v>553</v>
      </c>
      <c r="E3" s="7">
        <v>1157</v>
      </c>
      <c r="F3" s="7">
        <v>26</v>
      </c>
      <c r="G3" s="7">
        <v>7467</v>
      </c>
      <c r="H3" s="7"/>
    </row>
    <row r="4" spans="1:8" ht="18.75" hidden="1" x14ac:dyDescent="0.3">
      <c r="A4" s="6">
        <v>45321</v>
      </c>
      <c r="B4" s="7">
        <v>1171</v>
      </c>
      <c r="C4" s="7">
        <v>6152</v>
      </c>
      <c r="D4" s="7">
        <v>582</v>
      </c>
      <c r="E4" s="7">
        <v>1306</v>
      </c>
      <c r="F4" s="7">
        <v>20</v>
      </c>
      <c r="G4" s="7">
        <v>7323</v>
      </c>
      <c r="H4" s="7"/>
    </row>
    <row r="5" spans="1:8" ht="18.75" hidden="1" x14ac:dyDescent="0.3">
      <c r="A5" s="6">
        <v>45322</v>
      </c>
      <c r="B5" s="7">
        <v>1267</v>
      </c>
      <c r="C5" s="7">
        <v>6099</v>
      </c>
      <c r="D5" s="7">
        <v>549</v>
      </c>
      <c r="E5" s="7">
        <v>1415</v>
      </c>
      <c r="F5" s="7">
        <v>22</v>
      </c>
      <c r="G5" s="7">
        <v>7366</v>
      </c>
      <c r="H5" s="7"/>
    </row>
    <row r="6" spans="1:8" ht="18.75" hidden="1" x14ac:dyDescent="0.3">
      <c r="A6" s="6">
        <v>45323</v>
      </c>
      <c r="B6" s="7">
        <v>1173</v>
      </c>
      <c r="C6" s="7">
        <v>6166</v>
      </c>
      <c r="D6" s="7">
        <v>529</v>
      </c>
      <c r="E6" s="7">
        <v>1127</v>
      </c>
      <c r="F6" s="7">
        <v>31</v>
      </c>
      <c r="G6" s="7">
        <v>7339</v>
      </c>
      <c r="H6" s="7"/>
    </row>
    <row r="7" spans="1:8" ht="18.75" hidden="1" x14ac:dyDescent="0.3">
      <c r="A7" s="6">
        <v>45324</v>
      </c>
      <c r="B7" s="7">
        <v>1096</v>
      </c>
      <c r="C7" s="7">
        <v>6196</v>
      </c>
      <c r="D7" s="7">
        <v>468</v>
      </c>
      <c r="E7" s="7">
        <v>927</v>
      </c>
      <c r="F7" s="7">
        <v>26</v>
      </c>
      <c r="G7" s="7">
        <v>7292</v>
      </c>
      <c r="H7" s="7"/>
    </row>
    <row r="8" spans="1:8" ht="18.75" hidden="1" x14ac:dyDescent="0.3">
      <c r="A8" s="6">
        <v>45327</v>
      </c>
      <c r="B8" s="7">
        <v>962</v>
      </c>
      <c r="C8" s="7">
        <v>6335</v>
      </c>
      <c r="D8" s="7">
        <v>578</v>
      </c>
      <c r="E8" s="7">
        <v>722</v>
      </c>
      <c r="F8" s="7">
        <v>16</v>
      </c>
      <c r="G8" s="7">
        <v>7297</v>
      </c>
      <c r="H8" s="7"/>
    </row>
    <row r="9" spans="1:8" ht="18.75" hidden="1" x14ac:dyDescent="0.3">
      <c r="A9" s="6">
        <v>45328</v>
      </c>
      <c r="B9" s="7">
        <v>825</v>
      </c>
      <c r="C9" s="7">
        <v>6210</v>
      </c>
      <c r="D9" s="7">
        <v>693</v>
      </c>
      <c r="E9" s="7">
        <v>622</v>
      </c>
      <c r="F9" s="7">
        <v>16</v>
      </c>
      <c r="G9" s="7">
        <v>7035</v>
      </c>
      <c r="H9" s="7"/>
    </row>
    <row r="10" spans="1:8" ht="18.75" hidden="1" x14ac:dyDescent="0.3">
      <c r="A10" s="6">
        <v>45329</v>
      </c>
      <c r="B10" s="7">
        <v>599</v>
      </c>
      <c r="C10" s="7">
        <v>6217</v>
      </c>
      <c r="D10" s="7">
        <v>619</v>
      </c>
      <c r="E10" s="7">
        <v>630</v>
      </c>
      <c r="F10" s="7">
        <v>14</v>
      </c>
      <c r="G10" s="7">
        <v>6816</v>
      </c>
      <c r="H10" s="7"/>
    </row>
    <row r="11" spans="1:8" ht="18.75" hidden="1" x14ac:dyDescent="0.3">
      <c r="A11" s="6">
        <v>45330</v>
      </c>
      <c r="B11" s="7">
        <v>523</v>
      </c>
      <c r="C11" s="7">
        <v>6267</v>
      </c>
      <c r="D11" s="7">
        <v>558</v>
      </c>
      <c r="E11" s="7">
        <v>591</v>
      </c>
      <c r="F11" s="7">
        <v>11</v>
      </c>
      <c r="G11" s="7">
        <v>6790</v>
      </c>
      <c r="H11" s="7"/>
    </row>
    <row r="12" spans="1:8" ht="18.75" hidden="1" x14ac:dyDescent="0.3">
      <c r="A12" s="6">
        <v>45331</v>
      </c>
      <c r="B12" s="7">
        <v>653</v>
      </c>
      <c r="C12" s="7">
        <v>5779</v>
      </c>
      <c r="D12" s="7">
        <v>572</v>
      </c>
      <c r="E12" s="7">
        <v>628</v>
      </c>
      <c r="F12" s="7">
        <v>17</v>
      </c>
      <c r="G12" s="7">
        <v>6432</v>
      </c>
      <c r="H12" s="7"/>
    </row>
    <row r="13" spans="1:8" ht="18.75" hidden="1" x14ac:dyDescent="0.3">
      <c r="A13" s="6">
        <v>45334</v>
      </c>
      <c r="B13" s="7">
        <v>426</v>
      </c>
      <c r="C13" s="7">
        <v>5831</v>
      </c>
      <c r="D13" s="7">
        <v>601</v>
      </c>
      <c r="E13" s="7">
        <v>616</v>
      </c>
      <c r="F13" s="7">
        <v>15</v>
      </c>
      <c r="G13" s="7">
        <v>6257</v>
      </c>
      <c r="H13" s="7"/>
    </row>
    <row r="14" spans="1:8" ht="18.75" hidden="1" x14ac:dyDescent="0.3">
      <c r="A14" s="6">
        <v>45335</v>
      </c>
      <c r="B14" s="7">
        <v>397</v>
      </c>
      <c r="C14" s="7">
        <v>5743</v>
      </c>
      <c r="D14" s="7">
        <v>573</v>
      </c>
      <c r="E14" s="7">
        <v>500</v>
      </c>
      <c r="F14" s="7">
        <v>18</v>
      </c>
      <c r="G14" s="7">
        <v>6140</v>
      </c>
      <c r="H14" s="7"/>
    </row>
    <row r="15" spans="1:8" ht="18.75" hidden="1" x14ac:dyDescent="0.3">
      <c r="A15" s="6">
        <v>45336</v>
      </c>
      <c r="B15" s="7">
        <v>295</v>
      </c>
      <c r="C15" s="7">
        <v>5574</v>
      </c>
      <c r="D15" s="7">
        <v>557</v>
      </c>
      <c r="E15" s="7">
        <v>495</v>
      </c>
      <c r="F15" s="7">
        <v>13</v>
      </c>
      <c r="G15" s="7">
        <v>5869</v>
      </c>
      <c r="H15" s="7"/>
    </row>
    <row r="16" spans="1:8" ht="18.75" hidden="1" x14ac:dyDescent="0.3">
      <c r="A16" s="6">
        <v>45337</v>
      </c>
      <c r="B16" s="7">
        <v>439</v>
      </c>
      <c r="C16" s="7">
        <v>5364</v>
      </c>
      <c r="D16" s="7">
        <v>564</v>
      </c>
      <c r="E16" s="7">
        <v>517</v>
      </c>
      <c r="F16" s="7">
        <v>16</v>
      </c>
      <c r="G16" s="7">
        <v>5803</v>
      </c>
      <c r="H16" s="7"/>
    </row>
    <row r="17" spans="1:8" ht="18.75" hidden="1" x14ac:dyDescent="0.3">
      <c r="A17" s="6">
        <v>45338</v>
      </c>
      <c r="B17" s="7">
        <v>531</v>
      </c>
      <c r="C17" s="7">
        <v>5421</v>
      </c>
      <c r="D17" s="7">
        <v>459</v>
      </c>
      <c r="E17" s="7">
        <v>579</v>
      </c>
      <c r="F17" s="7">
        <v>20</v>
      </c>
      <c r="G17" s="7">
        <v>5952</v>
      </c>
      <c r="H17" s="7"/>
    </row>
    <row r="18" spans="1:8" ht="18.75" hidden="1" x14ac:dyDescent="0.3">
      <c r="A18" s="6">
        <v>45341</v>
      </c>
      <c r="B18" s="7">
        <v>710</v>
      </c>
      <c r="C18" s="7">
        <v>5210</v>
      </c>
      <c r="D18" s="7">
        <v>583</v>
      </c>
      <c r="E18" s="7">
        <v>487</v>
      </c>
      <c r="F18" s="7">
        <v>24</v>
      </c>
      <c r="G18" s="7">
        <v>5920</v>
      </c>
      <c r="H18" s="7"/>
    </row>
    <row r="19" spans="1:8" ht="18.75" hidden="1" x14ac:dyDescent="0.3">
      <c r="A19" s="6">
        <v>45342</v>
      </c>
      <c r="B19" s="7">
        <v>942</v>
      </c>
      <c r="C19" s="7">
        <v>4945</v>
      </c>
      <c r="D19" s="7">
        <v>586</v>
      </c>
      <c r="E19" s="7">
        <v>524</v>
      </c>
      <c r="F19" s="7">
        <v>29</v>
      </c>
      <c r="G19" s="7">
        <v>5887</v>
      </c>
      <c r="H19" s="7"/>
    </row>
    <row r="20" spans="1:8" ht="18.75" hidden="1" x14ac:dyDescent="0.3">
      <c r="A20" s="6">
        <v>45343</v>
      </c>
      <c r="B20" s="7">
        <v>1171</v>
      </c>
      <c r="C20" s="7">
        <v>4734</v>
      </c>
      <c r="D20" s="7">
        <v>610</v>
      </c>
      <c r="E20" s="7">
        <v>625</v>
      </c>
      <c r="F20" s="7">
        <v>37</v>
      </c>
      <c r="G20" s="7">
        <v>5905</v>
      </c>
      <c r="H20" s="7"/>
    </row>
    <row r="21" spans="1:8" ht="18.75" hidden="1" x14ac:dyDescent="0.3">
      <c r="A21" s="6">
        <v>45344</v>
      </c>
      <c r="B21" s="7">
        <v>1304</v>
      </c>
      <c r="C21" s="7">
        <v>4673</v>
      </c>
      <c r="D21" s="7">
        <v>536</v>
      </c>
      <c r="E21" s="7">
        <v>625</v>
      </c>
      <c r="F21" s="7">
        <v>41</v>
      </c>
      <c r="G21" s="7">
        <v>5977</v>
      </c>
      <c r="H21" s="7"/>
    </row>
    <row r="22" spans="1:8" ht="18.75" hidden="1" x14ac:dyDescent="0.3">
      <c r="A22" s="6">
        <v>45345</v>
      </c>
      <c r="B22" s="7">
        <v>1526</v>
      </c>
      <c r="C22" s="7">
        <v>4800</v>
      </c>
      <c r="D22" s="7">
        <v>420</v>
      </c>
      <c r="E22" s="7">
        <v>717</v>
      </c>
      <c r="F22" s="7">
        <v>36</v>
      </c>
      <c r="G22" s="7">
        <v>6326</v>
      </c>
      <c r="H22" s="7"/>
    </row>
    <row r="23" spans="1:8" ht="18.75" hidden="1" x14ac:dyDescent="0.3">
      <c r="A23" s="6">
        <v>45348</v>
      </c>
      <c r="B23" s="7">
        <v>1737</v>
      </c>
      <c r="C23" s="7">
        <v>4797</v>
      </c>
      <c r="D23" s="7">
        <v>567</v>
      </c>
      <c r="E23" s="7">
        <v>786</v>
      </c>
      <c r="F23" s="7">
        <v>44</v>
      </c>
      <c r="G23" s="7">
        <v>6534</v>
      </c>
      <c r="H23" s="7"/>
    </row>
    <row r="24" spans="1:8" ht="18.75" hidden="1" x14ac:dyDescent="0.3">
      <c r="A24" s="6">
        <v>45349</v>
      </c>
      <c r="B24" s="7">
        <v>1769</v>
      </c>
      <c r="C24" s="7">
        <v>5039</v>
      </c>
      <c r="D24" s="7">
        <v>496</v>
      </c>
      <c r="E24" s="7">
        <v>756</v>
      </c>
      <c r="F24" s="7">
        <v>43</v>
      </c>
      <c r="G24" s="7">
        <v>6808</v>
      </c>
      <c r="H24" s="7"/>
    </row>
    <row r="25" spans="1:8" ht="18.75" hidden="1" x14ac:dyDescent="0.3">
      <c r="A25" s="6">
        <v>45350</v>
      </c>
      <c r="B25" s="7">
        <v>2034</v>
      </c>
      <c r="C25" s="7">
        <v>5094</v>
      </c>
      <c r="D25" s="7">
        <v>559</v>
      </c>
      <c r="E25" s="7">
        <v>767</v>
      </c>
      <c r="F25" s="7">
        <v>37</v>
      </c>
      <c r="G25" s="7">
        <v>7128</v>
      </c>
      <c r="H25" s="7"/>
    </row>
    <row r="26" spans="1:8" ht="18.75" hidden="1" x14ac:dyDescent="0.3">
      <c r="A26" s="6">
        <v>45351</v>
      </c>
      <c r="B26" s="7">
        <v>2260</v>
      </c>
      <c r="C26" s="7">
        <v>5244</v>
      </c>
      <c r="D26" s="7">
        <v>517</v>
      </c>
      <c r="E26" s="7">
        <v>724</v>
      </c>
      <c r="F26" s="7">
        <v>53</v>
      </c>
      <c r="G26" s="7">
        <v>7504</v>
      </c>
      <c r="H26" s="7"/>
    </row>
    <row r="27" spans="1:8" ht="18.75" hidden="1" x14ac:dyDescent="0.3">
      <c r="A27" s="6">
        <v>45352</v>
      </c>
      <c r="B27" s="7">
        <v>2355</v>
      </c>
      <c r="C27" s="7">
        <v>5692</v>
      </c>
      <c r="D27" s="7">
        <v>417</v>
      </c>
      <c r="E27" s="7">
        <v>880</v>
      </c>
      <c r="F27" s="7">
        <v>70</v>
      </c>
      <c r="G27" s="7">
        <v>8047</v>
      </c>
      <c r="H27" s="7"/>
    </row>
    <row r="28" spans="1:8" ht="18.75" hidden="1" x14ac:dyDescent="0.3">
      <c r="A28" s="6">
        <v>45355</v>
      </c>
      <c r="B28" s="7">
        <v>2172</v>
      </c>
      <c r="C28" s="7">
        <v>6138</v>
      </c>
      <c r="D28" s="7">
        <v>479</v>
      </c>
      <c r="E28" s="7">
        <v>665</v>
      </c>
      <c r="F28" s="7">
        <v>55</v>
      </c>
      <c r="G28" s="7">
        <v>8310</v>
      </c>
      <c r="H28" s="7"/>
    </row>
    <row r="29" spans="1:8" ht="18.75" hidden="1" x14ac:dyDescent="0.3">
      <c r="A29" s="6">
        <v>45356</v>
      </c>
      <c r="B29" s="7">
        <v>1833</v>
      </c>
      <c r="C29" s="7">
        <v>6632</v>
      </c>
      <c r="D29" s="7">
        <v>541</v>
      </c>
      <c r="E29" s="7">
        <v>679</v>
      </c>
      <c r="F29" s="7">
        <v>37</v>
      </c>
      <c r="G29" s="7">
        <v>8465</v>
      </c>
      <c r="H29" s="7"/>
    </row>
    <row r="30" spans="1:8" ht="18.75" hidden="1" x14ac:dyDescent="0.3">
      <c r="A30" s="6">
        <v>45357</v>
      </c>
      <c r="B30" s="7">
        <v>1464</v>
      </c>
      <c r="C30" s="7">
        <v>6936</v>
      </c>
      <c r="D30" s="7">
        <v>555</v>
      </c>
      <c r="E30" s="7">
        <v>648</v>
      </c>
      <c r="F30" s="7">
        <v>32</v>
      </c>
      <c r="G30" s="7">
        <v>8400</v>
      </c>
      <c r="H30" s="7"/>
    </row>
    <row r="31" spans="1:8" ht="18.75" hidden="1" x14ac:dyDescent="0.3">
      <c r="A31" s="6">
        <v>45358</v>
      </c>
      <c r="B31" s="7">
        <v>1085</v>
      </c>
      <c r="C31" s="7">
        <v>7516</v>
      </c>
      <c r="D31" s="7">
        <v>567</v>
      </c>
      <c r="E31" s="7">
        <v>597</v>
      </c>
      <c r="F31" s="7">
        <v>42</v>
      </c>
      <c r="G31" s="7">
        <v>8601</v>
      </c>
      <c r="H31" s="7"/>
    </row>
    <row r="32" spans="1:8" ht="18.75" hidden="1" x14ac:dyDescent="0.3">
      <c r="A32" s="6">
        <v>45359</v>
      </c>
      <c r="B32" s="7">
        <v>775</v>
      </c>
      <c r="C32" s="7">
        <v>8030</v>
      </c>
      <c r="D32" s="7">
        <v>436</v>
      </c>
      <c r="E32" s="7">
        <v>622</v>
      </c>
      <c r="F32" s="7">
        <v>57</v>
      </c>
      <c r="G32" s="7">
        <v>8805</v>
      </c>
      <c r="H32" s="7"/>
    </row>
    <row r="33" spans="1:8" ht="18.75" hidden="1" x14ac:dyDescent="0.3">
      <c r="A33" s="6">
        <v>45362</v>
      </c>
      <c r="B33" s="7">
        <v>759</v>
      </c>
      <c r="C33" s="7">
        <v>8007</v>
      </c>
      <c r="D33" s="7">
        <v>512</v>
      </c>
      <c r="E33" s="7">
        <v>563</v>
      </c>
      <c r="F33" s="7">
        <v>31</v>
      </c>
      <c r="G33" s="7">
        <v>8766</v>
      </c>
      <c r="H33" s="7"/>
    </row>
    <row r="34" spans="1:8" ht="18.75" hidden="1" x14ac:dyDescent="0.3">
      <c r="A34" s="6">
        <v>45363</v>
      </c>
      <c r="B34" s="7">
        <v>910</v>
      </c>
      <c r="C34" s="7">
        <v>7698</v>
      </c>
      <c r="D34" s="7">
        <v>626</v>
      </c>
      <c r="E34" s="7">
        <v>519</v>
      </c>
      <c r="F34" s="7">
        <v>31</v>
      </c>
      <c r="G34" s="7">
        <v>8608</v>
      </c>
      <c r="H34" s="7"/>
    </row>
    <row r="35" spans="1:8" ht="18.75" hidden="1" x14ac:dyDescent="0.3">
      <c r="A35" s="6">
        <v>45364</v>
      </c>
      <c r="B35" s="7">
        <v>937</v>
      </c>
      <c r="C35" s="7">
        <v>7338</v>
      </c>
      <c r="D35" s="7">
        <v>640</v>
      </c>
      <c r="E35" s="7">
        <v>574</v>
      </c>
      <c r="F35" s="7">
        <v>37</v>
      </c>
      <c r="G35" s="7">
        <v>8275</v>
      </c>
      <c r="H35" s="7"/>
    </row>
    <row r="36" spans="1:8" ht="18.75" hidden="1" x14ac:dyDescent="0.3">
      <c r="A36" s="6">
        <v>45365</v>
      </c>
      <c r="B36" s="7">
        <v>1031</v>
      </c>
      <c r="C36" s="7">
        <v>7332</v>
      </c>
      <c r="D36" s="7">
        <v>477</v>
      </c>
      <c r="E36" s="7">
        <v>586</v>
      </c>
      <c r="F36" s="7">
        <v>36</v>
      </c>
      <c r="G36" s="7">
        <v>8363</v>
      </c>
      <c r="H36" s="7"/>
    </row>
    <row r="37" spans="1:8" ht="18.75" hidden="1" x14ac:dyDescent="0.3">
      <c r="A37" s="6">
        <v>45369</v>
      </c>
      <c r="B37" s="7">
        <v>1070</v>
      </c>
      <c r="C37" s="7">
        <v>7170</v>
      </c>
      <c r="D37" s="7">
        <v>537</v>
      </c>
      <c r="E37" s="7">
        <v>552</v>
      </c>
      <c r="F37" s="7">
        <v>28</v>
      </c>
      <c r="G37" s="7">
        <v>8240</v>
      </c>
      <c r="H37" s="7"/>
    </row>
    <row r="38" spans="1:8" ht="18.75" hidden="1" x14ac:dyDescent="0.3">
      <c r="A38" s="6">
        <v>45370</v>
      </c>
      <c r="B38" s="7">
        <v>915</v>
      </c>
      <c r="C38" s="7">
        <v>6927</v>
      </c>
      <c r="D38" s="7">
        <v>625</v>
      </c>
      <c r="E38" s="7">
        <v>473</v>
      </c>
      <c r="F38" s="7">
        <v>34</v>
      </c>
      <c r="G38" s="7">
        <v>7842</v>
      </c>
      <c r="H38" s="7"/>
    </row>
    <row r="39" spans="1:8" ht="18.75" hidden="1" x14ac:dyDescent="0.3">
      <c r="A39" s="6">
        <v>45371</v>
      </c>
      <c r="B39" s="7">
        <v>693</v>
      </c>
      <c r="C39" s="7">
        <v>7067</v>
      </c>
      <c r="D39" s="7">
        <v>559</v>
      </c>
      <c r="E39" s="7">
        <v>572</v>
      </c>
      <c r="F39" s="7">
        <v>31</v>
      </c>
      <c r="G39" s="7">
        <v>7760</v>
      </c>
      <c r="H39" s="7"/>
    </row>
    <row r="40" spans="1:8" ht="18.75" hidden="1" x14ac:dyDescent="0.3">
      <c r="A40" s="6">
        <v>45372</v>
      </c>
      <c r="B40" s="7">
        <v>770</v>
      </c>
      <c r="C40" s="7">
        <v>6882</v>
      </c>
      <c r="D40" s="7">
        <v>641</v>
      </c>
      <c r="E40" s="7">
        <v>579</v>
      </c>
      <c r="F40" s="7">
        <v>39</v>
      </c>
      <c r="G40" s="7">
        <v>7652</v>
      </c>
      <c r="H40" s="7"/>
    </row>
    <row r="41" spans="1:8" ht="18.75" hidden="1" x14ac:dyDescent="0.3">
      <c r="A41" s="6">
        <v>45373</v>
      </c>
      <c r="B41" s="7">
        <v>1035</v>
      </c>
      <c r="C41" s="7">
        <v>6600</v>
      </c>
      <c r="D41" s="7">
        <v>613</v>
      </c>
      <c r="E41" s="7">
        <v>681</v>
      </c>
      <c r="F41" s="7">
        <v>57</v>
      </c>
      <c r="G41" s="7">
        <v>7635</v>
      </c>
      <c r="H41" s="7"/>
    </row>
    <row r="42" spans="1:8" ht="18.75" hidden="1" x14ac:dyDescent="0.3">
      <c r="A42" s="6">
        <v>45376</v>
      </c>
      <c r="B42" s="7">
        <v>1339</v>
      </c>
      <c r="C42" s="7">
        <v>6341</v>
      </c>
      <c r="D42" s="7">
        <v>742</v>
      </c>
      <c r="E42" s="7">
        <v>780</v>
      </c>
      <c r="F42" s="7">
        <v>37</v>
      </c>
      <c r="G42" s="7">
        <v>7680</v>
      </c>
      <c r="H42" s="7"/>
    </row>
    <row r="43" spans="1:8" ht="18.75" hidden="1" x14ac:dyDescent="0.3">
      <c r="A43" s="6">
        <v>45377</v>
      </c>
      <c r="B43" s="7">
        <v>1776</v>
      </c>
      <c r="C43" s="7">
        <v>6078</v>
      </c>
      <c r="D43" s="7">
        <v>700</v>
      </c>
      <c r="E43" s="7">
        <v>853</v>
      </c>
      <c r="F43" s="7">
        <v>44</v>
      </c>
      <c r="G43" s="7">
        <v>7854</v>
      </c>
      <c r="H43" s="7"/>
    </row>
    <row r="44" spans="1:8" ht="18.75" hidden="1" x14ac:dyDescent="0.3">
      <c r="A44" s="6">
        <v>45378</v>
      </c>
      <c r="B44" s="7">
        <v>2261</v>
      </c>
      <c r="C44" s="7">
        <v>5715</v>
      </c>
      <c r="D44" s="7">
        <v>780</v>
      </c>
      <c r="E44" s="7">
        <v>883</v>
      </c>
      <c r="F44" s="7">
        <v>70</v>
      </c>
      <c r="G44" s="7">
        <v>7976</v>
      </c>
      <c r="H44" s="7"/>
    </row>
    <row r="45" spans="1:8" ht="18.75" hidden="1" x14ac:dyDescent="0.3">
      <c r="A45" s="6">
        <v>45379</v>
      </c>
      <c r="B45" s="7">
        <v>2781</v>
      </c>
      <c r="C45" s="7">
        <v>5544</v>
      </c>
      <c r="D45" s="7">
        <v>539</v>
      </c>
      <c r="E45" s="7">
        <v>793</v>
      </c>
      <c r="F45" s="9">
        <v>88</v>
      </c>
      <c r="G45" s="9">
        <v>8325</v>
      </c>
      <c r="H45" s="9"/>
    </row>
    <row r="46" spans="1:8" ht="18.75" hidden="1" x14ac:dyDescent="0.3">
      <c r="A46" s="6">
        <v>45384</v>
      </c>
      <c r="B46" s="7">
        <v>3280</v>
      </c>
      <c r="C46" s="7">
        <v>5282</v>
      </c>
      <c r="D46" s="7">
        <v>547</v>
      </c>
      <c r="E46" s="7">
        <v>877</v>
      </c>
      <c r="F46" s="7">
        <v>67</v>
      </c>
      <c r="G46" s="7">
        <v>8562</v>
      </c>
      <c r="H46" s="7"/>
    </row>
    <row r="47" spans="1:8" ht="18.75" hidden="1" x14ac:dyDescent="0.3">
      <c r="A47" s="6">
        <v>45385</v>
      </c>
      <c r="B47" s="7">
        <v>3724</v>
      </c>
      <c r="C47" s="7">
        <v>4973</v>
      </c>
      <c r="D47" s="7">
        <v>617</v>
      </c>
      <c r="E47" s="7">
        <v>892</v>
      </c>
      <c r="F47" s="7">
        <v>35</v>
      </c>
      <c r="G47" s="7">
        <v>8697</v>
      </c>
      <c r="H47" s="7"/>
    </row>
    <row r="48" spans="1:8" ht="18.75" hidden="1" x14ac:dyDescent="0.3">
      <c r="A48" s="6">
        <v>45386</v>
      </c>
      <c r="B48" s="7">
        <v>4008</v>
      </c>
      <c r="C48" s="7">
        <v>4808</v>
      </c>
      <c r="D48" s="7">
        <v>586</v>
      </c>
      <c r="E48" s="7">
        <v>810</v>
      </c>
      <c r="F48" s="7">
        <v>61</v>
      </c>
      <c r="G48" s="7">
        <v>8816</v>
      </c>
      <c r="H48" s="7"/>
    </row>
    <row r="49" spans="1:8" ht="18.75" hidden="1" x14ac:dyDescent="0.3">
      <c r="A49" s="6">
        <v>45387</v>
      </c>
      <c r="B49" s="7">
        <v>4306</v>
      </c>
      <c r="C49" s="7">
        <v>4793</v>
      </c>
      <c r="D49" s="7">
        <v>531</v>
      </c>
      <c r="E49" s="7">
        <v>872</v>
      </c>
      <c r="F49" s="7">
        <v>55</v>
      </c>
      <c r="G49" s="7">
        <v>9099</v>
      </c>
      <c r="H49" s="7"/>
    </row>
    <row r="50" spans="1:8" ht="18.75" hidden="1" x14ac:dyDescent="0.3">
      <c r="A50" s="6">
        <v>45390</v>
      </c>
      <c r="B50" s="7">
        <v>4502</v>
      </c>
      <c r="C50" s="7">
        <v>4863</v>
      </c>
      <c r="D50" s="7">
        <v>575</v>
      </c>
      <c r="E50" s="7">
        <v>757</v>
      </c>
      <c r="F50" s="7">
        <v>43</v>
      </c>
      <c r="G50" s="7">
        <v>9365</v>
      </c>
      <c r="H50" s="7"/>
    </row>
    <row r="51" spans="1:8" ht="18.75" hidden="1" x14ac:dyDescent="0.3">
      <c r="A51" s="6">
        <v>45391</v>
      </c>
      <c r="B51" s="7">
        <v>4710</v>
      </c>
      <c r="C51" s="7">
        <v>4975</v>
      </c>
      <c r="D51" s="7">
        <v>523</v>
      </c>
      <c r="E51" s="7">
        <v>872</v>
      </c>
      <c r="F51" s="7">
        <v>43</v>
      </c>
      <c r="G51" s="7">
        <v>9685</v>
      </c>
      <c r="H51" s="7"/>
    </row>
    <row r="52" spans="1:8" ht="18.75" hidden="1" x14ac:dyDescent="0.3">
      <c r="A52" s="6">
        <v>45392</v>
      </c>
      <c r="B52" s="7">
        <v>4920</v>
      </c>
      <c r="C52" s="7">
        <v>5339</v>
      </c>
      <c r="D52" s="7">
        <v>538</v>
      </c>
      <c r="E52" s="7">
        <v>955</v>
      </c>
      <c r="F52" s="7">
        <v>44</v>
      </c>
      <c r="G52" s="7">
        <v>10259</v>
      </c>
      <c r="H52" s="7"/>
    </row>
    <row r="53" spans="1:8" ht="18.75" hidden="1" x14ac:dyDescent="0.3">
      <c r="A53" s="6">
        <v>45393</v>
      </c>
      <c r="B53" s="7">
        <v>5146</v>
      </c>
      <c r="C53" s="7">
        <v>5864</v>
      </c>
      <c r="D53" s="7">
        <v>456</v>
      </c>
      <c r="E53" s="7">
        <v>983</v>
      </c>
      <c r="F53" s="7">
        <v>64</v>
      </c>
      <c r="G53" s="7">
        <v>11010</v>
      </c>
      <c r="H53" s="7"/>
    </row>
    <row r="54" spans="1:8" ht="18.75" hidden="1" x14ac:dyDescent="0.3">
      <c r="A54" s="6">
        <v>45394</v>
      </c>
      <c r="B54" s="7">
        <v>5976</v>
      </c>
      <c r="C54" s="7">
        <v>5651</v>
      </c>
      <c r="D54" s="7">
        <v>507</v>
      </c>
      <c r="E54" s="7">
        <v>1038</v>
      </c>
      <c r="F54" s="7">
        <v>87</v>
      </c>
      <c r="G54" s="7">
        <v>11627</v>
      </c>
      <c r="H54" s="7"/>
    </row>
    <row r="55" spans="1:8" ht="18.75" hidden="1" x14ac:dyDescent="0.3">
      <c r="A55" s="6">
        <v>45397</v>
      </c>
      <c r="B55" s="7">
        <v>6780</v>
      </c>
      <c r="C55" s="7">
        <v>5604</v>
      </c>
      <c r="D55" s="7">
        <v>397</v>
      </c>
      <c r="E55" s="7">
        <v>858</v>
      </c>
      <c r="F55" s="7">
        <v>74</v>
      </c>
      <c r="G55" s="7">
        <v>12384</v>
      </c>
      <c r="H55" s="7"/>
    </row>
    <row r="56" spans="1:8" ht="18.75" hidden="1" x14ac:dyDescent="0.3">
      <c r="A56" s="6">
        <v>45398</v>
      </c>
      <c r="B56" s="7">
        <v>7374</v>
      </c>
      <c r="C56" s="7">
        <v>5428</v>
      </c>
      <c r="D56" s="7">
        <v>543</v>
      </c>
      <c r="E56" s="7">
        <v>814</v>
      </c>
      <c r="F56" s="7">
        <v>68</v>
      </c>
      <c r="G56" s="7">
        <v>12802</v>
      </c>
      <c r="H56" s="7"/>
    </row>
    <row r="57" spans="1:8" ht="18.75" hidden="1" x14ac:dyDescent="0.3">
      <c r="A57" s="6">
        <v>45399</v>
      </c>
      <c r="B57" s="7">
        <v>7787</v>
      </c>
      <c r="C57" s="7">
        <v>5177</v>
      </c>
      <c r="D57" s="7">
        <v>604</v>
      </c>
      <c r="E57" s="7">
        <v>896</v>
      </c>
      <c r="F57" s="7">
        <v>82</v>
      </c>
      <c r="G57" s="7">
        <v>12964</v>
      </c>
      <c r="H57" s="7"/>
    </row>
    <row r="58" spans="1:8" ht="18.75" hidden="1" x14ac:dyDescent="0.3">
      <c r="A58" s="6">
        <v>45400</v>
      </c>
      <c r="B58" s="7">
        <v>7968</v>
      </c>
      <c r="C58" s="7">
        <v>5046</v>
      </c>
      <c r="D58" s="7">
        <v>581</v>
      </c>
      <c r="E58" s="7">
        <v>769</v>
      </c>
      <c r="F58" s="7">
        <v>43</v>
      </c>
      <c r="G58" s="7">
        <v>13014</v>
      </c>
      <c r="H58" s="7"/>
    </row>
    <row r="59" spans="1:8" ht="18.75" hidden="1" x14ac:dyDescent="0.3">
      <c r="A59" s="6">
        <v>45401</v>
      </c>
      <c r="B59" s="10">
        <v>8371</v>
      </c>
      <c r="C59" s="7">
        <v>4821</v>
      </c>
      <c r="D59" s="7">
        <v>591</v>
      </c>
      <c r="E59" s="7">
        <v>760</v>
      </c>
      <c r="F59" s="7">
        <v>48</v>
      </c>
      <c r="G59" s="7">
        <v>13192</v>
      </c>
      <c r="H59" s="7"/>
    </row>
    <row r="60" spans="1:8" ht="18.75" hidden="1" x14ac:dyDescent="0.3">
      <c r="A60" s="6">
        <v>45404</v>
      </c>
      <c r="B60" s="7">
        <v>8361</v>
      </c>
      <c r="C60" s="7">
        <v>4713</v>
      </c>
      <c r="D60" s="7">
        <v>724</v>
      </c>
      <c r="E60" s="7">
        <v>683</v>
      </c>
      <c r="F60" s="7">
        <v>41</v>
      </c>
      <c r="G60" s="7">
        <v>13074</v>
      </c>
      <c r="H60" s="7"/>
    </row>
    <row r="61" spans="1:8" ht="18.75" hidden="1" x14ac:dyDescent="0.3">
      <c r="A61" s="6">
        <v>45405</v>
      </c>
      <c r="B61" s="7">
        <v>8145</v>
      </c>
      <c r="C61" s="7">
        <v>4784</v>
      </c>
      <c r="D61" s="7">
        <v>792</v>
      </c>
      <c r="E61" s="7">
        <v>648</v>
      </c>
      <c r="F61" s="7">
        <v>68</v>
      </c>
      <c r="G61" s="7">
        <v>12929</v>
      </c>
      <c r="H61" s="7"/>
    </row>
    <row r="62" spans="1:8" ht="18.75" hidden="1" x14ac:dyDescent="0.3">
      <c r="A62" s="6">
        <v>45406</v>
      </c>
      <c r="B62" s="7">
        <v>7584</v>
      </c>
      <c r="C62" s="7">
        <v>5038</v>
      </c>
      <c r="D62" s="7">
        <v>798</v>
      </c>
      <c r="E62" s="7">
        <v>641</v>
      </c>
      <c r="F62" s="7">
        <v>35</v>
      </c>
      <c r="G62" s="7">
        <v>12622</v>
      </c>
      <c r="H62" s="7"/>
    </row>
    <row r="63" spans="1:8" ht="18.75" hidden="1" x14ac:dyDescent="0.3">
      <c r="A63" s="6">
        <v>45407</v>
      </c>
      <c r="B63" s="7">
        <v>7069</v>
      </c>
      <c r="C63" s="7">
        <v>5359</v>
      </c>
      <c r="D63" s="7">
        <v>656</v>
      </c>
      <c r="E63" s="7">
        <v>609</v>
      </c>
      <c r="F63" s="7">
        <v>37</v>
      </c>
      <c r="G63" s="7">
        <v>12428</v>
      </c>
      <c r="H63" s="7"/>
    </row>
    <row r="64" spans="1:8" ht="18.75" hidden="1" x14ac:dyDescent="0.3">
      <c r="A64" s="6">
        <v>45408</v>
      </c>
      <c r="B64" s="7">
        <v>5381</v>
      </c>
      <c r="C64" s="7">
        <v>6040</v>
      </c>
      <c r="D64" s="7">
        <v>651</v>
      </c>
      <c r="E64" s="7">
        <v>570</v>
      </c>
      <c r="F64" s="7">
        <v>54</v>
      </c>
      <c r="G64" s="7">
        <v>11421</v>
      </c>
      <c r="H64" s="7"/>
    </row>
    <row r="65" spans="1:8" ht="18.75" hidden="1" x14ac:dyDescent="0.3">
      <c r="A65" s="6">
        <v>45411</v>
      </c>
      <c r="B65" s="7">
        <v>4837</v>
      </c>
      <c r="C65" s="7">
        <v>6255</v>
      </c>
      <c r="D65" s="7">
        <v>829</v>
      </c>
      <c r="E65" s="7">
        <v>557</v>
      </c>
      <c r="F65" s="7">
        <v>35</v>
      </c>
      <c r="G65" s="7">
        <v>11092</v>
      </c>
      <c r="H65" s="7"/>
    </row>
    <row r="66" spans="1:8" ht="18.75" hidden="1" x14ac:dyDescent="0.3">
      <c r="A66" s="6">
        <v>45412</v>
      </c>
      <c r="B66" s="7">
        <v>4423</v>
      </c>
      <c r="C66" s="7">
        <v>6352</v>
      </c>
      <c r="D66" s="7">
        <v>789</v>
      </c>
      <c r="E66" s="7">
        <v>563</v>
      </c>
      <c r="F66" s="7">
        <v>56</v>
      </c>
      <c r="G66" s="7">
        <v>10775</v>
      </c>
      <c r="H66" s="7"/>
    </row>
    <row r="67" spans="1:8" ht="18.75" hidden="1" x14ac:dyDescent="0.3">
      <c r="A67" s="6">
        <v>45414</v>
      </c>
      <c r="B67" s="7">
        <v>4172</v>
      </c>
      <c r="C67" s="7">
        <v>6231</v>
      </c>
      <c r="D67" s="7">
        <v>759</v>
      </c>
      <c r="E67" s="7">
        <v>573</v>
      </c>
      <c r="F67" s="7">
        <v>41</v>
      </c>
      <c r="G67" s="7">
        <v>10403</v>
      </c>
      <c r="H67" s="7"/>
    </row>
    <row r="68" spans="1:8" ht="18.75" hidden="1" x14ac:dyDescent="0.3">
      <c r="A68" s="6">
        <v>45415</v>
      </c>
      <c r="B68" s="7">
        <v>3142</v>
      </c>
      <c r="C68" s="7">
        <v>6199</v>
      </c>
      <c r="D68" s="7">
        <v>674</v>
      </c>
      <c r="E68" s="7">
        <v>537</v>
      </c>
      <c r="F68" s="7">
        <v>50</v>
      </c>
      <c r="G68" s="7">
        <v>9341</v>
      </c>
      <c r="H68" s="7"/>
    </row>
    <row r="69" spans="1:8" ht="18.75" hidden="1" x14ac:dyDescent="0.3">
      <c r="A69" s="6">
        <v>45418</v>
      </c>
      <c r="B69" s="7">
        <v>2715</v>
      </c>
      <c r="C69" s="7">
        <v>5995</v>
      </c>
      <c r="D69" s="7">
        <v>924</v>
      </c>
      <c r="E69" s="7">
        <v>499</v>
      </c>
      <c r="F69" s="7">
        <v>36</v>
      </c>
      <c r="G69" s="7">
        <v>8710</v>
      </c>
      <c r="H69" s="7"/>
    </row>
    <row r="70" spans="1:8" ht="18.75" hidden="1" x14ac:dyDescent="0.3">
      <c r="A70" s="6">
        <v>45419</v>
      </c>
      <c r="B70" s="7">
        <v>2319</v>
      </c>
      <c r="C70" s="7">
        <v>5861</v>
      </c>
      <c r="D70" s="7">
        <v>878</v>
      </c>
      <c r="E70" s="7">
        <v>483</v>
      </c>
      <c r="F70" s="7">
        <v>64</v>
      </c>
      <c r="G70" s="7">
        <v>8180</v>
      </c>
      <c r="H70" s="7"/>
    </row>
    <row r="71" spans="1:8" ht="18.75" hidden="1" x14ac:dyDescent="0.3">
      <c r="A71" s="6">
        <v>45420</v>
      </c>
      <c r="B71" s="7">
        <v>1980</v>
      </c>
      <c r="C71" s="7">
        <v>5794</v>
      </c>
      <c r="D71" s="7">
        <v>928</v>
      </c>
      <c r="E71" s="7">
        <v>534</v>
      </c>
      <c r="F71" s="7">
        <v>28</v>
      </c>
      <c r="G71" s="7">
        <v>7774</v>
      </c>
      <c r="H71" s="7"/>
    </row>
    <row r="72" spans="1:8" ht="18.75" hidden="1" x14ac:dyDescent="0.3">
      <c r="A72" s="6">
        <v>45421</v>
      </c>
      <c r="B72" s="7">
        <v>1253</v>
      </c>
      <c r="C72" s="7">
        <v>5919</v>
      </c>
      <c r="D72" s="7">
        <v>930</v>
      </c>
      <c r="E72" s="7">
        <v>540</v>
      </c>
      <c r="F72" s="7">
        <v>55</v>
      </c>
      <c r="G72" s="7">
        <v>7172</v>
      </c>
      <c r="H72" s="7"/>
    </row>
    <row r="73" spans="1:8" ht="18.75" hidden="1" x14ac:dyDescent="0.3">
      <c r="A73" s="6">
        <v>45422</v>
      </c>
      <c r="B73" s="7">
        <v>756</v>
      </c>
      <c r="C73" s="7">
        <v>5163</v>
      </c>
      <c r="D73" s="7">
        <v>763</v>
      </c>
      <c r="E73" s="7">
        <v>493</v>
      </c>
      <c r="F73" s="7">
        <v>31</v>
      </c>
      <c r="G73" s="7">
        <v>5919</v>
      </c>
      <c r="H73" s="7"/>
    </row>
    <row r="74" spans="1:8" ht="18.75" hidden="1" x14ac:dyDescent="0.3">
      <c r="A74" s="6">
        <v>45425</v>
      </c>
      <c r="B74" s="7">
        <v>382</v>
      </c>
      <c r="C74" s="7">
        <v>4812</v>
      </c>
      <c r="D74" s="7">
        <v>832</v>
      </c>
      <c r="E74" s="7">
        <v>462</v>
      </c>
      <c r="F74" s="7">
        <v>56</v>
      </c>
      <c r="G74" s="7">
        <v>5194</v>
      </c>
      <c r="H74" s="7"/>
    </row>
    <row r="75" spans="1:8" ht="18.75" hidden="1" x14ac:dyDescent="0.3">
      <c r="A75" s="6">
        <v>45426</v>
      </c>
      <c r="B75" s="7">
        <v>300</v>
      </c>
      <c r="C75" s="7">
        <v>4407</v>
      </c>
      <c r="D75" s="7">
        <v>840</v>
      </c>
      <c r="E75" s="7">
        <v>441</v>
      </c>
      <c r="F75" s="7">
        <v>39</v>
      </c>
      <c r="G75" s="7">
        <v>4707</v>
      </c>
      <c r="H75" s="7"/>
    </row>
    <row r="76" spans="1:8" ht="18.75" hidden="1" x14ac:dyDescent="0.3">
      <c r="A76" s="6">
        <v>45427</v>
      </c>
      <c r="B76" s="7">
        <v>321</v>
      </c>
      <c r="C76" s="7">
        <v>3954</v>
      </c>
      <c r="D76" s="7">
        <v>732</v>
      </c>
      <c r="E76" s="7">
        <v>436</v>
      </c>
      <c r="F76" s="7">
        <v>37</v>
      </c>
      <c r="G76" s="7">
        <v>4275</v>
      </c>
      <c r="H76" s="7"/>
    </row>
    <row r="77" spans="1:8" ht="18.75" hidden="1" x14ac:dyDescent="0.3">
      <c r="A77" s="6">
        <v>45428</v>
      </c>
      <c r="B77" s="7">
        <v>344</v>
      </c>
      <c r="C77" s="7">
        <v>3544</v>
      </c>
      <c r="D77" s="7">
        <v>737</v>
      </c>
      <c r="E77" s="7">
        <v>438</v>
      </c>
      <c r="F77" s="7">
        <v>40</v>
      </c>
      <c r="G77" s="7">
        <v>3888</v>
      </c>
      <c r="H77" s="7"/>
    </row>
    <row r="78" spans="1:8" ht="18.75" hidden="1" x14ac:dyDescent="0.3">
      <c r="A78" s="6">
        <v>45429</v>
      </c>
      <c r="B78" s="7">
        <v>832</v>
      </c>
      <c r="C78" s="7">
        <v>2892</v>
      </c>
      <c r="D78" s="7">
        <v>558</v>
      </c>
      <c r="E78" s="7">
        <v>579</v>
      </c>
      <c r="F78" s="7">
        <v>59</v>
      </c>
      <c r="G78" s="7">
        <v>3436</v>
      </c>
      <c r="H78" s="7"/>
    </row>
    <row r="79" spans="1:8" ht="18.75" hidden="1" x14ac:dyDescent="0.3">
      <c r="A79" s="6">
        <v>45433</v>
      </c>
      <c r="B79" s="7">
        <v>633</v>
      </c>
      <c r="C79" s="7">
        <v>2624</v>
      </c>
      <c r="D79" s="7">
        <v>570</v>
      </c>
      <c r="E79" s="7">
        <v>438</v>
      </c>
      <c r="F79" s="7">
        <v>47</v>
      </c>
      <c r="G79" s="7">
        <v>3257</v>
      </c>
      <c r="H79" s="7"/>
    </row>
    <row r="80" spans="1:8" ht="18.75" hidden="1" x14ac:dyDescent="0.3">
      <c r="A80" s="6">
        <v>45434</v>
      </c>
      <c r="B80" s="7">
        <v>411</v>
      </c>
      <c r="C80" s="7">
        <v>2441</v>
      </c>
      <c r="D80" s="7">
        <v>575</v>
      </c>
      <c r="E80" s="7">
        <v>438</v>
      </c>
      <c r="F80" s="7">
        <v>70</v>
      </c>
      <c r="G80" s="7">
        <v>2852</v>
      </c>
      <c r="H80" s="7"/>
    </row>
    <row r="81" spans="1:8" ht="18.75" hidden="1" x14ac:dyDescent="0.3">
      <c r="A81" s="6">
        <v>45435</v>
      </c>
      <c r="B81" s="7">
        <v>272</v>
      </c>
      <c r="C81" s="7">
        <v>2324</v>
      </c>
      <c r="D81" s="7">
        <v>546</v>
      </c>
      <c r="E81" s="7">
        <v>425</v>
      </c>
      <c r="F81" s="7">
        <v>40</v>
      </c>
      <c r="G81" s="7">
        <v>2596</v>
      </c>
      <c r="H81" s="7"/>
    </row>
    <row r="82" spans="1:8" ht="18.75" hidden="1" x14ac:dyDescent="0.3">
      <c r="A82" s="6">
        <v>45436</v>
      </c>
      <c r="B82" s="7">
        <v>275</v>
      </c>
      <c r="C82" s="7">
        <v>2145</v>
      </c>
      <c r="D82" s="7">
        <v>474</v>
      </c>
      <c r="E82" s="7">
        <v>362</v>
      </c>
      <c r="F82" s="7">
        <v>50</v>
      </c>
      <c r="G82" s="7">
        <v>2420</v>
      </c>
      <c r="H82" s="7"/>
    </row>
    <row r="83" spans="1:8" ht="18.75" hidden="1" x14ac:dyDescent="0.3">
      <c r="A83" s="6">
        <v>45439</v>
      </c>
      <c r="B83" s="7">
        <v>250</v>
      </c>
      <c r="C83" s="7">
        <v>2017</v>
      </c>
      <c r="D83" s="7">
        <v>505</v>
      </c>
      <c r="E83" s="7">
        <v>360</v>
      </c>
      <c r="F83" s="7">
        <v>36</v>
      </c>
      <c r="G83" s="7">
        <v>2267</v>
      </c>
      <c r="H83" s="7"/>
    </row>
    <row r="84" spans="1:8" ht="18.75" hidden="1" x14ac:dyDescent="0.3">
      <c r="A84" s="6">
        <v>45440</v>
      </c>
      <c r="B84" s="7">
        <v>233</v>
      </c>
      <c r="C84" s="7">
        <v>1897</v>
      </c>
      <c r="D84" s="7">
        <v>490</v>
      </c>
      <c r="E84" s="7">
        <v>346</v>
      </c>
      <c r="F84" s="7">
        <v>33</v>
      </c>
      <c r="G84" s="7">
        <v>2130</v>
      </c>
      <c r="H84" s="7"/>
    </row>
    <row r="85" spans="1:8" ht="18.75" hidden="1" x14ac:dyDescent="0.3">
      <c r="A85" s="6">
        <v>45441</v>
      </c>
      <c r="B85" s="7">
        <v>301</v>
      </c>
      <c r="C85" s="7">
        <v>1818</v>
      </c>
      <c r="D85" s="7">
        <v>415</v>
      </c>
      <c r="E85" s="7">
        <v>259</v>
      </c>
      <c r="F85" s="7">
        <v>40</v>
      </c>
      <c r="G85" s="7">
        <v>2119</v>
      </c>
      <c r="H85" s="7"/>
    </row>
    <row r="86" spans="1:8" ht="18.75" hidden="1" x14ac:dyDescent="0.3">
      <c r="A86" s="6">
        <v>45442</v>
      </c>
      <c r="B86" s="7">
        <v>242</v>
      </c>
      <c r="C86" s="7">
        <v>1884</v>
      </c>
      <c r="D86" s="7">
        <v>337</v>
      </c>
      <c r="E86" s="7">
        <v>216</v>
      </c>
      <c r="F86" s="7">
        <v>52</v>
      </c>
      <c r="G86" s="7">
        <v>2126</v>
      </c>
      <c r="H86" s="7"/>
    </row>
    <row r="87" spans="1:8" ht="18.75" hidden="1" x14ac:dyDescent="0.3">
      <c r="A87" s="6">
        <v>45443</v>
      </c>
      <c r="B87" s="7">
        <v>314</v>
      </c>
      <c r="C87" s="7">
        <v>1832</v>
      </c>
      <c r="D87" s="7">
        <v>335</v>
      </c>
      <c r="E87" s="7">
        <v>216</v>
      </c>
      <c r="F87" s="7">
        <v>49</v>
      </c>
      <c r="G87" s="7">
        <v>2146</v>
      </c>
      <c r="H87" s="7"/>
    </row>
    <row r="88" spans="1:8" ht="18.75" hidden="1" x14ac:dyDescent="0.3">
      <c r="A88" s="6">
        <v>45446</v>
      </c>
      <c r="B88" s="7">
        <v>440</v>
      </c>
      <c r="C88" s="7">
        <v>1723</v>
      </c>
      <c r="D88" s="7">
        <v>439</v>
      </c>
      <c r="E88" s="7">
        <v>323</v>
      </c>
      <c r="F88" s="7">
        <v>24</v>
      </c>
      <c r="G88" s="7">
        <v>2163</v>
      </c>
      <c r="H88" s="7"/>
    </row>
    <row r="89" spans="1:8" ht="18.75" hidden="1" x14ac:dyDescent="0.3">
      <c r="A89" s="6">
        <v>45447</v>
      </c>
      <c r="B89" s="7">
        <v>317</v>
      </c>
      <c r="C89" s="7">
        <v>1804</v>
      </c>
      <c r="D89" s="7">
        <v>434</v>
      </c>
      <c r="E89" s="7">
        <v>300</v>
      </c>
      <c r="F89" s="7">
        <v>54</v>
      </c>
      <c r="G89" s="7">
        <v>2121</v>
      </c>
      <c r="H89" s="7"/>
    </row>
    <row r="90" spans="1:8" ht="18.75" hidden="1" x14ac:dyDescent="0.3">
      <c r="A90" s="6">
        <v>45448</v>
      </c>
      <c r="B90" s="7">
        <v>191</v>
      </c>
      <c r="C90" s="7">
        <v>1769</v>
      </c>
      <c r="D90" s="7">
        <v>369</v>
      </c>
      <c r="E90" s="7">
        <v>244</v>
      </c>
      <c r="F90" s="7">
        <v>38</v>
      </c>
      <c r="G90" s="7">
        <v>1960</v>
      </c>
      <c r="H90" s="7"/>
    </row>
    <row r="91" spans="1:8" ht="18.75" hidden="1" x14ac:dyDescent="0.3">
      <c r="A91" s="11">
        <v>45449</v>
      </c>
      <c r="B91" s="12">
        <v>167</v>
      </c>
      <c r="C91" s="12">
        <v>1837</v>
      </c>
      <c r="D91" s="12">
        <v>282</v>
      </c>
      <c r="E91" s="12">
        <v>197</v>
      </c>
      <c r="F91" s="12">
        <v>39</v>
      </c>
      <c r="G91" s="12">
        <v>2004</v>
      </c>
      <c r="H91" s="12"/>
    </row>
    <row r="92" spans="1:8" ht="18.75" hidden="1" x14ac:dyDescent="0.3">
      <c r="A92" s="6">
        <v>45450</v>
      </c>
      <c r="B92" s="7">
        <v>310</v>
      </c>
      <c r="C92" s="7">
        <v>1723</v>
      </c>
      <c r="D92" s="7">
        <v>276</v>
      </c>
      <c r="E92" s="7">
        <v>202</v>
      </c>
      <c r="F92" s="7">
        <v>48</v>
      </c>
      <c r="G92" s="7">
        <v>2033</v>
      </c>
      <c r="H92" s="7"/>
    </row>
    <row r="93" spans="1:8" ht="18.75" hidden="1" x14ac:dyDescent="0.3">
      <c r="A93" s="6">
        <v>45453</v>
      </c>
      <c r="B93" s="7">
        <v>259</v>
      </c>
      <c r="C93" s="7">
        <v>1749</v>
      </c>
      <c r="D93" s="7">
        <v>427</v>
      </c>
      <c r="E93" s="7">
        <v>280</v>
      </c>
      <c r="F93" s="7">
        <v>30</v>
      </c>
      <c r="G93" s="7">
        <v>2008</v>
      </c>
      <c r="H93" s="7"/>
    </row>
    <row r="94" spans="1:8" ht="18.75" hidden="1" x14ac:dyDescent="0.3">
      <c r="A94" s="6">
        <v>45454</v>
      </c>
      <c r="B94" s="7">
        <v>195</v>
      </c>
      <c r="C94" s="7">
        <v>1707</v>
      </c>
      <c r="D94" s="7">
        <v>423</v>
      </c>
      <c r="E94" s="7">
        <v>285</v>
      </c>
      <c r="F94" s="7">
        <v>45</v>
      </c>
      <c r="G94" s="7">
        <v>1902</v>
      </c>
      <c r="H94" s="7"/>
    </row>
    <row r="95" spans="1:8" ht="18.75" hidden="1" x14ac:dyDescent="0.3">
      <c r="A95" s="6">
        <v>45455</v>
      </c>
      <c r="B95" s="7">
        <v>228</v>
      </c>
      <c r="C95" s="7">
        <v>1679</v>
      </c>
      <c r="D95" s="7">
        <v>415</v>
      </c>
      <c r="E95" s="7">
        <v>275</v>
      </c>
      <c r="F95" s="7">
        <v>34</v>
      </c>
      <c r="G95" s="7">
        <v>1907</v>
      </c>
      <c r="H95" s="7"/>
    </row>
    <row r="96" spans="1:8" ht="18.75" hidden="1" x14ac:dyDescent="0.3">
      <c r="A96" s="6">
        <v>45456</v>
      </c>
      <c r="B96" s="7">
        <v>223</v>
      </c>
      <c r="C96" s="7">
        <v>1686</v>
      </c>
      <c r="D96" s="7">
        <v>368</v>
      </c>
      <c r="E96" s="7">
        <v>251</v>
      </c>
      <c r="F96" s="7">
        <v>47</v>
      </c>
      <c r="G96" s="7">
        <v>1909</v>
      </c>
      <c r="H96" s="7"/>
    </row>
    <row r="97" spans="1:8" ht="18.75" hidden="1" x14ac:dyDescent="0.3">
      <c r="A97" s="6">
        <v>45457</v>
      </c>
      <c r="B97" s="7">
        <v>299</v>
      </c>
      <c r="C97" s="7">
        <v>1580</v>
      </c>
      <c r="D97" s="7">
        <v>383</v>
      </c>
      <c r="E97" s="7">
        <v>278</v>
      </c>
      <c r="F97" s="7">
        <v>44</v>
      </c>
      <c r="G97" s="7">
        <v>1879</v>
      </c>
      <c r="H97" s="7"/>
    </row>
    <row r="98" spans="1:8" ht="18.75" hidden="1" x14ac:dyDescent="0.3">
      <c r="A98" s="6">
        <v>45460</v>
      </c>
      <c r="B98" s="7">
        <v>255</v>
      </c>
      <c r="C98" s="7">
        <v>1615</v>
      </c>
      <c r="D98" s="7">
        <v>394</v>
      </c>
      <c r="E98" s="7">
        <v>284</v>
      </c>
      <c r="F98" s="7">
        <v>40</v>
      </c>
      <c r="G98" s="7">
        <v>1870</v>
      </c>
      <c r="H98" s="7"/>
    </row>
    <row r="99" spans="1:8" ht="18.75" hidden="1" x14ac:dyDescent="0.3">
      <c r="A99" s="6">
        <v>45461</v>
      </c>
      <c r="B99" s="7">
        <v>264</v>
      </c>
      <c r="C99" s="7">
        <v>1511</v>
      </c>
      <c r="D99" s="7">
        <v>372</v>
      </c>
      <c r="E99" s="7">
        <v>271</v>
      </c>
      <c r="F99" s="7">
        <v>54</v>
      </c>
      <c r="G99" s="7">
        <v>1775</v>
      </c>
      <c r="H99" s="7"/>
    </row>
    <row r="100" spans="1:8" ht="18.75" hidden="1" x14ac:dyDescent="0.3">
      <c r="A100" s="6">
        <v>45462</v>
      </c>
      <c r="B100" s="7">
        <v>235</v>
      </c>
      <c r="C100" s="7">
        <v>1489</v>
      </c>
      <c r="D100" s="7">
        <v>317</v>
      </c>
      <c r="E100" s="7">
        <v>230</v>
      </c>
      <c r="F100" s="7">
        <v>35</v>
      </c>
      <c r="G100" s="7">
        <v>1724</v>
      </c>
      <c r="H100" s="7"/>
    </row>
    <row r="101" spans="1:8" ht="18.75" hidden="1" x14ac:dyDescent="0.3">
      <c r="A101" s="6">
        <v>45463</v>
      </c>
      <c r="B101" s="7">
        <v>231</v>
      </c>
      <c r="C101" s="7">
        <v>1445</v>
      </c>
      <c r="D101" s="7">
        <v>286</v>
      </c>
      <c r="E101" s="7">
        <v>219</v>
      </c>
      <c r="F101" s="7">
        <v>42</v>
      </c>
      <c r="G101" s="7">
        <v>1676</v>
      </c>
      <c r="H101" s="7"/>
    </row>
    <row r="102" spans="1:8" ht="18.75" hidden="1" x14ac:dyDescent="0.3">
      <c r="A102" s="6">
        <v>45464</v>
      </c>
      <c r="B102" s="7">
        <v>511</v>
      </c>
      <c r="C102" s="7">
        <v>1582</v>
      </c>
      <c r="D102" s="7">
        <v>250</v>
      </c>
      <c r="E102" s="7">
        <v>197</v>
      </c>
      <c r="F102" s="7">
        <v>52</v>
      </c>
      <c r="G102" s="7">
        <v>2093</v>
      </c>
      <c r="H102" s="7"/>
    </row>
    <row r="103" spans="1:8" ht="18.75" hidden="1" x14ac:dyDescent="0.3">
      <c r="A103" s="6">
        <v>45467</v>
      </c>
      <c r="B103" s="7">
        <v>339</v>
      </c>
      <c r="C103" s="7">
        <v>1504</v>
      </c>
      <c r="D103" s="7">
        <v>350</v>
      </c>
      <c r="E103" s="7">
        <v>244</v>
      </c>
      <c r="F103" s="7">
        <v>39</v>
      </c>
      <c r="G103" s="7">
        <v>1843</v>
      </c>
      <c r="H103" s="7"/>
    </row>
    <row r="104" spans="1:8" ht="18.75" hidden="1" x14ac:dyDescent="0.3">
      <c r="A104" s="6">
        <v>45468</v>
      </c>
      <c r="B104" s="7">
        <v>288</v>
      </c>
      <c r="C104" s="7">
        <v>1471</v>
      </c>
      <c r="D104" s="7">
        <v>359</v>
      </c>
      <c r="E104" s="7">
        <v>234</v>
      </c>
      <c r="F104" s="7">
        <v>43</v>
      </c>
      <c r="G104" s="7">
        <v>1759</v>
      </c>
      <c r="H104" s="7"/>
    </row>
    <row r="105" spans="1:8" ht="18.75" hidden="1" x14ac:dyDescent="0.3">
      <c r="A105" s="6">
        <v>45469</v>
      </c>
      <c r="B105" s="7">
        <v>234</v>
      </c>
      <c r="C105" s="7">
        <v>1495</v>
      </c>
      <c r="D105" s="7">
        <v>309</v>
      </c>
      <c r="E105" s="7">
        <v>185</v>
      </c>
      <c r="F105" s="7">
        <v>51</v>
      </c>
      <c r="G105" s="7">
        <v>1729</v>
      </c>
      <c r="H105" s="7"/>
    </row>
    <row r="106" spans="1:8" ht="18.75" hidden="1" x14ac:dyDescent="0.3">
      <c r="A106" s="6">
        <v>45470</v>
      </c>
      <c r="B106" s="7">
        <v>225</v>
      </c>
      <c r="C106" s="7">
        <v>1460</v>
      </c>
      <c r="D106" s="7">
        <v>268</v>
      </c>
      <c r="E106" s="7">
        <v>178</v>
      </c>
      <c r="F106" s="7">
        <v>56</v>
      </c>
      <c r="G106" s="7">
        <v>1685</v>
      </c>
      <c r="H106" s="7"/>
    </row>
    <row r="107" spans="1:8" ht="18.75" hidden="1" x14ac:dyDescent="0.3">
      <c r="A107" s="6">
        <v>45471</v>
      </c>
      <c r="B107" s="7">
        <v>485</v>
      </c>
      <c r="C107" s="7">
        <v>1454</v>
      </c>
      <c r="D107" s="7">
        <v>243</v>
      </c>
      <c r="E107" s="7">
        <v>187</v>
      </c>
      <c r="F107" s="7">
        <v>38</v>
      </c>
      <c r="G107" s="7">
        <v>1939</v>
      </c>
      <c r="H107" s="7"/>
    </row>
    <row r="108" spans="1:8" ht="18.75" hidden="1" x14ac:dyDescent="0.3">
      <c r="A108" s="6">
        <v>45474</v>
      </c>
      <c r="B108" s="7">
        <v>437</v>
      </c>
      <c r="C108" s="7">
        <v>1464</v>
      </c>
      <c r="D108" s="7">
        <v>363</v>
      </c>
      <c r="E108" s="7">
        <v>353</v>
      </c>
      <c r="F108" s="7">
        <v>41</v>
      </c>
      <c r="G108" s="7">
        <v>1901</v>
      </c>
      <c r="H108" s="7"/>
    </row>
    <row r="109" spans="1:8" ht="18.75" hidden="1" x14ac:dyDescent="0.3">
      <c r="A109" s="6">
        <v>45475</v>
      </c>
      <c r="B109" s="7">
        <v>410</v>
      </c>
      <c r="C109" s="7">
        <v>1616</v>
      </c>
      <c r="D109" s="7">
        <v>363</v>
      </c>
      <c r="E109" s="7">
        <v>399</v>
      </c>
      <c r="F109" s="7">
        <v>45</v>
      </c>
      <c r="G109" s="7">
        <v>2026</v>
      </c>
      <c r="H109" s="7"/>
    </row>
    <row r="110" spans="1:8" ht="18.75" hidden="1" x14ac:dyDescent="0.3">
      <c r="A110" s="6">
        <v>45476</v>
      </c>
      <c r="B110" s="7">
        <v>317</v>
      </c>
      <c r="C110" s="7">
        <v>1822</v>
      </c>
      <c r="D110" s="7">
        <v>361</v>
      </c>
      <c r="E110" s="7">
        <v>465</v>
      </c>
      <c r="F110" s="7">
        <v>67</v>
      </c>
      <c r="G110" s="7">
        <v>2139</v>
      </c>
      <c r="H110" s="7"/>
    </row>
    <row r="111" spans="1:8" ht="18.75" hidden="1" x14ac:dyDescent="0.3">
      <c r="A111" s="11">
        <v>45477</v>
      </c>
      <c r="B111" s="12">
        <v>361</v>
      </c>
      <c r="C111" s="12">
        <v>1859</v>
      </c>
      <c r="D111" s="12">
        <v>330</v>
      </c>
      <c r="E111" s="12">
        <v>397</v>
      </c>
      <c r="F111" s="12">
        <v>58</v>
      </c>
      <c r="G111" s="12">
        <v>2220</v>
      </c>
      <c r="H111" s="12"/>
    </row>
    <row r="112" spans="1:8" ht="18.75" hidden="1" x14ac:dyDescent="0.3">
      <c r="A112" s="6">
        <v>45478</v>
      </c>
      <c r="B112" s="12">
        <v>433</v>
      </c>
      <c r="C112" s="12">
        <v>1879</v>
      </c>
      <c r="D112" s="12">
        <v>380</v>
      </c>
      <c r="E112" s="12">
        <v>428</v>
      </c>
      <c r="F112" s="12">
        <v>58</v>
      </c>
      <c r="G112" s="12">
        <v>2312</v>
      </c>
      <c r="H112" s="12"/>
    </row>
    <row r="113" spans="1:8" ht="18.75" hidden="1" x14ac:dyDescent="0.3">
      <c r="A113" s="6">
        <v>45481</v>
      </c>
      <c r="B113" s="12">
        <v>372</v>
      </c>
      <c r="C113" s="12">
        <v>1960</v>
      </c>
      <c r="D113" s="12">
        <v>448</v>
      </c>
      <c r="E113" s="12">
        <v>398</v>
      </c>
      <c r="F113" s="12">
        <v>73</v>
      </c>
      <c r="G113" s="12">
        <v>2332</v>
      </c>
      <c r="H113" s="12"/>
    </row>
    <row r="114" spans="1:8" ht="18.75" hidden="1" x14ac:dyDescent="0.3">
      <c r="A114" s="6">
        <v>45482</v>
      </c>
      <c r="B114" s="12">
        <v>371</v>
      </c>
      <c r="C114" s="12">
        <v>1901</v>
      </c>
      <c r="D114" s="12">
        <v>448</v>
      </c>
      <c r="E114" s="12">
        <v>325</v>
      </c>
      <c r="F114" s="12">
        <v>71</v>
      </c>
      <c r="G114" s="12">
        <v>2272</v>
      </c>
      <c r="H114" s="12"/>
    </row>
    <row r="115" spans="1:8" ht="18.75" hidden="1" x14ac:dyDescent="0.3">
      <c r="A115" s="6">
        <v>45483</v>
      </c>
      <c r="B115" s="12">
        <v>268</v>
      </c>
      <c r="C115" s="12">
        <v>2081</v>
      </c>
      <c r="D115" s="12">
        <v>396</v>
      </c>
      <c r="E115" s="12">
        <v>379</v>
      </c>
      <c r="F115" s="12">
        <v>58</v>
      </c>
      <c r="G115" s="12">
        <v>2349</v>
      </c>
      <c r="H115" s="12"/>
    </row>
    <row r="116" spans="1:8" ht="18.75" hidden="1" x14ac:dyDescent="0.3">
      <c r="A116" s="6">
        <v>45484</v>
      </c>
      <c r="B116" s="12">
        <v>263</v>
      </c>
      <c r="C116" s="12">
        <v>2029</v>
      </c>
      <c r="D116" s="12">
        <v>431</v>
      </c>
      <c r="E116" s="12">
        <v>361</v>
      </c>
      <c r="F116" s="12">
        <v>85</v>
      </c>
      <c r="G116" s="12">
        <v>2292</v>
      </c>
      <c r="H116" s="12"/>
    </row>
    <row r="117" spans="1:8" ht="18.75" hidden="1" x14ac:dyDescent="0.3">
      <c r="A117" s="6">
        <v>45485</v>
      </c>
      <c r="B117" s="12">
        <v>366</v>
      </c>
      <c r="C117" s="12">
        <v>1997</v>
      </c>
      <c r="D117" s="12">
        <v>372</v>
      </c>
      <c r="E117" s="12">
        <v>375</v>
      </c>
      <c r="F117" s="12">
        <v>85</v>
      </c>
      <c r="G117" s="12">
        <v>2363</v>
      </c>
      <c r="H117" s="12"/>
    </row>
    <row r="118" spans="1:8" ht="18.75" hidden="1" x14ac:dyDescent="0.3">
      <c r="A118" s="6">
        <v>45488</v>
      </c>
      <c r="B118" s="12">
        <v>283</v>
      </c>
      <c r="C118" s="12">
        <v>2093</v>
      </c>
      <c r="D118" s="12">
        <v>381</v>
      </c>
      <c r="E118" s="12">
        <v>355</v>
      </c>
      <c r="F118" s="12">
        <v>63</v>
      </c>
      <c r="G118" s="12">
        <v>2376</v>
      </c>
      <c r="H118" s="12"/>
    </row>
    <row r="119" spans="1:8" ht="18.75" hidden="1" x14ac:dyDescent="0.3">
      <c r="A119" s="6">
        <v>45489</v>
      </c>
      <c r="B119" s="12">
        <v>269</v>
      </c>
      <c r="C119" s="12">
        <v>2074</v>
      </c>
      <c r="D119" s="12">
        <v>360</v>
      </c>
      <c r="E119" s="12">
        <v>299</v>
      </c>
      <c r="F119" s="12">
        <v>62</v>
      </c>
      <c r="G119" s="12">
        <v>2343</v>
      </c>
      <c r="H119" s="12"/>
    </row>
    <row r="120" spans="1:8" ht="18.75" hidden="1" x14ac:dyDescent="0.3">
      <c r="A120" s="6">
        <v>45490</v>
      </c>
      <c r="B120" s="12">
        <v>306</v>
      </c>
      <c r="C120" s="12">
        <v>2040</v>
      </c>
      <c r="D120" s="12">
        <v>380</v>
      </c>
      <c r="E120" s="12">
        <v>328</v>
      </c>
      <c r="F120" s="12">
        <v>54</v>
      </c>
      <c r="G120" s="12">
        <v>2346</v>
      </c>
      <c r="H120" s="12"/>
    </row>
    <row r="121" spans="1:8" ht="18.75" hidden="1" x14ac:dyDescent="0.3">
      <c r="A121" s="6">
        <v>45491</v>
      </c>
      <c r="B121" s="7">
        <v>306</v>
      </c>
      <c r="C121" s="7">
        <v>2008</v>
      </c>
      <c r="D121" s="7">
        <v>352</v>
      </c>
      <c r="E121" s="7">
        <v>321</v>
      </c>
      <c r="F121" s="7">
        <v>58</v>
      </c>
      <c r="G121" s="7">
        <v>2314</v>
      </c>
      <c r="H121" s="7"/>
    </row>
    <row r="122" spans="1:8" ht="18.75" hidden="1" x14ac:dyDescent="0.3">
      <c r="A122" s="6">
        <v>45492</v>
      </c>
      <c r="B122" s="7">
        <v>422</v>
      </c>
      <c r="C122" s="7">
        <v>1959</v>
      </c>
      <c r="D122" s="7">
        <v>342</v>
      </c>
      <c r="E122" s="7">
        <v>329</v>
      </c>
      <c r="F122" s="7">
        <v>61</v>
      </c>
      <c r="G122" s="7">
        <v>2381</v>
      </c>
      <c r="H122" s="7"/>
    </row>
    <row r="123" spans="1:8" ht="18.75" hidden="1" x14ac:dyDescent="0.3">
      <c r="A123" s="6">
        <v>45495</v>
      </c>
      <c r="B123" s="7">
        <v>346</v>
      </c>
      <c r="C123" s="7">
        <v>2090</v>
      </c>
      <c r="D123" s="7">
        <v>302</v>
      </c>
      <c r="E123" s="7">
        <v>365</v>
      </c>
      <c r="F123" s="7">
        <v>83</v>
      </c>
      <c r="G123" s="7">
        <v>2436</v>
      </c>
      <c r="H123" s="7"/>
    </row>
    <row r="124" spans="1:8" ht="18.75" hidden="1" x14ac:dyDescent="0.3">
      <c r="A124" s="6">
        <v>45496</v>
      </c>
      <c r="B124" s="7">
        <v>399</v>
      </c>
      <c r="C124" s="7">
        <v>2125</v>
      </c>
      <c r="D124" s="7">
        <v>395</v>
      </c>
      <c r="E124" s="7">
        <v>365</v>
      </c>
      <c r="F124" s="7">
        <v>65</v>
      </c>
      <c r="G124" s="7">
        <v>2524</v>
      </c>
      <c r="H124" s="7"/>
    </row>
    <row r="125" spans="1:8" ht="18.75" hidden="1" x14ac:dyDescent="0.3">
      <c r="A125" s="6">
        <v>45497</v>
      </c>
      <c r="B125" s="7">
        <v>364</v>
      </c>
      <c r="C125" s="7">
        <v>2298</v>
      </c>
      <c r="D125" s="7">
        <v>351</v>
      </c>
      <c r="E125" s="7">
        <v>471</v>
      </c>
      <c r="F125" s="7">
        <v>42</v>
      </c>
      <c r="G125" s="7">
        <v>2662</v>
      </c>
      <c r="H125" s="7"/>
    </row>
    <row r="126" spans="1:8" ht="18.75" hidden="1" x14ac:dyDescent="0.3">
      <c r="A126" s="6">
        <v>45498</v>
      </c>
      <c r="B126" s="7">
        <v>364</v>
      </c>
      <c r="C126" s="7">
        <v>2170</v>
      </c>
      <c r="D126" s="7">
        <v>361</v>
      </c>
      <c r="E126" s="7">
        <v>417</v>
      </c>
      <c r="F126" s="7">
        <v>58</v>
      </c>
      <c r="G126" s="7">
        <v>2534</v>
      </c>
      <c r="H126" s="7"/>
    </row>
    <row r="127" spans="1:8" ht="18.75" hidden="1" x14ac:dyDescent="0.3">
      <c r="A127" s="6">
        <v>45499</v>
      </c>
      <c r="B127" s="7">
        <v>472</v>
      </c>
      <c r="C127" s="7">
        <v>2451</v>
      </c>
      <c r="D127" s="7">
        <v>362</v>
      </c>
      <c r="E127" s="7">
        <v>437</v>
      </c>
      <c r="F127" s="7">
        <v>74</v>
      </c>
      <c r="G127" s="7">
        <v>2923</v>
      </c>
      <c r="H127" s="7"/>
    </row>
    <row r="128" spans="1:8" ht="18.75" hidden="1" x14ac:dyDescent="0.3">
      <c r="A128" s="6">
        <v>45502</v>
      </c>
      <c r="B128" s="7">
        <v>595</v>
      </c>
      <c r="C128" s="7">
        <v>2439</v>
      </c>
      <c r="D128" s="7">
        <v>371</v>
      </c>
      <c r="E128" s="7">
        <v>442</v>
      </c>
      <c r="F128" s="7">
        <v>75</v>
      </c>
      <c r="G128" s="7">
        <v>3034</v>
      </c>
      <c r="H128" s="7"/>
    </row>
    <row r="129" spans="1:8" ht="18.75" hidden="1" x14ac:dyDescent="0.3">
      <c r="A129" s="6">
        <v>45503</v>
      </c>
      <c r="B129" s="7">
        <v>579</v>
      </c>
      <c r="C129" s="7">
        <v>2568</v>
      </c>
      <c r="D129" s="7">
        <v>307</v>
      </c>
      <c r="E129" s="7">
        <v>441</v>
      </c>
      <c r="F129" s="7">
        <v>58</v>
      </c>
      <c r="G129" s="7">
        <v>3147</v>
      </c>
      <c r="H129" s="7"/>
    </row>
    <row r="130" spans="1:8" ht="18.75" hidden="1" x14ac:dyDescent="0.3">
      <c r="A130" s="6">
        <v>45504</v>
      </c>
      <c r="B130" s="7">
        <v>415</v>
      </c>
      <c r="C130" s="7">
        <v>2796</v>
      </c>
      <c r="D130" s="7">
        <v>315</v>
      </c>
      <c r="E130" s="7">
        <v>459</v>
      </c>
      <c r="F130" s="7">
        <v>93</v>
      </c>
      <c r="G130" s="7">
        <v>3211</v>
      </c>
      <c r="H130" s="7"/>
    </row>
    <row r="131" spans="1:8" ht="18.75" hidden="1" x14ac:dyDescent="0.3">
      <c r="A131" s="6">
        <v>45505</v>
      </c>
      <c r="B131" s="7">
        <v>198</v>
      </c>
      <c r="C131" s="7">
        <v>3106</v>
      </c>
      <c r="D131" s="7">
        <v>364</v>
      </c>
      <c r="E131" s="7">
        <v>381</v>
      </c>
      <c r="F131" s="7">
        <v>67</v>
      </c>
      <c r="G131" s="7">
        <v>3304</v>
      </c>
      <c r="H131" s="7"/>
    </row>
    <row r="132" spans="1:8" ht="18.75" hidden="1" x14ac:dyDescent="0.3">
      <c r="A132" s="6">
        <v>45506</v>
      </c>
      <c r="B132" s="7">
        <v>179</v>
      </c>
      <c r="C132" s="7">
        <v>2987</v>
      </c>
      <c r="D132" s="7">
        <v>492</v>
      </c>
      <c r="E132" s="7">
        <v>414</v>
      </c>
      <c r="F132" s="7">
        <v>72</v>
      </c>
      <c r="G132" s="7">
        <v>3166</v>
      </c>
      <c r="H132" s="7"/>
    </row>
    <row r="133" spans="1:8" ht="18.75" hidden="1" x14ac:dyDescent="0.3">
      <c r="A133" s="6">
        <v>45507</v>
      </c>
      <c r="B133" s="7">
        <v>194</v>
      </c>
      <c r="C133" s="7">
        <v>2643</v>
      </c>
      <c r="D133" s="7">
        <v>571</v>
      </c>
      <c r="E133" s="7">
        <v>129</v>
      </c>
      <c r="F133" s="7">
        <v>39</v>
      </c>
      <c r="G133" s="7">
        <v>2837</v>
      </c>
      <c r="H133" s="7" t="s">
        <v>64</v>
      </c>
    </row>
    <row r="134" spans="1:8" ht="18.75" hidden="1" x14ac:dyDescent="0.3">
      <c r="A134" s="6">
        <v>45509</v>
      </c>
      <c r="B134" s="7">
        <v>186</v>
      </c>
      <c r="C134" s="7">
        <v>2645</v>
      </c>
      <c r="D134" s="7">
        <v>483</v>
      </c>
      <c r="E134" s="7">
        <v>397</v>
      </c>
      <c r="F134" s="7">
        <v>67</v>
      </c>
      <c r="G134" s="7">
        <v>2831</v>
      </c>
      <c r="H134" s="7"/>
    </row>
    <row r="135" spans="1:8" ht="18.75" hidden="1" x14ac:dyDescent="0.3">
      <c r="A135" s="6">
        <v>45510</v>
      </c>
      <c r="B135" s="7">
        <v>206</v>
      </c>
      <c r="C135" s="7">
        <v>2559</v>
      </c>
      <c r="D135" s="7">
        <v>485</v>
      </c>
      <c r="E135" s="7">
        <v>329</v>
      </c>
      <c r="F135" s="7">
        <v>63</v>
      </c>
      <c r="G135" s="7">
        <v>2765</v>
      </c>
      <c r="H135" s="7"/>
    </row>
    <row r="136" spans="1:8" ht="18.75" hidden="1" x14ac:dyDescent="0.3">
      <c r="A136" s="6">
        <v>45511</v>
      </c>
      <c r="B136" s="7">
        <v>162</v>
      </c>
      <c r="C136" s="7">
        <v>2483</v>
      </c>
      <c r="D136" s="7">
        <v>492</v>
      </c>
      <c r="E136" s="7">
        <v>377</v>
      </c>
      <c r="F136" s="7">
        <v>51</v>
      </c>
      <c r="G136" s="7">
        <v>2645</v>
      </c>
      <c r="H136" s="7"/>
    </row>
    <row r="137" spans="1:8" ht="18.75" hidden="1" x14ac:dyDescent="0.3">
      <c r="A137" s="6">
        <v>45512</v>
      </c>
      <c r="B137" s="7">
        <v>222</v>
      </c>
      <c r="C137" s="7">
        <v>2365</v>
      </c>
      <c r="D137" s="7">
        <v>452</v>
      </c>
      <c r="E137" s="7">
        <v>327</v>
      </c>
      <c r="F137" s="7">
        <v>72</v>
      </c>
      <c r="G137" s="7">
        <v>2587</v>
      </c>
      <c r="H137" s="7"/>
    </row>
    <row r="138" spans="1:8" ht="18.75" hidden="1" x14ac:dyDescent="0.3">
      <c r="A138" s="6">
        <v>45513</v>
      </c>
      <c r="B138" s="7">
        <v>267</v>
      </c>
      <c r="C138" s="7">
        <v>2313</v>
      </c>
      <c r="D138" s="7">
        <v>402</v>
      </c>
      <c r="E138" s="7">
        <v>395</v>
      </c>
      <c r="F138" s="7">
        <v>82</v>
      </c>
      <c r="G138" s="7">
        <v>2580</v>
      </c>
      <c r="H138" s="7"/>
    </row>
    <row r="139" spans="1:8" ht="18.75" hidden="1" x14ac:dyDescent="0.3">
      <c r="A139" s="6">
        <v>45516</v>
      </c>
      <c r="B139" s="7">
        <v>319</v>
      </c>
      <c r="C139" s="7">
        <v>2236</v>
      </c>
      <c r="D139" s="7">
        <v>412</v>
      </c>
      <c r="E139" s="7">
        <v>347</v>
      </c>
      <c r="F139" s="7">
        <v>59</v>
      </c>
      <c r="G139" s="7">
        <v>2555</v>
      </c>
      <c r="H139" s="7"/>
    </row>
    <row r="140" spans="1:8" ht="18.75" hidden="1" x14ac:dyDescent="0.3">
      <c r="A140" s="6">
        <v>45517</v>
      </c>
      <c r="B140" s="7">
        <v>322</v>
      </c>
      <c r="C140" s="7">
        <v>2172</v>
      </c>
      <c r="D140" s="7">
        <v>422</v>
      </c>
      <c r="E140" s="7">
        <v>334</v>
      </c>
      <c r="F140" s="7">
        <v>65</v>
      </c>
      <c r="G140" s="7">
        <v>2494</v>
      </c>
      <c r="H140" s="7"/>
    </row>
    <row r="141" spans="1:8" ht="18.75" hidden="1" x14ac:dyDescent="0.3">
      <c r="A141" s="6">
        <v>45518</v>
      </c>
      <c r="B141" s="7">
        <v>277</v>
      </c>
      <c r="C141" s="7">
        <v>2166</v>
      </c>
      <c r="D141" s="7">
        <v>404</v>
      </c>
      <c r="E141" s="7">
        <v>350</v>
      </c>
      <c r="F141" s="7">
        <v>83</v>
      </c>
      <c r="G141" s="7">
        <v>2443</v>
      </c>
      <c r="H141" s="7"/>
    </row>
    <row r="142" spans="1:8" ht="18.75" hidden="1" x14ac:dyDescent="0.3">
      <c r="A142" s="6">
        <v>45519</v>
      </c>
      <c r="B142" s="7">
        <v>321</v>
      </c>
      <c r="C142" s="7">
        <v>2097</v>
      </c>
      <c r="D142" s="7">
        <v>385</v>
      </c>
      <c r="E142" s="7">
        <v>337</v>
      </c>
      <c r="F142" s="7">
        <v>93</v>
      </c>
      <c r="G142" s="7">
        <v>2418</v>
      </c>
      <c r="H142" s="7"/>
    </row>
    <row r="143" spans="1:8" ht="18.75" hidden="1" x14ac:dyDescent="0.3">
      <c r="A143" s="6">
        <v>45520</v>
      </c>
      <c r="B143" s="7">
        <v>432</v>
      </c>
      <c r="C143" s="7">
        <v>2259</v>
      </c>
      <c r="D143" s="7">
        <v>312</v>
      </c>
      <c r="E143" s="7">
        <v>399</v>
      </c>
      <c r="F143" s="7">
        <v>89</v>
      </c>
      <c r="G143" s="7">
        <v>2691</v>
      </c>
      <c r="H143" s="7"/>
    </row>
    <row r="144" spans="1:8" ht="18.75" hidden="1" x14ac:dyDescent="0.3">
      <c r="A144" s="6">
        <v>45525</v>
      </c>
      <c r="B144" s="7">
        <v>348</v>
      </c>
      <c r="C144" s="7">
        <v>2325</v>
      </c>
      <c r="D144" s="7">
        <v>358</v>
      </c>
      <c r="E144" s="7">
        <v>343</v>
      </c>
      <c r="F144" s="7">
        <v>62</v>
      </c>
      <c r="G144" s="7">
        <v>2673</v>
      </c>
      <c r="H144" s="7"/>
    </row>
    <row r="145" spans="1:8" ht="18.75" hidden="1" x14ac:dyDescent="0.3">
      <c r="A145" s="6">
        <v>45526</v>
      </c>
      <c r="B145" s="7">
        <v>261</v>
      </c>
      <c r="C145" s="7">
        <v>2209</v>
      </c>
      <c r="D145" s="7">
        <v>408</v>
      </c>
      <c r="E145" s="7">
        <v>325</v>
      </c>
      <c r="F145" s="7">
        <v>49</v>
      </c>
      <c r="G145" s="7">
        <v>2470</v>
      </c>
      <c r="H145" s="7"/>
    </row>
    <row r="146" spans="1:8" ht="18.75" hidden="1" x14ac:dyDescent="0.3">
      <c r="A146" s="6">
        <v>45527</v>
      </c>
      <c r="B146" s="7">
        <v>409</v>
      </c>
      <c r="C146" s="7">
        <v>2208</v>
      </c>
      <c r="D146" s="7">
        <v>341</v>
      </c>
      <c r="E146" s="7">
        <v>353</v>
      </c>
      <c r="F146" s="7">
        <v>84</v>
      </c>
      <c r="G146" s="7">
        <v>2617</v>
      </c>
      <c r="H146" s="7"/>
    </row>
    <row r="147" spans="1:8" ht="18.75" hidden="1" x14ac:dyDescent="0.3">
      <c r="A147" s="6">
        <v>45530</v>
      </c>
      <c r="B147" s="7">
        <v>434</v>
      </c>
      <c r="C147" s="7">
        <v>2169</v>
      </c>
      <c r="D147" s="7">
        <v>414</v>
      </c>
      <c r="E147" s="7">
        <v>392</v>
      </c>
      <c r="F147" s="7">
        <v>53</v>
      </c>
      <c r="G147" s="7">
        <v>2603</v>
      </c>
      <c r="H147" s="7"/>
    </row>
    <row r="148" spans="1:8" ht="18.75" hidden="1" x14ac:dyDescent="0.3">
      <c r="A148" s="6">
        <v>45531</v>
      </c>
      <c r="B148" s="7">
        <v>288</v>
      </c>
      <c r="C148" s="7">
        <v>2191</v>
      </c>
      <c r="D148" s="7">
        <v>448</v>
      </c>
      <c r="E148" s="7">
        <v>331</v>
      </c>
      <c r="F148" s="7">
        <v>57</v>
      </c>
      <c r="G148" s="7">
        <v>2479</v>
      </c>
      <c r="H148" s="7"/>
    </row>
    <row r="149" spans="1:8" ht="18.75" hidden="1" x14ac:dyDescent="0.3">
      <c r="A149" s="6">
        <v>45532</v>
      </c>
      <c r="B149" s="7">
        <v>311</v>
      </c>
      <c r="C149" s="7">
        <v>2138</v>
      </c>
      <c r="D149" s="7">
        <v>420</v>
      </c>
      <c r="E149" s="7">
        <v>384</v>
      </c>
      <c r="F149" s="7">
        <v>47</v>
      </c>
      <c r="G149" s="7">
        <v>2449</v>
      </c>
      <c r="H149" s="7"/>
    </row>
    <row r="150" spans="1:8" ht="18.75" hidden="1" x14ac:dyDescent="0.3">
      <c r="A150" s="6">
        <v>45533</v>
      </c>
      <c r="B150" s="7">
        <v>177</v>
      </c>
      <c r="C150" s="7">
        <v>2163</v>
      </c>
      <c r="D150" s="7">
        <v>427</v>
      </c>
      <c r="E150" s="7">
        <v>336</v>
      </c>
      <c r="F150" s="7">
        <v>58</v>
      </c>
      <c r="G150" s="7">
        <v>2340</v>
      </c>
      <c r="H150" s="7"/>
    </row>
    <row r="151" spans="1:8" ht="18.75" hidden="1" x14ac:dyDescent="0.3">
      <c r="A151" s="6">
        <v>45534</v>
      </c>
      <c r="B151" s="7">
        <v>319</v>
      </c>
      <c r="C151" s="7">
        <v>2159</v>
      </c>
      <c r="D151" s="7">
        <v>357</v>
      </c>
      <c r="E151" s="7">
        <v>351</v>
      </c>
      <c r="F151" s="7">
        <v>92</v>
      </c>
      <c r="G151" s="7">
        <v>2478</v>
      </c>
      <c r="H151" s="7"/>
    </row>
    <row r="152" spans="1:8" ht="18.75" hidden="1" x14ac:dyDescent="0.3">
      <c r="A152" s="6">
        <v>45537</v>
      </c>
      <c r="B152" s="7">
        <v>216</v>
      </c>
      <c r="C152" s="7">
        <v>1976</v>
      </c>
      <c r="D152" s="7">
        <v>409</v>
      </c>
      <c r="E152" s="7">
        <v>307</v>
      </c>
      <c r="F152" s="7">
        <v>51</v>
      </c>
      <c r="G152" s="7">
        <v>2192</v>
      </c>
      <c r="H152" s="7"/>
    </row>
    <row r="153" spans="1:8" ht="18.75" hidden="1" x14ac:dyDescent="0.3">
      <c r="A153" s="6">
        <v>45538</v>
      </c>
      <c r="B153" s="7">
        <v>191</v>
      </c>
      <c r="C153" s="7">
        <v>2112</v>
      </c>
      <c r="D153" s="7">
        <v>423</v>
      </c>
      <c r="E153" s="7">
        <v>345</v>
      </c>
      <c r="F153" s="7">
        <v>70</v>
      </c>
      <c r="G153" s="7">
        <v>2303</v>
      </c>
      <c r="H153" s="7"/>
    </row>
    <row r="154" spans="1:8" ht="18.75" hidden="1" x14ac:dyDescent="0.3">
      <c r="A154" s="6">
        <v>45539</v>
      </c>
      <c r="B154" s="7">
        <v>239</v>
      </c>
      <c r="C154" s="7">
        <v>2010</v>
      </c>
      <c r="D154" s="7">
        <v>415</v>
      </c>
      <c r="E154" s="7">
        <v>392</v>
      </c>
      <c r="F154" s="7">
        <v>82</v>
      </c>
      <c r="G154" s="7">
        <v>2249</v>
      </c>
      <c r="H154" s="7"/>
    </row>
    <row r="155" spans="1:8" ht="18.75" hidden="1" x14ac:dyDescent="0.3">
      <c r="A155" s="6">
        <v>45540</v>
      </c>
      <c r="B155" s="7">
        <v>306</v>
      </c>
      <c r="C155" s="7">
        <v>1970</v>
      </c>
      <c r="D155" s="7">
        <v>410</v>
      </c>
      <c r="E155" s="7">
        <v>401</v>
      </c>
      <c r="F155" s="7">
        <v>75</v>
      </c>
      <c r="G155" s="7">
        <v>2276</v>
      </c>
      <c r="H155" s="7"/>
    </row>
    <row r="156" spans="1:8" ht="18.75" hidden="1" x14ac:dyDescent="0.3">
      <c r="A156" s="6">
        <v>45541</v>
      </c>
      <c r="B156" s="7">
        <v>367</v>
      </c>
      <c r="C156" s="7">
        <v>1978</v>
      </c>
      <c r="D156" s="7">
        <v>384</v>
      </c>
      <c r="E156" s="7">
        <v>361</v>
      </c>
      <c r="F156" s="7">
        <v>81</v>
      </c>
      <c r="G156" s="7">
        <v>2345</v>
      </c>
      <c r="H156" s="7"/>
    </row>
    <row r="157" spans="1:8" ht="18.75" hidden="1" x14ac:dyDescent="0.3">
      <c r="A157" s="6">
        <v>45544</v>
      </c>
      <c r="B157" s="7">
        <v>348</v>
      </c>
      <c r="C157" s="7">
        <v>1985</v>
      </c>
      <c r="D157" s="7">
        <v>361</v>
      </c>
      <c r="E157" s="7">
        <v>330</v>
      </c>
      <c r="F157" s="7">
        <v>54</v>
      </c>
      <c r="G157" s="7">
        <v>2333</v>
      </c>
      <c r="H157" s="7"/>
    </row>
    <row r="158" spans="1:8" ht="18.75" hidden="1" x14ac:dyDescent="0.3">
      <c r="A158" s="6">
        <v>45545</v>
      </c>
      <c r="B158" s="7">
        <v>298</v>
      </c>
      <c r="C158" s="7">
        <v>1967</v>
      </c>
      <c r="D158" s="7">
        <v>414</v>
      </c>
      <c r="E158" s="7">
        <v>297</v>
      </c>
      <c r="F158" s="7">
        <v>59</v>
      </c>
      <c r="G158" s="7">
        <v>2265</v>
      </c>
      <c r="H158" s="7"/>
    </row>
    <row r="159" spans="1:8" ht="18.75" hidden="1" x14ac:dyDescent="0.3">
      <c r="A159" s="6">
        <v>45546</v>
      </c>
      <c r="B159" s="7">
        <v>270</v>
      </c>
      <c r="C159" s="7">
        <v>1989</v>
      </c>
      <c r="D159" s="7">
        <v>315</v>
      </c>
      <c r="E159" s="7">
        <v>346</v>
      </c>
      <c r="F159" s="7">
        <v>63</v>
      </c>
      <c r="G159" s="7">
        <v>2259</v>
      </c>
      <c r="H159" s="7"/>
    </row>
    <row r="160" spans="1:8" ht="18.75" hidden="1" x14ac:dyDescent="0.3">
      <c r="A160" s="6">
        <v>45547</v>
      </c>
      <c r="B160" s="7">
        <v>232</v>
      </c>
      <c r="C160" s="7">
        <v>1974</v>
      </c>
      <c r="D160" s="7">
        <v>365</v>
      </c>
      <c r="E160" s="7">
        <v>298</v>
      </c>
      <c r="F160" s="7">
        <v>64</v>
      </c>
      <c r="G160" s="7">
        <v>2206</v>
      </c>
      <c r="H160" s="7"/>
    </row>
    <row r="161" spans="1:8" ht="18.75" hidden="1" x14ac:dyDescent="0.3">
      <c r="A161" s="6">
        <v>45548</v>
      </c>
      <c r="B161" s="7">
        <v>512</v>
      </c>
      <c r="C161" s="7">
        <v>1922</v>
      </c>
      <c r="D161" s="7">
        <v>348</v>
      </c>
      <c r="E161" s="7">
        <v>312</v>
      </c>
      <c r="F161" s="7">
        <v>65</v>
      </c>
      <c r="G161" s="7">
        <v>2434</v>
      </c>
      <c r="H161" s="7"/>
    </row>
    <row r="162" spans="1:8" ht="18.75" hidden="1" x14ac:dyDescent="0.3">
      <c r="A162" s="6">
        <v>45551</v>
      </c>
      <c r="B162" s="7">
        <v>370</v>
      </c>
      <c r="C162" s="7">
        <v>1936</v>
      </c>
      <c r="D162" s="7">
        <v>393</v>
      </c>
      <c r="E162" s="7">
        <v>320</v>
      </c>
      <c r="F162" s="7">
        <v>74</v>
      </c>
      <c r="G162" s="7">
        <v>2306</v>
      </c>
      <c r="H162" s="7"/>
    </row>
    <row r="163" spans="1:8" ht="18.75" hidden="1" x14ac:dyDescent="0.3">
      <c r="A163" s="6">
        <v>45552</v>
      </c>
      <c r="B163" s="7">
        <v>326</v>
      </c>
      <c r="C163" s="7">
        <v>1964</v>
      </c>
      <c r="D163" s="7">
        <v>344</v>
      </c>
      <c r="E163" s="7">
        <v>298</v>
      </c>
      <c r="F163" s="7">
        <v>55</v>
      </c>
      <c r="G163" s="7">
        <v>2290</v>
      </c>
      <c r="H163" s="7"/>
    </row>
    <row r="164" spans="1:8" ht="18.75" hidden="1" x14ac:dyDescent="0.3">
      <c r="A164" s="6">
        <v>45553</v>
      </c>
      <c r="B164" s="7">
        <v>318</v>
      </c>
      <c r="C164" s="7">
        <v>1960</v>
      </c>
      <c r="D164" s="7">
        <v>367</v>
      </c>
      <c r="E164" s="7">
        <v>275</v>
      </c>
      <c r="F164" s="7">
        <v>48</v>
      </c>
      <c r="G164" s="7">
        <v>2278</v>
      </c>
      <c r="H164" s="7"/>
    </row>
    <row r="165" spans="1:8" ht="18.75" hidden="1" x14ac:dyDescent="0.3">
      <c r="A165" s="6">
        <v>45554</v>
      </c>
      <c r="B165" s="7">
        <v>306</v>
      </c>
      <c r="C165" s="7">
        <v>2001</v>
      </c>
      <c r="D165" s="7">
        <v>339</v>
      </c>
      <c r="E165" s="7">
        <v>299</v>
      </c>
      <c r="F165" s="7">
        <v>54</v>
      </c>
      <c r="G165" s="7">
        <v>2307</v>
      </c>
      <c r="H165" s="7"/>
    </row>
    <row r="166" spans="1:8" ht="18.75" hidden="1" x14ac:dyDescent="0.3">
      <c r="A166" s="6">
        <v>45555</v>
      </c>
      <c r="B166" s="7">
        <v>378</v>
      </c>
      <c r="C166" s="7">
        <v>2113</v>
      </c>
      <c r="D166" s="7">
        <v>288</v>
      </c>
      <c r="E166" s="7">
        <v>335</v>
      </c>
      <c r="F166" s="7">
        <v>53</v>
      </c>
      <c r="G166" s="7">
        <v>2491</v>
      </c>
      <c r="H166" s="7"/>
    </row>
    <row r="167" spans="1:8" ht="18.75" hidden="1" x14ac:dyDescent="0.3">
      <c r="A167" s="6">
        <v>45558</v>
      </c>
      <c r="B167" s="7">
        <v>370</v>
      </c>
      <c r="C167" s="7">
        <v>2141</v>
      </c>
      <c r="D167" s="7">
        <v>360</v>
      </c>
      <c r="E167" s="7">
        <v>291</v>
      </c>
      <c r="F167" s="7">
        <v>54</v>
      </c>
      <c r="G167" s="7">
        <v>2511</v>
      </c>
      <c r="H167" s="7"/>
    </row>
    <row r="168" spans="1:8" ht="18.75" hidden="1" x14ac:dyDescent="0.3">
      <c r="A168" s="6">
        <v>45559</v>
      </c>
      <c r="B168" s="7">
        <v>329</v>
      </c>
      <c r="C168" s="7">
        <v>2172</v>
      </c>
      <c r="D168" s="7">
        <v>382</v>
      </c>
      <c r="E168" s="7">
        <v>253</v>
      </c>
      <c r="F168" s="7">
        <v>52</v>
      </c>
      <c r="G168" s="7">
        <v>2501</v>
      </c>
      <c r="H168" s="7"/>
    </row>
    <row r="169" spans="1:8" ht="18.75" hidden="1" x14ac:dyDescent="0.3">
      <c r="A169" s="6">
        <v>45560</v>
      </c>
      <c r="B169" s="7">
        <v>402</v>
      </c>
      <c r="C169" s="7">
        <v>2073</v>
      </c>
      <c r="D169" s="7">
        <v>387</v>
      </c>
      <c r="E169" s="7">
        <v>303</v>
      </c>
      <c r="F169" s="7">
        <v>65</v>
      </c>
      <c r="G169" s="7">
        <v>2475</v>
      </c>
      <c r="H169" s="7"/>
    </row>
    <row r="170" spans="1:8" ht="18.75" hidden="1" x14ac:dyDescent="0.3">
      <c r="A170" s="6">
        <v>45561</v>
      </c>
      <c r="B170" s="7">
        <v>329</v>
      </c>
      <c r="C170" s="7">
        <v>2223</v>
      </c>
      <c r="D170" s="7">
        <v>373</v>
      </c>
      <c r="E170" s="7">
        <v>292</v>
      </c>
      <c r="F170" s="7">
        <v>63</v>
      </c>
      <c r="G170" s="7">
        <v>2552</v>
      </c>
      <c r="H170" s="7"/>
    </row>
    <row r="171" spans="1:8" ht="18.75" hidden="1" x14ac:dyDescent="0.3">
      <c r="A171" s="6">
        <v>45562</v>
      </c>
      <c r="B171" s="7">
        <v>342</v>
      </c>
      <c r="C171" s="7">
        <v>2330</v>
      </c>
      <c r="D171" s="7">
        <v>356</v>
      </c>
      <c r="E171" s="7">
        <v>342</v>
      </c>
      <c r="F171" s="7">
        <v>61</v>
      </c>
      <c r="G171" s="7">
        <v>2672</v>
      </c>
      <c r="H171" s="7"/>
    </row>
    <row r="172" spans="1:8" ht="18.75" hidden="1" x14ac:dyDescent="0.3">
      <c r="A172" s="6">
        <v>45565</v>
      </c>
      <c r="B172" s="7">
        <v>345</v>
      </c>
      <c r="C172" s="7">
        <v>2295</v>
      </c>
      <c r="D172" s="7">
        <v>347</v>
      </c>
      <c r="E172" s="7">
        <v>296</v>
      </c>
      <c r="F172" s="7">
        <v>43</v>
      </c>
      <c r="G172" s="7">
        <v>2640</v>
      </c>
      <c r="H172" s="7"/>
    </row>
    <row r="173" spans="1:8" ht="18.75" hidden="1" x14ac:dyDescent="0.3">
      <c r="A173" s="6">
        <v>45566</v>
      </c>
      <c r="B173" s="7">
        <v>317</v>
      </c>
      <c r="C173" s="7">
        <v>2424</v>
      </c>
      <c r="D173" s="7">
        <v>341</v>
      </c>
      <c r="E173" s="7">
        <v>277</v>
      </c>
      <c r="F173" s="7">
        <v>64</v>
      </c>
      <c r="G173" s="7">
        <v>2741</v>
      </c>
      <c r="H173" s="7"/>
    </row>
    <row r="174" spans="1:8" ht="18.75" hidden="1" x14ac:dyDescent="0.3">
      <c r="A174" s="6">
        <v>45567</v>
      </c>
      <c r="B174" s="7">
        <v>208</v>
      </c>
      <c r="C174" s="7">
        <v>2531</v>
      </c>
      <c r="D174" s="7">
        <v>331</v>
      </c>
      <c r="E174" s="7">
        <v>295</v>
      </c>
      <c r="F174" s="7">
        <v>57</v>
      </c>
      <c r="G174" s="7">
        <v>2739</v>
      </c>
      <c r="H174" s="7"/>
    </row>
    <row r="175" spans="1:8" ht="18.75" hidden="1" x14ac:dyDescent="0.3">
      <c r="A175" s="6">
        <v>45568</v>
      </c>
      <c r="B175" s="7">
        <v>238</v>
      </c>
      <c r="C175" s="7">
        <v>2544</v>
      </c>
      <c r="D175" s="7">
        <v>345</v>
      </c>
      <c r="E175" s="7">
        <v>274</v>
      </c>
      <c r="F175" s="7">
        <v>62</v>
      </c>
      <c r="G175" s="7">
        <v>2782</v>
      </c>
      <c r="H175" s="7"/>
    </row>
    <row r="176" spans="1:8" ht="18.75" hidden="1" x14ac:dyDescent="0.3">
      <c r="A176" s="6">
        <v>45569</v>
      </c>
      <c r="B176" s="7">
        <v>228</v>
      </c>
      <c r="C176" s="7">
        <v>2563</v>
      </c>
      <c r="D176" s="7">
        <v>330</v>
      </c>
      <c r="E176" s="7">
        <v>277</v>
      </c>
      <c r="F176" s="9">
        <v>102</v>
      </c>
      <c r="G176" s="9">
        <v>2791</v>
      </c>
      <c r="H176" s="9"/>
    </row>
    <row r="177" spans="1:8" ht="18.75" hidden="1" x14ac:dyDescent="0.3">
      <c r="A177" s="6">
        <v>45572</v>
      </c>
      <c r="B177" s="7">
        <v>288</v>
      </c>
      <c r="C177" s="7">
        <v>2533</v>
      </c>
      <c r="D177" s="7">
        <v>417</v>
      </c>
      <c r="E177" s="7">
        <v>277</v>
      </c>
      <c r="F177" s="7">
        <v>66</v>
      </c>
      <c r="G177" s="7">
        <v>2821</v>
      </c>
      <c r="H177" s="7"/>
    </row>
    <row r="178" spans="1:8" ht="18.75" hidden="1" x14ac:dyDescent="0.3">
      <c r="A178" s="6">
        <v>45573</v>
      </c>
      <c r="B178" s="7">
        <v>344</v>
      </c>
      <c r="C178" s="7">
        <v>2540</v>
      </c>
      <c r="D178" s="7">
        <v>317</v>
      </c>
      <c r="E178" s="7">
        <v>292</v>
      </c>
      <c r="F178" s="7">
        <v>42</v>
      </c>
      <c r="G178" s="7">
        <v>2884</v>
      </c>
      <c r="H178" s="7"/>
    </row>
    <row r="179" spans="1:8" ht="18.75" hidden="1" x14ac:dyDescent="0.3">
      <c r="A179" s="6">
        <v>45574</v>
      </c>
      <c r="B179" s="7">
        <v>319</v>
      </c>
      <c r="C179" s="7">
        <v>2592</v>
      </c>
      <c r="D179" s="7">
        <v>332</v>
      </c>
      <c r="E179" s="7">
        <v>410</v>
      </c>
      <c r="F179" s="7">
        <v>61</v>
      </c>
      <c r="G179" s="7">
        <v>2911</v>
      </c>
      <c r="H179" s="7"/>
    </row>
    <row r="180" spans="1:8" ht="18.75" hidden="1" x14ac:dyDescent="0.3">
      <c r="A180" s="6">
        <v>45575</v>
      </c>
      <c r="B180" s="7">
        <v>271</v>
      </c>
      <c r="C180" s="7">
        <v>2639</v>
      </c>
      <c r="D180" s="7">
        <v>341</v>
      </c>
      <c r="E180" s="7">
        <v>271</v>
      </c>
      <c r="F180" s="7">
        <v>68</v>
      </c>
      <c r="G180" s="7">
        <v>2910</v>
      </c>
      <c r="H180" s="7"/>
    </row>
    <row r="181" spans="1:8" ht="18.75" hidden="1" x14ac:dyDescent="0.3">
      <c r="A181" s="6">
        <v>45576</v>
      </c>
      <c r="B181" s="7">
        <v>388</v>
      </c>
      <c r="C181" s="7">
        <v>2790</v>
      </c>
      <c r="D181" s="7">
        <v>352</v>
      </c>
      <c r="E181" s="7">
        <v>356</v>
      </c>
      <c r="F181" s="9">
        <v>91</v>
      </c>
      <c r="G181" s="9">
        <v>3178</v>
      </c>
      <c r="H181" s="9"/>
    </row>
    <row r="182" spans="1:8" ht="18.75" hidden="1" x14ac:dyDescent="0.3">
      <c r="A182" s="6">
        <v>45579</v>
      </c>
      <c r="B182" s="7">
        <v>713</v>
      </c>
      <c r="C182" s="7">
        <v>2916</v>
      </c>
      <c r="D182" s="7">
        <v>375</v>
      </c>
      <c r="E182" s="7">
        <v>522</v>
      </c>
      <c r="F182" s="7">
        <v>84</v>
      </c>
      <c r="G182" s="7">
        <v>3629</v>
      </c>
      <c r="H182" s="7"/>
    </row>
    <row r="183" spans="1:8" ht="18.75" hidden="1" x14ac:dyDescent="0.3">
      <c r="A183" s="6">
        <v>45580</v>
      </c>
      <c r="B183" s="7">
        <v>624</v>
      </c>
      <c r="C183" s="7">
        <v>3484</v>
      </c>
      <c r="D183" s="7">
        <v>394</v>
      </c>
      <c r="E183" s="7">
        <v>597</v>
      </c>
      <c r="F183" s="9">
        <v>103</v>
      </c>
      <c r="G183" s="9">
        <v>4108</v>
      </c>
      <c r="H183" s="9"/>
    </row>
    <row r="184" spans="1:8" ht="18.75" hidden="1" x14ac:dyDescent="0.3">
      <c r="A184" s="6">
        <v>45581</v>
      </c>
      <c r="B184" s="7">
        <v>1000</v>
      </c>
      <c r="C184" s="7">
        <v>3627</v>
      </c>
      <c r="D184" s="7">
        <v>488</v>
      </c>
      <c r="E184" s="7">
        <v>688</v>
      </c>
      <c r="F184" s="9">
        <v>256</v>
      </c>
      <c r="G184" s="9">
        <v>4627</v>
      </c>
      <c r="H184" s="9"/>
    </row>
    <row r="185" spans="1:8" ht="18.75" hidden="1" x14ac:dyDescent="0.3">
      <c r="A185" s="6">
        <v>45582</v>
      </c>
      <c r="B185" s="7">
        <v>1049</v>
      </c>
      <c r="C185" s="7">
        <v>4043</v>
      </c>
      <c r="D185" s="7">
        <v>497</v>
      </c>
      <c r="E185" s="7">
        <v>655</v>
      </c>
      <c r="F185" s="9">
        <v>234</v>
      </c>
      <c r="G185" s="9">
        <v>5092</v>
      </c>
      <c r="H185" s="9"/>
    </row>
    <row r="186" spans="1:8" ht="18.75" hidden="1" x14ac:dyDescent="0.3">
      <c r="A186" s="6">
        <v>45583</v>
      </c>
      <c r="B186" s="7">
        <v>967</v>
      </c>
      <c r="C186" s="7">
        <v>4509</v>
      </c>
      <c r="D186" s="7">
        <v>362</v>
      </c>
      <c r="E186" s="7">
        <v>676</v>
      </c>
      <c r="F186" s="7">
        <v>170</v>
      </c>
      <c r="G186" s="7">
        <v>5476</v>
      </c>
      <c r="H186" s="7"/>
    </row>
    <row r="187" spans="1:8" ht="18.75" hidden="1" x14ac:dyDescent="0.3">
      <c r="A187" s="6">
        <v>45586</v>
      </c>
      <c r="B187" s="7">
        <v>1380</v>
      </c>
      <c r="C187" s="7">
        <v>4662</v>
      </c>
      <c r="D187" s="7">
        <v>500</v>
      </c>
      <c r="E187" s="7">
        <v>757</v>
      </c>
      <c r="F187" s="7">
        <v>156</v>
      </c>
      <c r="G187" s="7">
        <v>6042</v>
      </c>
      <c r="H187" s="7"/>
    </row>
    <row r="188" spans="1:8" ht="18.75" hidden="1" x14ac:dyDescent="0.3">
      <c r="A188" s="6">
        <v>45587</v>
      </c>
      <c r="B188" s="7">
        <v>1334</v>
      </c>
      <c r="C188" s="7">
        <v>5299</v>
      </c>
      <c r="D188" s="7">
        <v>452</v>
      </c>
      <c r="E188" s="7">
        <v>696</v>
      </c>
      <c r="F188" s="7">
        <v>124</v>
      </c>
      <c r="G188" s="7">
        <v>6633</v>
      </c>
      <c r="H188" s="7"/>
    </row>
    <row r="189" spans="1:8" ht="18.75" hidden="1" x14ac:dyDescent="0.3">
      <c r="A189" s="13">
        <v>45588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/>
    </row>
    <row r="190" spans="1:8" ht="18.75" hidden="1" x14ac:dyDescent="0.3">
      <c r="A190" s="6">
        <v>45589</v>
      </c>
      <c r="B190" s="7">
        <v>1310</v>
      </c>
      <c r="C190" s="7">
        <v>5723</v>
      </c>
      <c r="D190" s="7">
        <v>391</v>
      </c>
      <c r="E190" s="7">
        <v>625</v>
      </c>
      <c r="F190" s="7">
        <v>150</v>
      </c>
      <c r="G190" s="7">
        <v>7033</v>
      </c>
      <c r="H190" s="7"/>
    </row>
    <row r="191" spans="1:8" ht="18.75" hidden="1" x14ac:dyDescent="0.3">
      <c r="A191" s="6">
        <v>45590</v>
      </c>
      <c r="B191" s="7">
        <v>1250</v>
      </c>
      <c r="C191" s="7">
        <v>5912</v>
      </c>
      <c r="D191" s="7">
        <v>421</v>
      </c>
      <c r="E191" s="7">
        <v>684</v>
      </c>
      <c r="F191" s="7">
        <v>164</v>
      </c>
      <c r="G191" s="7">
        <v>7162</v>
      </c>
      <c r="H191" s="7"/>
    </row>
    <row r="192" spans="1:8" ht="18.75" hidden="1" x14ac:dyDescent="0.3">
      <c r="A192" s="6">
        <v>45593</v>
      </c>
      <c r="B192" s="7">
        <v>1024</v>
      </c>
      <c r="C192" s="7">
        <v>6169</v>
      </c>
      <c r="D192" s="7">
        <v>663</v>
      </c>
      <c r="E192" s="7">
        <v>670</v>
      </c>
      <c r="F192" s="7">
        <v>188</v>
      </c>
      <c r="G192" s="7">
        <v>7193</v>
      </c>
      <c r="H192" s="7"/>
    </row>
    <row r="193" spans="1:8" ht="18.75" hidden="1" x14ac:dyDescent="0.3">
      <c r="A193" s="6">
        <v>45594</v>
      </c>
      <c r="B193" s="7">
        <v>1065</v>
      </c>
      <c r="C193" s="7">
        <v>6399</v>
      </c>
      <c r="D193" s="7">
        <v>680</v>
      </c>
      <c r="E193" s="7">
        <v>532</v>
      </c>
      <c r="F193" s="7">
        <v>123</v>
      </c>
      <c r="G193" s="7">
        <v>7464</v>
      </c>
      <c r="H193" s="7"/>
    </row>
    <row r="194" spans="1:8" ht="18.75" hidden="1" x14ac:dyDescent="0.3">
      <c r="A194" s="6">
        <v>45595</v>
      </c>
      <c r="B194" s="7">
        <v>1025</v>
      </c>
      <c r="C194" s="7">
        <v>6492</v>
      </c>
      <c r="D194" s="7">
        <v>600</v>
      </c>
      <c r="E194" s="7">
        <v>566</v>
      </c>
      <c r="F194" s="7">
        <v>121</v>
      </c>
      <c r="G194" s="7">
        <v>7517</v>
      </c>
      <c r="H194" s="7"/>
    </row>
    <row r="195" spans="1:8" ht="18.75" hidden="1" x14ac:dyDescent="0.3">
      <c r="A195" s="6">
        <v>45596</v>
      </c>
      <c r="B195" s="7">
        <v>805</v>
      </c>
      <c r="C195" s="7">
        <v>6404</v>
      </c>
      <c r="D195" s="7">
        <v>401</v>
      </c>
      <c r="E195" s="7">
        <v>461</v>
      </c>
      <c r="F195" s="7">
        <v>129</v>
      </c>
      <c r="G195" s="7">
        <v>7209</v>
      </c>
      <c r="H195" s="7"/>
    </row>
    <row r="196" spans="1:8" ht="18.75" hidden="1" x14ac:dyDescent="0.3">
      <c r="A196" s="13">
        <v>45597</v>
      </c>
      <c r="B196" s="14" t="s">
        <v>65</v>
      </c>
      <c r="C196" s="14" t="s">
        <v>65</v>
      </c>
      <c r="D196" s="14" t="s">
        <v>65</v>
      </c>
      <c r="E196" s="14" t="s">
        <v>65</v>
      </c>
      <c r="F196" s="14" t="s">
        <v>65</v>
      </c>
      <c r="G196" s="14" t="s">
        <v>65</v>
      </c>
      <c r="H196" s="14"/>
    </row>
    <row r="197" spans="1:8" ht="18.75" hidden="1" x14ac:dyDescent="0.3">
      <c r="A197" s="6">
        <v>45600</v>
      </c>
      <c r="B197" s="7">
        <v>973</v>
      </c>
      <c r="C197" s="7">
        <v>6328</v>
      </c>
      <c r="D197" s="7">
        <v>615</v>
      </c>
      <c r="E197" s="7">
        <v>424</v>
      </c>
      <c r="F197" s="7">
        <v>110</v>
      </c>
      <c r="G197" s="7">
        <v>7301</v>
      </c>
      <c r="H197" s="7"/>
    </row>
    <row r="198" spans="1:8" ht="18.75" hidden="1" x14ac:dyDescent="0.3">
      <c r="A198" s="6">
        <v>45601</v>
      </c>
      <c r="B198" s="7">
        <v>983</v>
      </c>
      <c r="C198" s="7">
        <v>6193</v>
      </c>
      <c r="D198" s="7">
        <v>741</v>
      </c>
      <c r="E198" s="7">
        <v>360</v>
      </c>
      <c r="F198" s="7">
        <v>89</v>
      </c>
      <c r="G198" s="7">
        <v>7176</v>
      </c>
      <c r="H198" s="7"/>
    </row>
    <row r="199" spans="1:8" ht="18.75" hidden="1" x14ac:dyDescent="0.3">
      <c r="A199" s="6">
        <v>45602</v>
      </c>
      <c r="B199" s="7">
        <v>1147</v>
      </c>
      <c r="C199" s="7">
        <v>5869</v>
      </c>
      <c r="D199" s="7">
        <v>719</v>
      </c>
      <c r="E199" s="7">
        <v>364</v>
      </c>
      <c r="F199" s="7">
        <v>79</v>
      </c>
      <c r="G199" s="7">
        <v>7016</v>
      </c>
      <c r="H199" s="7"/>
    </row>
    <row r="200" spans="1:8" ht="18.75" hidden="1" x14ac:dyDescent="0.3">
      <c r="A200" s="6">
        <v>45603</v>
      </c>
      <c r="B200" s="7">
        <v>1224</v>
      </c>
      <c r="C200" s="7">
        <v>5829</v>
      </c>
      <c r="D200" s="7">
        <v>666</v>
      </c>
      <c r="E200" s="7">
        <v>357</v>
      </c>
      <c r="F200" s="7">
        <v>90</v>
      </c>
      <c r="G200" s="7">
        <v>7053</v>
      </c>
      <c r="H200" s="7"/>
    </row>
    <row r="201" spans="1:8" ht="18.75" hidden="1" x14ac:dyDescent="0.3">
      <c r="A201" s="6">
        <v>45604</v>
      </c>
      <c r="B201" s="7">
        <v>1392</v>
      </c>
      <c r="C201" s="7">
        <v>5303</v>
      </c>
      <c r="D201" s="7">
        <v>646</v>
      </c>
      <c r="E201" s="7">
        <v>502</v>
      </c>
      <c r="F201" s="7">
        <v>162</v>
      </c>
      <c r="G201" s="7">
        <v>6695</v>
      </c>
      <c r="H201" s="7"/>
    </row>
    <row r="202" spans="1:8" ht="18.75" hidden="1" x14ac:dyDescent="0.3">
      <c r="A202" s="6">
        <v>45607</v>
      </c>
      <c r="B202" s="7">
        <v>1746</v>
      </c>
      <c r="C202" s="7">
        <v>5227</v>
      </c>
      <c r="D202" s="7">
        <v>666</v>
      </c>
      <c r="E202" s="7">
        <v>535</v>
      </c>
      <c r="F202" s="7">
        <v>129</v>
      </c>
      <c r="G202" s="7">
        <v>6973</v>
      </c>
      <c r="H202" s="7"/>
    </row>
    <row r="203" spans="1:8" ht="18.75" hidden="1" x14ac:dyDescent="0.3">
      <c r="A203" s="6">
        <v>45608</v>
      </c>
      <c r="B203" s="7">
        <v>1998</v>
      </c>
      <c r="C203" s="7">
        <v>5285</v>
      </c>
      <c r="D203" s="7">
        <v>697</v>
      </c>
      <c r="E203" s="7">
        <v>479</v>
      </c>
      <c r="F203" s="7">
        <v>155</v>
      </c>
      <c r="G203" s="7">
        <v>7283</v>
      </c>
      <c r="H203" s="7"/>
    </row>
    <row r="204" spans="1:8" ht="18.75" hidden="1" x14ac:dyDescent="0.3">
      <c r="A204" s="6">
        <v>45609</v>
      </c>
      <c r="B204" s="7">
        <v>1956</v>
      </c>
      <c r="C204" s="7">
        <v>5646</v>
      </c>
      <c r="D204" s="7">
        <v>570</v>
      </c>
      <c r="E204" s="7">
        <v>576</v>
      </c>
      <c r="F204" s="7">
        <v>142</v>
      </c>
      <c r="G204" s="7">
        <v>7602</v>
      </c>
      <c r="H204" s="7"/>
    </row>
    <row r="205" spans="1:8" ht="18.75" hidden="1" x14ac:dyDescent="0.3">
      <c r="A205" s="6">
        <v>45610</v>
      </c>
      <c r="B205" s="7">
        <v>2109</v>
      </c>
      <c r="C205" s="7">
        <v>5652</v>
      </c>
      <c r="D205" s="7">
        <v>653</v>
      </c>
      <c r="E205" s="7">
        <v>493</v>
      </c>
      <c r="F205" s="7">
        <v>100</v>
      </c>
      <c r="G205" s="7">
        <v>7761</v>
      </c>
      <c r="H205" s="7"/>
    </row>
    <row r="206" spans="1:8" ht="18.75" hidden="1" x14ac:dyDescent="0.3">
      <c r="A206" s="6">
        <v>45611</v>
      </c>
      <c r="B206" s="7">
        <v>2383</v>
      </c>
      <c r="C206" s="7">
        <v>5208</v>
      </c>
      <c r="D206" s="7">
        <v>549</v>
      </c>
      <c r="E206" s="7">
        <v>546</v>
      </c>
      <c r="F206" s="7">
        <v>150</v>
      </c>
      <c r="G206" s="7">
        <v>7591</v>
      </c>
      <c r="H206" s="7"/>
    </row>
    <row r="207" spans="1:8" ht="18.75" hidden="1" x14ac:dyDescent="0.3">
      <c r="A207" s="6">
        <v>45614</v>
      </c>
      <c r="B207" s="7">
        <v>2610</v>
      </c>
      <c r="C207" s="7">
        <v>5284</v>
      </c>
      <c r="D207" s="7">
        <v>594</v>
      </c>
      <c r="E207" s="7">
        <v>545</v>
      </c>
      <c r="F207" s="7">
        <v>120</v>
      </c>
      <c r="G207" s="7">
        <v>7894</v>
      </c>
      <c r="H207" s="7"/>
    </row>
    <row r="208" spans="1:8" ht="18.75" hidden="1" x14ac:dyDescent="0.3">
      <c r="A208" s="6">
        <v>45615</v>
      </c>
      <c r="B208" s="7">
        <v>2572</v>
      </c>
      <c r="C208" s="7">
        <v>5521</v>
      </c>
      <c r="D208" s="7">
        <v>620</v>
      </c>
      <c r="E208" s="7">
        <v>450</v>
      </c>
      <c r="F208" s="7">
        <v>140</v>
      </c>
      <c r="G208" s="7">
        <v>8093</v>
      </c>
      <c r="H208" s="7"/>
    </row>
    <row r="209" spans="1:8" ht="18.75" hidden="1" x14ac:dyDescent="0.3">
      <c r="A209" s="6">
        <v>45616</v>
      </c>
      <c r="B209" s="7">
        <v>2694</v>
      </c>
      <c r="C209" s="7">
        <v>5749</v>
      </c>
      <c r="D209" s="7">
        <v>612</v>
      </c>
      <c r="E209" s="7">
        <v>484</v>
      </c>
      <c r="F209" s="7">
        <v>130</v>
      </c>
      <c r="G209" s="7">
        <v>8443</v>
      </c>
      <c r="H209" s="7"/>
    </row>
    <row r="210" spans="1:8" ht="18.75" hidden="1" x14ac:dyDescent="0.3">
      <c r="A210" s="6">
        <v>45617</v>
      </c>
      <c r="B210" s="7">
        <v>2613</v>
      </c>
      <c r="C210" s="7">
        <v>6131</v>
      </c>
      <c r="D210" s="7">
        <v>604</v>
      </c>
      <c r="E210" s="7">
        <v>507</v>
      </c>
      <c r="F210" s="7">
        <v>114</v>
      </c>
      <c r="G210" s="7">
        <v>8744</v>
      </c>
      <c r="H210" s="7"/>
    </row>
    <row r="211" spans="1:8" ht="18.75" hidden="1" x14ac:dyDescent="0.3">
      <c r="A211" s="6">
        <v>45618</v>
      </c>
      <c r="B211" s="7">
        <v>2098</v>
      </c>
      <c r="C211" s="7">
        <v>6387</v>
      </c>
      <c r="D211" s="7">
        <v>711</v>
      </c>
      <c r="E211" s="7">
        <v>481</v>
      </c>
      <c r="F211" s="7">
        <v>147</v>
      </c>
      <c r="G211" s="7">
        <v>8485</v>
      </c>
      <c r="H211" s="7"/>
    </row>
    <row r="212" spans="1:8" ht="18.75" hidden="1" x14ac:dyDescent="0.3">
      <c r="A212" s="6">
        <v>45621</v>
      </c>
      <c r="B212" s="7">
        <v>2236</v>
      </c>
      <c r="C212" s="7">
        <v>6523</v>
      </c>
      <c r="D212" s="7">
        <v>558</v>
      </c>
      <c r="E212" s="7">
        <v>491</v>
      </c>
      <c r="F212" s="7">
        <v>97</v>
      </c>
      <c r="G212" s="7">
        <v>8759</v>
      </c>
      <c r="H212" s="7"/>
    </row>
    <row r="213" spans="1:8" ht="18.75" hidden="1" x14ac:dyDescent="0.3">
      <c r="A213" s="6">
        <v>45622</v>
      </c>
      <c r="B213" s="7">
        <v>2122</v>
      </c>
      <c r="C213" s="7">
        <v>7007</v>
      </c>
      <c r="D213" s="7">
        <v>664</v>
      </c>
      <c r="E213" s="7">
        <v>396</v>
      </c>
      <c r="F213" s="7">
        <v>97</v>
      </c>
      <c r="G213" s="7">
        <v>9129</v>
      </c>
      <c r="H213" s="7"/>
    </row>
    <row r="214" spans="1:8" ht="18.75" hidden="1" x14ac:dyDescent="0.3">
      <c r="A214" s="6">
        <v>45623</v>
      </c>
      <c r="B214" s="7">
        <v>1959</v>
      </c>
      <c r="C214" s="7">
        <v>7220</v>
      </c>
      <c r="D214" s="7">
        <v>581</v>
      </c>
      <c r="E214" s="7">
        <v>483</v>
      </c>
      <c r="F214" s="7">
        <v>89</v>
      </c>
      <c r="G214" s="7">
        <v>9179</v>
      </c>
      <c r="H214" s="7"/>
    </row>
    <row r="215" spans="1:8" ht="19.5" hidden="1" thickBot="1" x14ac:dyDescent="0.35">
      <c r="A215" s="11">
        <v>45624</v>
      </c>
      <c r="B215" s="12">
        <v>2014</v>
      </c>
      <c r="C215" s="12">
        <v>7147</v>
      </c>
      <c r="D215" s="12">
        <v>603</v>
      </c>
      <c r="E215" s="12">
        <v>385</v>
      </c>
      <c r="F215" s="12">
        <v>82</v>
      </c>
      <c r="G215" s="12">
        <v>9161</v>
      </c>
      <c r="H215" s="12"/>
    </row>
    <row r="216" spans="1:8" ht="19.5" hidden="1" thickBot="1" x14ac:dyDescent="0.35">
      <c r="A216" s="15">
        <v>45625</v>
      </c>
      <c r="B216" s="16">
        <v>1961</v>
      </c>
      <c r="C216" s="16">
        <v>7067</v>
      </c>
      <c r="D216" s="16">
        <v>479</v>
      </c>
      <c r="E216" s="16">
        <v>389</v>
      </c>
      <c r="F216" s="16">
        <v>113</v>
      </c>
      <c r="G216" s="16">
        <v>9028</v>
      </c>
      <c r="H216" s="16"/>
    </row>
    <row r="217" spans="1:8" ht="19.5" hidden="1" thickBot="1" x14ac:dyDescent="0.35">
      <c r="A217" s="17">
        <v>45628</v>
      </c>
      <c r="B217" s="7">
        <v>1752</v>
      </c>
      <c r="C217" s="7">
        <v>7203</v>
      </c>
      <c r="D217" s="7">
        <v>538</v>
      </c>
      <c r="E217" s="7">
        <v>438</v>
      </c>
      <c r="F217" s="7">
        <v>90</v>
      </c>
      <c r="G217" s="7">
        <v>8955</v>
      </c>
      <c r="H217" s="7"/>
    </row>
    <row r="218" spans="1:8" ht="19.5" hidden="1" thickBot="1" x14ac:dyDescent="0.35">
      <c r="A218" s="17">
        <v>45629</v>
      </c>
      <c r="B218" s="7">
        <v>1790</v>
      </c>
      <c r="C218" s="7">
        <v>7206</v>
      </c>
      <c r="D218" s="7">
        <v>542</v>
      </c>
      <c r="E218" s="7">
        <v>403</v>
      </c>
      <c r="F218" s="7">
        <v>59</v>
      </c>
      <c r="G218" s="7">
        <v>8996</v>
      </c>
      <c r="H218" s="7"/>
    </row>
    <row r="219" spans="1:8" ht="19.5" hidden="1" thickBot="1" x14ac:dyDescent="0.35">
      <c r="A219" s="17">
        <v>45630</v>
      </c>
      <c r="B219" s="7">
        <v>1575</v>
      </c>
      <c r="C219" s="7">
        <v>7491</v>
      </c>
      <c r="D219" s="7">
        <v>434</v>
      </c>
      <c r="E219" s="7">
        <v>381</v>
      </c>
      <c r="F219" s="7">
        <v>72</v>
      </c>
      <c r="G219" s="7">
        <v>9066</v>
      </c>
      <c r="H219" s="7"/>
    </row>
    <row r="220" spans="1:8" ht="19.5" hidden="1" thickBot="1" x14ac:dyDescent="0.35">
      <c r="A220" s="18">
        <v>45631</v>
      </c>
      <c r="B220" s="19">
        <v>1273</v>
      </c>
      <c r="C220" s="19">
        <v>7687</v>
      </c>
      <c r="D220" s="19">
        <v>530</v>
      </c>
      <c r="E220" s="19">
        <v>372</v>
      </c>
      <c r="F220" s="19">
        <v>54</v>
      </c>
      <c r="G220" s="19">
        <v>8960</v>
      </c>
      <c r="H220" s="19"/>
    </row>
    <row r="221" spans="1:8" ht="19.5" hidden="1" thickBot="1" x14ac:dyDescent="0.35">
      <c r="A221" s="20">
        <v>45632</v>
      </c>
      <c r="B221" s="16">
        <v>1124</v>
      </c>
      <c r="C221" s="16">
        <v>7758</v>
      </c>
      <c r="D221" s="16">
        <v>484</v>
      </c>
      <c r="E221" s="16">
        <v>337</v>
      </c>
      <c r="F221" s="16">
        <v>59</v>
      </c>
      <c r="G221" s="16">
        <v>8882</v>
      </c>
      <c r="H221" s="16"/>
    </row>
    <row r="222" spans="1:8" ht="19.5" hidden="1" thickBot="1" x14ac:dyDescent="0.35">
      <c r="A222" s="21">
        <v>45633</v>
      </c>
      <c r="B222" s="22">
        <v>740</v>
      </c>
      <c r="C222" s="22">
        <v>7880</v>
      </c>
      <c r="D222" s="22">
        <v>558</v>
      </c>
      <c r="E222" s="22">
        <v>78</v>
      </c>
      <c r="F222" s="22">
        <v>0</v>
      </c>
      <c r="G222" s="22">
        <v>8620</v>
      </c>
      <c r="H222" s="22"/>
    </row>
    <row r="223" spans="1:8" ht="19.5" hidden="1" thickBot="1" x14ac:dyDescent="0.35">
      <c r="A223" s="23">
        <v>45635</v>
      </c>
      <c r="B223" s="22">
        <v>1249</v>
      </c>
      <c r="C223" s="22">
        <v>7607</v>
      </c>
      <c r="D223" s="22">
        <v>356</v>
      </c>
      <c r="E223" s="22">
        <v>331</v>
      </c>
      <c r="F223" s="22">
        <v>19</v>
      </c>
      <c r="G223" s="22">
        <v>8856</v>
      </c>
      <c r="H223" s="22"/>
    </row>
    <row r="224" spans="1:8" ht="19.5" hidden="1" thickBot="1" x14ac:dyDescent="0.35">
      <c r="A224" s="23">
        <v>45636</v>
      </c>
      <c r="B224" s="22">
        <v>938</v>
      </c>
      <c r="C224" s="22">
        <v>7769</v>
      </c>
      <c r="D224" s="22">
        <v>459</v>
      </c>
      <c r="E224" s="22">
        <v>324</v>
      </c>
      <c r="F224" s="22">
        <v>48</v>
      </c>
      <c r="G224" s="22">
        <v>8707</v>
      </c>
      <c r="H224" s="22"/>
    </row>
    <row r="225" spans="1:8" ht="19.5" hidden="1" thickBot="1" x14ac:dyDescent="0.35">
      <c r="A225" s="23">
        <v>45637</v>
      </c>
      <c r="B225" s="22">
        <v>835</v>
      </c>
      <c r="C225" s="22">
        <v>7973</v>
      </c>
      <c r="D225" s="22">
        <v>551</v>
      </c>
      <c r="E225" s="22">
        <v>382</v>
      </c>
      <c r="F225" s="22">
        <v>54</v>
      </c>
      <c r="G225" s="22">
        <v>8808</v>
      </c>
      <c r="H225" s="22"/>
    </row>
    <row r="226" spans="1:8" ht="19.5" hidden="1" thickBot="1" x14ac:dyDescent="0.35">
      <c r="A226" s="24">
        <v>45638</v>
      </c>
      <c r="B226" s="25">
        <v>802</v>
      </c>
      <c r="C226" s="25">
        <v>7679</v>
      </c>
      <c r="D226" s="25">
        <v>701</v>
      </c>
      <c r="E226" s="25">
        <v>343</v>
      </c>
      <c r="F226" s="25">
        <v>59</v>
      </c>
      <c r="G226" s="25">
        <v>8481</v>
      </c>
      <c r="H226" s="25"/>
    </row>
    <row r="227" spans="1:8" ht="19.5" hidden="1" thickBot="1" x14ac:dyDescent="0.35">
      <c r="A227" s="26">
        <v>45639</v>
      </c>
      <c r="B227" s="16">
        <v>1027</v>
      </c>
      <c r="C227" s="16">
        <v>7366</v>
      </c>
      <c r="D227" s="16">
        <v>668</v>
      </c>
      <c r="E227" s="16">
        <v>335</v>
      </c>
      <c r="F227" s="16">
        <v>71</v>
      </c>
      <c r="G227" s="16">
        <v>8393</v>
      </c>
      <c r="H227" s="16">
        <v>343</v>
      </c>
    </row>
    <row r="228" spans="1:8" ht="19.5" hidden="1" thickBot="1" x14ac:dyDescent="0.35">
      <c r="A228" s="27">
        <v>45642</v>
      </c>
      <c r="B228" s="22">
        <v>1257</v>
      </c>
      <c r="C228" s="22">
        <v>7036</v>
      </c>
      <c r="D228" s="22">
        <v>653</v>
      </c>
      <c r="E228" s="22">
        <v>420</v>
      </c>
      <c r="F228" s="22">
        <v>90</v>
      </c>
      <c r="G228" s="22">
        <v>8293</v>
      </c>
      <c r="H228" s="22">
        <v>632</v>
      </c>
    </row>
    <row r="229" spans="1:8" ht="19.5" hidden="1" thickBot="1" x14ac:dyDescent="0.35">
      <c r="A229" s="27">
        <v>45643</v>
      </c>
      <c r="B229" s="22">
        <v>1207</v>
      </c>
      <c r="C229" s="22">
        <v>7001</v>
      </c>
      <c r="D229" s="22">
        <v>607</v>
      </c>
      <c r="E229" s="22">
        <v>444</v>
      </c>
      <c r="F229" s="22">
        <v>87</v>
      </c>
      <c r="G229" s="22">
        <v>8208</v>
      </c>
      <c r="H229" s="22">
        <v>528</v>
      </c>
    </row>
    <row r="230" spans="1:8" ht="19.5" hidden="1" thickBot="1" x14ac:dyDescent="0.35">
      <c r="A230" s="27">
        <v>45644</v>
      </c>
      <c r="B230" s="22">
        <v>1473</v>
      </c>
      <c r="C230" s="22">
        <v>7227</v>
      </c>
      <c r="D230" s="22">
        <v>302</v>
      </c>
      <c r="E230" s="22">
        <v>482</v>
      </c>
      <c r="F230" s="22">
        <v>74</v>
      </c>
      <c r="G230" s="22">
        <v>8700</v>
      </c>
      <c r="H230" s="22">
        <v>719</v>
      </c>
    </row>
    <row r="231" spans="1:8" ht="19.5" hidden="1" thickBot="1" x14ac:dyDescent="0.35">
      <c r="A231" s="28">
        <v>45645</v>
      </c>
      <c r="B231" s="29">
        <v>1794</v>
      </c>
      <c r="C231" s="29">
        <v>6916</v>
      </c>
      <c r="D231" s="29">
        <v>612</v>
      </c>
      <c r="E231" s="29">
        <v>512</v>
      </c>
      <c r="F231" s="29">
        <v>93</v>
      </c>
      <c r="G231" s="29">
        <v>8710</v>
      </c>
      <c r="H231" s="29">
        <v>516</v>
      </c>
    </row>
    <row r="232" spans="1:8" ht="18.75" hidden="1" x14ac:dyDescent="0.3">
      <c r="A232" s="30">
        <v>45646</v>
      </c>
      <c r="B232" s="7">
        <v>2365</v>
      </c>
      <c r="C232" s="7">
        <v>6305</v>
      </c>
      <c r="D232" s="7">
        <v>556</v>
      </c>
      <c r="E232" s="7">
        <v>552</v>
      </c>
      <c r="F232" s="7">
        <v>77</v>
      </c>
      <c r="G232" s="7">
        <v>8670</v>
      </c>
      <c r="H232" s="7">
        <v>514</v>
      </c>
    </row>
    <row r="233" spans="1:8" ht="18.75" hidden="1" x14ac:dyDescent="0.3">
      <c r="A233" s="31">
        <v>45649</v>
      </c>
      <c r="B233" s="7">
        <v>1875</v>
      </c>
      <c r="C233" s="7">
        <v>6728</v>
      </c>
      <c r="D233" s="7">
        <v>415</v>
      </c>
      <c r="E233" s="7">
        <v>497</v>
      </c>
      <c r="F233" s="7">
        <v>70</v>
      </c>
      <c r="G233" s="7">
        <v>8603</v>
      </c>
      <c r="H233" s="7">
        <v>329</v>
      </c>
    </row>
    <row r="234" spans="1:8" ht="18.75" hidden="1" x14ac:dyDescent="0.3">
      <c r="A234" s="6">
        <v>45656</v>
      </c>
      <c r="B234" s="7">
        <v>1729</v>
      </c>
      <c r="C234" s="7">
        <v>6646</v>
      </c>
      <c r="D234" s="7">
        <v>495</v>
      </c>
      <c r="E234" s="7">
        <v>583</v>
      </c>
      <c r="F234" s="7">
        <v>51</v>
      </c>
      <c r="G234" s="7">
        <v>8375</v>
      </c>
      <c r="H234" s="7">
        <v>393</v>
      </c>
    </row>
    <row r="235" spans="1:8" ht="18.75" hidden="1" x14ac:dyDescent="0.3">
      <c r="A235" s="6">
        <v>45657</v>
      </c>
      <c r="B235" s="7">
        <v>1740</v>
      </c>
      <c r="C235" s="7">
        <v>6490</v>
      </c>
      <c r="D235" s="7">
        <v>421</v>
      </c>
      <c r="E235" s="7">
        <v>204</v>
      </c>
      <c r="F235" s="7">
        <v>27</v>
      </c>
      <c r="G235" s="7">
        <v>8230</v>
      </c>
      <c r="H235" s="7">
        <v>159</v>
      </c>
    </row>
    <row r="236" spans="1:8" ht="18.75" x14ac:dyDescent="0.3">
      <c r="A236" s="6">
        <v>45659</v>
      </c>
      <c r="B236" s="7">
        <v>1798</v>
      </c>
      <c r="C236" s="7">
        <v>5977</v>
      </c>
      <c r="D236" s="7">
        <v>523</v>
      </c>
      <c r="E236" s="7">
        <v>537</v>
      </c>
      <c r="F236" s="7">
        <v>53</v>
      </c>
      <c r="G236" s="7">
        <v>7775</v>
      </c>
      <c r="H236" s="7">
        <v>408</v>
      </c>
    </row>
    <row r="237" spans="1:8" ht="18.75" x14ac:dyDescent="0.3">
      <c r="A237" s="6">
        <v>45660</v>
      </c>
      <c r="B237" s="7">
        <v>2049</v>
      </c>
      <c r="C237" s="7">
        <v>5921</v>
      </c>
      <c r="D237" s="7">
        <v>580</v>
      </c>
      <c r="E237" s="7">
        <v>541</v>
      </c>
      <c r="F237" s="7">
        <v>30</v>
      </c>
      <c r="G237" s="7">
        <v>7970</v>
      </c>
      <c r="H237" s="7">
        <v>413</v>
      </c>
    </row>
    <row r="238" spans="1:8" ht="18.75" x14ac:dyDescent="0.3">
      <c r="A238" s="6">
        <v>45663</v>
      </c>
      <c r="B238" s="7">
        <v>2175</v>
      </c>
      <c r="C238" s="7">
        <v>5530</v>
      </c>
      <c r="D238" s="7">
        <v>745</v>
      </c>
      <c r="E238" s="7">
        <v>727</v>
      </c>
      <c r="F238" s="7">
        <v>58</v>
      </c>
      <c r="G238" s="7">
        <v>7705</v>
      </c>
      <c r="H238" s="7">
        <v>737</v>
      </c>
    </row>
    <row r="239" spans="1:8" ht="18.75" x14ac:dyDescent="0.3">
      <c r="A239" s="6">
        <v>45664</v>
      </c>
      <c r="B239" s="7">
        <v>1763</v>
      </c>
      <c r="C239" s="7">
        <v>5629</v>
      </c>
      <c r="D239" s="7">
        <v>742</v>
      </c>
      <c r="E239" s="7">
        <v>693</v>
      </c>
      <c r="F239" s="7">
        <v>52</v>
      </c>
      <c r="G239" s="7">
        <v>7392</v>
      </c>
      <c r="H239" s="7">
        <v>545</v>
      </c>
    </row>
    <row r="240" spans="1:8" ht="18.75" x14ac:dyDescent="0.3">
      <c r="A240" s="6">
        <v>45665</v>
      </c>
      <c r="B240" s="7">
        <v>1680</v>
      </c>
      <c r="C240" s="7">
        <v>5478</v>
      </c>
      <c r="D240" s="7">
        <v>756</v>
      </c>
      <c r="E240" s="7">
        <v>647</v>
      </c>
      <c r="F240" s="7">
        <v>68</v>
      </c>
      <c r="G240" s="7">
        <v>7158</v>
      </c>
      <c r="H240" s="7">
        <v>559</v>
      </c>
    </row>
    <row r="241" spans="1:8" ht="18.75" x14ac:dyDescent="0.3">
      <c r="A241" s="6">
        <v>45666</v>
      </c>
      <c r="B241" s="7">
        <v>1144</v>
      </c>
      <c r="C241" s="7">
        <v>5739</v>
      </c>
      <c r="D241" s="7">
        <v>780</v>
      </c>
      <c r="E241" s="7">
        <v>571</v>
      </c>
      <c r="F241" s="7">
        <v>47</v>
      </c>
      <c r="G241" s="7">
        <v>6883</v>
      </c>
      <c r="H241" s="7">
        <v>455</v>
      </c>
    </row>
    <row r="242" spans="1:8" ht="18.75" x14ac:dyDescent="0.3">
      <c r="A242" s="6">
        <v>45667</v>
      </c>
      <c r="B242" s="7">
        <v>678</v>
      </c>
      <c r="C242" s="7">
        <v>6201</v>
      </c>
      <c r="D242" s="7">
        <v>653</v>
      </c>
      <c r="E242" s="7">
        <v>625</v>
      </c>
      <c r="F242" s="7">
        <v>49</v>
      </c>
      <c r="G242" s="7">
        <v>6879</v>
      </c>
      <c r="H242" s="7">
        <v>444</v>
      </c>
    </row>
    <row r="243" spans="1:8" ht="18.75" x14ac:dyDescent="0.3">
      <c r="A243" s="32">
        <v>45670</v>
      </c>
      <c r="B243" s="33">
        <v>596</v>
      </c>
      <c r="C243" s="33">
        <v>6327</v>
      </c>
      <c r="D243" s="33">
        <v>605</v>
      </c>
      <c r="E243" s="33">
        <v>666</v>
      </c>
      <c r="F243" s="33">
        <v>69</v>
      </c>
      <c r="G243" s="33">
        <v>6923</v>
      </c>
      <c r="H243" s="33">
        <v>732</v>
      </c>
    </row>
    <row r="244" spans="1:8" ht="18.75" x14ac:dyDescent="0.3">
      <c r="A244" s="32">
        <v>45671</v>
      </c>
      <c r="B244" s="33">
        <v>558</v>
      </c>
      <c r="C244" s="33">
        <v>6459</v>
      </c>
      <c r="D244" s="33">
        <v>560</v>
      </c>
      <c r="E244" s="33">
        <v>739</v>
      </c>
      <c r="F244" s="33">
        <v>55</v>
      </c>
      <c r="G244" s="33">
        <v>7017</v>
      </c>
      <c r="H244" s="33">
        <v>647</v>
      </c>
    </row>
    <row r="245" spans="1:8" ht="18.75" x14ac:dyDescent="0.3">
      <c r="A245" s="32">
        <v>45672</v>
      </c>
      <c r="B245" s="33">
        <v>949</v>
      </c>
      <c r="C245" s="33">
        <v>6410</v>
      </c>
      <c r="D245" s="33">
        <v>577</v>
      </c>
      <c r="E245" s="33">
        <v>693</v>
      </c>
      <c r="F245" s="33">
        <v>77</v>
      </c>
      <c r="G245" s="33">
        <v>7359</v>
      </c>
      <c r="H245" s="33">
        <v>693</v>
      </c>
    </row>
    <row r="246" spans="1:8" ht="18.75" x14ac:dyDescent="0.3">
      <c r="A246" s="32">
        <v>45673</v>
      </c>
      <c r="B246" s="33">
        <v>1135</v>
      </c>
      <c r="C246" s="33">
        <v>6365</v>
      </c>
      <c r="D246" s="33">
        <v>606</v>
      </c>
      <c r="E246" s="33">
        <v>696</v>
      </c>
      <c r="F246" s="33">
        <v>70</v>
      </c>
      <c r="G246" s="33">
        <v>7500</v>
      </c>
      <c r="H246" s="33">
        <v>784</v>
      </c>
    </row>
    <row r="247" spans="1:8" ht="18.75" x14ac:dyDescent="0.3">
      <c r="A247" s="32">
        <v>45674</v>
      </c>
      <c r="B247" s="33">
        <v>1077</v>
      </c>
      <c r="C247" s="33">
        <v>6976</v>
      </c>
      <c r="D247" s="33">
        <v>495</v>
      </c>
      <c r="E247" s="33">
        <v>751</v>
      </c>
      <c r="F247" s="33">
        <v>70</v>
      </c>
      <c r="G247" s="33">
        <v>8053</v>
      </c>
      <c r="H247" s="33">
        <v>831</v>
      </c>
    </row>
    <row r="248" spans="1:8" ht="18.75" x14ac:dyDescent="0.3">
      <c r="A248" s="6">
        <v>45677</v>
      </c>
      <c r="B248" s="7">
        <v>1244</v>
      </c>
      <c r="C248" s="7">
        <v>7076</v>
      </c>
      <c r="D248" s="7">
        <v>531</v>
      </c>
      <c r="E248" s="7">
        <v>804</v>
      </c>
      <c r="F248" s="7">
        <v>121</v>
      </c>
      <c r="G248" s="7">
        <v>8320</v>
      </c>
      <c r="H248" s="7">
        <v>828</v>
      </c>
    </row>
    <row r="249" spans="1:8" ht="18.75" x14ac:dyDescent="0.3">
      <c r="A249" s="6">
        <v>45678</v>
      </c>
      <c r="B249" s="7">
        <v>1332</v>
      </c>
      <c r="C249" s="7">
        <v>7250</v>
      </c>
      <c r="D249" s="7">
        <v>551</v>
      </c>
      <c r="E249" s="7">
        <v>693</v>
      </c>
      <c r="F249" s="7">
        <v>98</v>
      </c>
      <c r="G249" s="7">
        <v>8582</v>
      </c>
      <c r="H249" s="7">
        <v>685</v>
      </c>
    </row>
    <row r="250" spans="1:8" ht="18.75" x14ac:dyDescent="0.3">
      <c r="A250" s="6">
        <v>45679</v>
      </c>
      <c r="B250" s="7">
        <v>1190</v>
      </c>
      <c r="C250" s="7">
        <v>7617</v>
      </c>
      <c r="D250" s="7">
        <v>589</v>
      </c>
      <c r="E250" s="7">
        <v>802</v>
      </c>
      <c r="F250" s="7">
        <v>67</v>
      </c>
      <c r="G250" s="7">
        <v>8807</v>
      </c>
      <c r="H250" s="7">
        <v>584</v>
      </c>
    </row>
    <row r="251" spans="1:8" ht="18.75" x14ac:dyDescent="0.3">
      <c r="A251" s="6">
        <v>45680</v>
      </c>
      <c r="B251" s="7">
        <v>881</v>
      </c>
      <c r="C251" s="7">
        <v>7969</v>
      </c>
      <c r="D251" s="7">
        <v>597</v>
      </c>
      <c r="E251" s="7">
        <v>740</v>
      </c>
      <c r="F251" s="7">
        <v>87</v>
      </c>
      <c r="G251" s="7">
        <v>8850</v>
      </c>
      <c r="H251" s="7">
        <v>581</v>
      </c>
    </row>
    <row r="252" spans="1:8" ht="18.75" x14ac:dyDescent="0.3">
      <c r="A252" s="6">
        <v>45681</v>
      </c>
      <c r="B252" s="7">
        <v>830</v>
      </c>
      <c r="C252" s="7">
        <v>8105</v>
      </c>
      <c r="D252" s="7">
        <v>495</v>
      </c>
      <c r="E252" s="7">
        <v>878</v>
      </c>
      <c r="F252" s="7">
        <v>69</v>
      </c>
      <c r="G252" s="7">
        <v>8935</v>
      </c>
      <c r="H252" s="7">
        <v>507</v>
      </c>
    </row>
    <row r="253" spans="1:8" ht="18.75" x14ac:dyDescent="0.3">
      <c r="A253" s="32">
        <v>45684</v>
      </c>
      <c r="B253" s="33">
        <v>1003</v>
      </c>
      <c r="C253" s="33">
        <v>7908</v>
      </c>
      <c r="D253" s="33">
        <v>655</v>
      </c>
      <c r="E253" s="33">
        <v>1072</v>
      </c>
      <c r="F253" s="33">
        <v>84</v>
      </c>
      <c r="G253" s="33">
        <v>8911</v>
      </c>
      <c r="H253" s="33">
        <v>729</v>
      </c>
    </row>
    <row r="254" spans="1:8" ht="18.75" x14ac:dyDescent="0.3">
      <c r="A254" s="32">
        <v>45685</v>
      </c>
      <c r="B254" s="33">
        <v>1227</v>
      </c>
      <c r="C254" s="33">
        <v>7797</v>
      </c>
      <c r="D254" s="33">
        <v>734</v>
      </c>
      <c r="E254" s="33">
        <v>1084</v>
      </c>
      <c r="F254" s="33">
        <v>86</v>
      </c>
      <c r="G254" s="33">
        <v>9024</v>
      </c>
      <c r="H254" s="33">
        <v>652</v>
      </c>
    </row>
    <row r="255" spans="1:8" ht="18.75" x14ac:dyDescent="0.3">
      <c r="A255" s="32">
        <v>45686</v>
      </c>
      <c r="B255" s="33">
        <v>1134</v>
      </c>
      <c r="C255" s="33">
        <v>7741</v>
      </c>
      <c r="D255" s="33">
        <v>729</v>
      </c>
      <c r="E255" s="33">
        <v>1127</v>
      </c>
      <c r="F255" s="33">
        <v>62</v>
      </c>
      <c r="G255" s="33">
        <v>8875</v>
      </c>
      <c r="H255" s="33">
        <v>617</v>
      </c>
    </row>
    <row r="256" spans="1:8" ht="18.75" x14ac:dyDescent="0.3">
      <c r="A256" s="32">
        <v>45687</v>
      </c>
      <c r="B256" s="33">
        <v>1052</v>
      </c>
      <c r="C256" s="33">
        <v>7800</v>
      </c>
      <c r="D256" s="33">
        <v>730</v>
      </c>
      <c r="E256" s="33">
        <v>1191</v>
      </c>
      <c r="F256" s="33">
        <v>69</v>
      </c>
      <c r="G256" s="33">
        <v>8852</v>
      </c>
      <c r="H256" s="33">
        <v>661</v>
      </c>
    </row>
    <row r="257" spans="1:8" ht="18.75" x14ac:dyDescent="0.3">
      <c r="A257" s="32">
        <v>45688</v>
      </c>
      <c r="B257" s="33">
        <v>1413</v>
      </c>
      <c r="C257" s="33">
        <v>6998</v>
      </c>
      <c r="D257" s="33">
        <v>660</v>
      </c>
      <c r="E257" s="33">
        <v>1206</v>
      </c>
      <c r="F257" s="33">
        <v>147</v>
      </c>
      <c r="G257" s="33">
        <v>8411</v>
      </c>
      <c r="H257" s="33">
        <v>1004</v>
      </c>
    </row>
    <row r="258" spans="1:8" ht="18.75" x14ac:dyDescent="0.3">
      <c r="A258" s="6">
        <v>45691</v>
      </c>
      <c r="B258" s="7">
        <v>1826</v>
      </c>
      <c r="C258" s="7">
        <v>6712</v>
      </c>
      <c r="D258" s="7">
        <v>816</v>
      </c>
      <c r="E258" s="7">
        <v>922</v>
      </c>
      <c r="F258" s="7">
        <v>165</v>
      </c>
      <c r="G258" s="7">
        <v>8538</v>
      </c>
      <c r="H258" s="7">
        <v>971</v>
      </c>
    </row>
    <row r="259" spans="1:8" ht="18.75" x14ac:dyDescent="0.3">
      <c r="A259" s="6">
        <v>45692</v>
      </c>
      <c r="B259" s="7">
        <v>1878</v>
      </c>
      <c r="C259" s="7">
        <v>6659</v>
      </c>
      <c r="D259" s="7">
        <v>813</v>
      </c>
      <c r="E259" s="7">
        <v>742</v>
      </c>
      <c r="F259" s="7">
        <v>111</v>
      </c>
      <c r="G259" s="7">
        <v>8537</v>
      </c>
      <c r="H259" s="7">
        <v>879</v>
      </c>
    </row>
    <row r="260" spans="1:8" ht="18.75" x14ac:dyDescent="0.3">
      <c r="A260" s="6">
        <v>45693</v>
      </c>
      <c r="B260" s="7">
        <v>1947</v>
      </c>
      <c r="C260" s="7">
        <v>6524</v>
      </c>
      <c r="D260" s="7">
        <v>766</v>
      </c>
      <c r="E260" s="7">
        <v>736</v>
      </c>
      <c r="F260" s="7">
        <v>104</v>
      </c>
      <c r="G260" s="7">
        <v>8471</v>
      </c>
      <c r="H260" s="7">
        <v>767</v>
      </c>
    </row>
    <row r="261" spans="1:8" ht="18.75" x14ac:dyDescent="0.3">
      <c r="A261" s="6">
        <v>45694</v>
      </c>
      <c r="B261" s="7">
        <v>1891</v>
      </c>
      <c r="C261" s="7">
        <v>6550</v>
      </c>
      <c r="D261" s="7">
        <v>720</v>
      </c>
      <c r="E261" s="7">
        <v>584</v>
      </c>
      <c r="F261" s="7">
        <v>106</v>
      </c>
      <c r="G261" s="7">
        <v>8441</v>
      </c>
      <c r="H261" s="7">
        <v>659</v>
      </c>
    </row>
    <row r="262" spans="1:8" ht="18.75" x14ac:dyDescent="0.3">
      <c r="A262" s="6">
        <v>45695</v>
      </c>
      <c r="B262" s="7">
        <v>1706</v>
      </c>
      <c r="C262" s="7">
        <v>6037</v>
      </c>
      <c r="D262" s="7">
        <v>739</v>
      </c>
      <c r="E262" s="7">
        <v>646</v>
      </c>
      <c r="F262" s="7">
        <v>109</v>
      </c>
      <c r="G262" s="7">
        <v>7743</v>
      </c>
      <c r="H262" s="7">
        <v>632</v>
      </c>
    </row>
    <row r="263" spans="1:8" ht="18.75" x14ac:dyDescent="0.3">
      <c r="A263" s="32">
        <v>45698</v>
      </c>
      <c r="B263" s="33">
        <v>1883</v>
      </c>
      <c r="C263" s="33">
        <v>5768</v>
      </c>
      <c r="D263" s="33">
        <v>751</v>
      </c>
      <c r="E263" s="33">
        <v>580</v>
      </c>
      <c r="F263" s="33">
        <v>116</v>
      </c>
      <c r="G263" s="33">
        <v>7651</v>
      </c>
      <c r="H263" s="33">
        <v>814</v>
      </c>
    </row>
    <row r="264" spans="1:8" ht="18.75" x14ac:dyDescent="0.3">
      <c r="A264" s="32">
        <v>45699</v>
      </c>
      <c r="B264" s="33">
        <v>1759</v>
      </c>
      <c r="C264" s="33">
        <v>5873</v>
      </c>
      <c r="D264" s="33">
        <v>592</v>
      </c>
      <c r="E264" s="33">
        <v>518</v>
      </c>
      <c r="F264" s="33">
        <v>104</v>
      </c>
      <c r="G264" s="33">
        <v>7632</v>
      </c>
      <c r="H264" s="33">
        <v>625</v>
      </c>
    </row>
    <row r="265" spans="1:8" ht="18.75" x14ac:dyDescent="0.3">
      <c r="A265" s="32">
        <v>45700</v>
      </c>
      <c r="B265" s="33">
        <v>1237</v>
      </c>
      <c r="C265" s="33">
        <v>6248</v>
      </c>
      <c r="D265" s="33">
        <v>660</v>
      </c>
      <c r="E265" s="33">
        <v>534</v>
      </c>
      <c r="F265" s="33">
        <v>103</v>
      </c>
      <c r="G265" s="33">
        <v>7485</v>
      </c>
      <c r="H265" s="33">
        <v>531</v>
      </c>
    </row>
    <row r="266" spans="1:8" ht="18.75" x14ac:dyDescent="0.3">
      <c r="A266" s="32">
        <v>45701</v>
      </c>
      <c r="B266" s="33">
        <v>960</v>
      </c>
      <c r="C266" s="33">
        <v>6272</v>
      </c>
      <c r="D266" s="33">
        <v>697</v>
      </c>
      <c r="E266" s="33">
        <v>411</v>
      </c>
      <c r="F266" s="33">
        <v>86</v>
      </c>
      <c r="G266" s="33">
        <v>7232</v>
      </c>
      <c r="H266" s="33">
        <v>466</v>
      </c>
    </row>
    <row r="267" spans="1:8" ht="18.75" x14ac:dyDescent="0.3">
      <c r="A267" s="32">
        <v>45702</v>
      </c>
      <c r="B267" s="33">
        <v>662</v>
      </c>
      <c r="C267" s="33">
        <v>5667</v>
      </c>
      <c r="D267" s="33">
        <v>613</v>
      </c>
      <c r="E267" s="33">
        <v>454</v>
      </c>
      <c r="F267" s="33">
        <v>69</v>
      </c>
      <c r="G267" s="33">
        <v>6329</v>
      </c>
      <c r="H267" s="33">
        <v>458</v>
      </c>
    </row>
    <row r="268" spans="1:8" ht="18.75" x14ac:dyDescent="0.3">
      <c r="A268" s="34">
        <v>45705</v>
      </c>
      <c r="B268" s="7">
        <v>860</v>
      </c>
      <c r="C268" s="7">
        <v>5292</v>
      </c>
      <c r="D268" s="7">
        <v>741</v>
      </c>
      <c r="E268" s="7">
        <v>421</v>
      </c>
      <c r="F268" s="7">
        <v>81</v>
      </c>
      <c r="G268" s="7">
        <v>6152</v>
      </c>
      <c r="H268" s="7">
        <v>546</v>
      </c>
    </row>
    <row r="269" spans="1:8" ht="18.75" x14ac:dyDescent="0.3">
      <c r="A269" s="34">
        <v>45706</v>
      </c>
      <c r="B269" s="7">
        <v>1117</v>
      </c>
      <c r="C269" s="7">
        <v>5052</v>
      </c>
      <c r="D269" s="7">
        <v>706</v>
      </c>
      <c r="E269" s="7">
        <v>461</v>
      </c>
      <c r="F269" s="7">
        <v>90</v>
      </c>
      <c r="G269" s="7">
        <v>6169</v>
      </c>
      <c r="H269" s="7">
        <v>634</v>
      </c>
    </row>
    <row r="270" spans="1:8" ht="18.75" x14ac:dyDescent="0.3">
      <c r="A270" s="6">
        <v>45707</v>
      </c>
      <c r="B270" s="7">
        <v>1392</v>
      </c>
      <c r="C270" s="7">
        <v>4796</v>
      </c>
      <c r="D270" s="7">
        <v>739</v>
      </c>
      <c r="E270" s="7">
        <v>611</v>
      </c>
      <c r="F270" s="7">
        <v>140</v>
      </c>
      <c r="G270" s="7">
        <v>6188</v>
      </c>
      <c r="H270" s="7">
        <v>681</v>
      </c>
    </row>
    <row r="271" spans="1:8" ht="18.75" x14ac:dyDescent="0.3">
      <c r="A271" s="6">
        <v>45708</v>
      </c>
      <c r="B271" s="7">
        <v>1713</v>
      </c>
      <c r="C271" s="7">
        <v>4587</v>
      </c>
      <c r="D271" s="7">
        <v>777</v>
      </c>
      <c r="E271" s="7">
        <v>578</v>
      </c>
      <c r="F271" s="7">
        <v>148</v>
      </c>
      <c r="G271" s="7">
        <v>6300</v>
      </c>
      <c r="H271" s="7">
        <v>583</v>
      </c>
    </row>
    <row r="272" spans="1:8" ht="18.75" x14ac:dyDescent="0.3">
      <c r="A272" s="6">
        <v>45709</v>
      </c>
      <c r="B272" s="7">
        <v>1460</v>
      </c>
      <c r="C272" s="7">
        <v>4347</v>
      </c>
      <c r="D272" s="7">
        <v>661</v>
      </c>
      <c r="E272" s="7">
        <v>696</v>
      </c>
      <c r="F272" s="7">
        <v>153</v>
      </c>
      <c r="G272" s="7">
        <v>5807</v>
      </c>
      <c r="H272" s="7">
        <v>757</v>
      </c>
    </row>
    <row r="273" spans="1:8" ht="18.75" x14ac:dyDescent="0.3">
      <c r="A273" s="32">
        <v>45712</v>
      </c>
      <c r="B273" s="33">
        <v>2238</v>
      </c>
      <c r="C273" s="33">
        <v>3883</v>
      </c>
      <c r="D273" s="33">
        <v>828</v>
      </c>
      <c r="E273" s="33">
        <v>703</v>
      </c>
      <c r="F273" s="33">
        <v>172</v>
      </c>
      <c r="G273" s="33">
        <v>6121</v>
      </c>
      <c r="H273" s="33">
        <v>820</v>
      </c>
    </row>
    <row r="274" spans="1:8" ht="18.75" x14ac:dyDescent="0.3">
      <c r="A274" s="32">
        <v>45713</v>
      </c>
      <c r="B274" s="33">
        <v>2311</v>
      </c>
      <c r="C274" s="33">
        <v>3922</v>
      </c>
      <c r="D274" s="33">
        <v>714</v>
      </c>
      <c r="E274" s="33">
        <v>679</v>
      </c>
      <c r="F274" s="33">
        <v>139</v>
      </c>
      <c r="G274" s="33">
        <v>6233</v>
      </c>
      <c r="H274" s="33">
        <v>601</v>
      </c>
    </row>
    <row r="275" spans="1:8" ht="18.75" x14ac:dyDescent="0.3">
      <c r="A275" s="32">
        <v>45714</v>
      </c>
      <c r="B275" s="33">
        <v>2100</v>
      </c>
      <c r="C275" s="33">
        <v>4106</v>
      </c>
      <c r="D275" s="33">
        <v>730</v>
      </c>
      <c r="E275" s="33">
        <v>611</v>
      </c>
      <c r="F275" s="33">
        <v>138</v>
      </c>
      <c r="G275" s="33">
        <v>6202</v>
      </c>
      <c r="H275" s="33">
        <v>557</v>
      </c>
    </row>
    <row r="276" spans="1:8" ht="18.75" x14ac:dyDescent="0.3">
      <c r="A276" s="32">
        <v>45715</v>
      </c>
      <c r="B276" s="33">
        <v>1950</v>
      </c>
      <c r="C276" s="33">
        <v>4036</v>
      </c>
      <c r="D276" s="33">
        <v>782</v>
      </c>
      <c r="E276" s="33">
        <v>537</v>
      </c>
      <c r="F276" s="33">
        <v>145</v>
      </c>
      <c r="G276" s="33">
        <v>5986</v>
      </c>
      <c r="H276" s="33">
        <v>514</v>
      </c>
    </row>
    <row r="277" spans="1:8" ht="18.75" x14ac:dyDescent="0.3">
      <c r="A277" s="32">
        <v>45716</v>
      </c>
      <c r="B277" s="33">
        <v>1958</v>
      </c>
      <c r="C277" s="33">
        <v>4167</v>
      </c>
      <c r="D277" s="33">
        <v>681</v>
      </c>
      <c r="E277" s="33">
        <v>528</v>
      </c>
      <c r="F277" s="33">
        <v>135</v>
      </c>
      <c r="G277" s="33">
        <v>6125</v>
      </c>
      <c r="H277" s="33">
        <v>476</v>
      </c>
    </row>
    <row r="278" spans="1:8" ht="18.75" x14ac:dyDescent="0.3">
      <c r="A278" s="34">
        <v>45719</v>
      </c>
      <c r="B278" s="7">
        <v>1635</v>
      </c>
      <c r="C278" s="7">
        <v>4212</v>
      </c>
      <c r="D278" s="7">
        <v>793</v>
      </c>
      <c r="E278" s="7">
        <v>505</v>
      </c>
      <c r="F278" s="7">
        <v>105</v>
      </c>
      <c r="G278" s="7">
        <v>5847</v>
      </c>
      <c r="H278" s="7">
        <v>549</v>
      </c>
    </row>
    <row r="279" spans="1:8" ht="18.75" x14ac:dyDescent="0.3">
      <c r="A279" s="34">
        <v>45720</v>
      </c>
      <c r="B279" s="7">
        <v>889</v>
      </c>
      <c r="C279" s="7">
        <v>4699</v>
      </c>
      <c r="D279" s="7">
        <v>824</v>
      </c>
      <c r="E279" s="7">
        <v>435</v>
      </c>
      <c r="F279" s="7">
        <v>113</v>
      </c>
      <c r="G279" s="7">
        <v>5588</v>
      </c>
      <c r="H279" s="7">
        <v>490</v>
      </c>
    </row>
    <row r="280" spans="1:8" ht="18.75" x14ac:dyDescent="0.3">
      <c r="A280" s="34">
        <v>45721</v>
      </c>
      <c r="B280" s="7">
        <v>521</v>
      </c>
      <c r="C280" s="7">
        <v>4754</v>
      </c>
      <c r="D280" s="7">
        <v>814</v>
      </c>
      <c r="E280" s="7">
        <v>450</v>
      </c>
      <c r="F280" s="7">
        <v>89</v>
      </c>
      <c r="G280" s="7">
        <v>5275</v>
      </c>
      <c r="H280" s="7">
        <v>465</v>
      </c>
    </row>
    <row r="281" spans="1:8" ht="18.75" x14ac:dyDescent="0.3">
      <c r="A281" s="34">
        <v>45722</v>
      </c>
      <c r="B281" s="7">
        <v>381</v>
      </c>
      <c r="C281" s="7">
        <v>4619</v>
      </c>
      <c r="D281" s="7">
        <v>835</v>
      </c>
      <c r="E281" s="7">
        <v>414</v>
      </c>
      <c r="F281" s="7">
        <v>113</v>
      </c>
      <c r="G281" s="7">
        <v>5000</v>
      </c>
      <c r="H281" s="7">
        <v>456</v>
      </c>
    </row>
    <row r="282" spans="1:8" ht="18.75" x14ac:dyDescent="0.3">
      <c r="A282" s="34">
        <v>45723</v>
      </c>
      <c r="B282" s="7">
        <v>271</v>
      </c>
      <c r="C282" s="7">
        <v>3710</v>
      </c>
      <c r="D282" s="7">
        <v>623</v>
      </c>
      <c r="E282" s="7">
        <v>437</v>
      </c>
      <c r="F282" s="7">
        <v>132</v>
      </c>
      <c r="G282" s="7">
        <v>3981</v>
      </c>
      <c r="H282" s="7">
        <v>403</v>
      </c>
    </row>
    <row r="283" spans="1:8" ht="18.75" x14ac:dyDescent="0.3">
      <c r="A283" s="32">
        <v>45726</v>
      </c>
      <c r="B283" s="33">
        <v>432</v>
      </c>
      <c r="C283" s="33">
        <v>3248</v>
      </c>
      <c r="D283" s="33">
        <v>710</v>
      </c>
      <c r="E283" s="33">
        <v>384</v>
      </c>
      <c r="F283" s="33">
        <v>114</v>
      </c>
      <c r="G283" s="33">
        <v>3680</v>
      </c>
      <c r="H283" s="33">
        <v>447</v>
      </c>
    </row>
    <row r="284" spans="1:8" ht="18.75" x14ac:dyDescent="0.3">
      <c r="A284" s="32">
        <v>45727</v>
      </c>
      <c r="B284" s="33">
        <v>463</v>
      </c>
      <c r="C284" s="33">
        <v>3097</v>
      </c>
      <c r="D284" s="33">
        <v>775</v>
      </c>
      <c r="E284" s="33">
        <v>375</v>
      </c>
      <c r="F284" s="33">
        <v>115</v>
      </c>
      <c r="G284" s="33">
        <v>3560</v>
      </c>
      <c r="H284" s="33">
        <v>383</v>
      </c>
    </row>
    <row r="285" spans="1:8" ht="18.75" x14ac:dyDescent="0.3">
      <c r="A285" s="32">
        <v>45728</v>
      </c>
      <c r="B285" s="33">
        <v>504</v>
      </c>
      <c r="C285" s="33">
        <v>2714</v>
      </c>
      <c r="D285" s="33">
        <v>763</v>
      </c>
      <c r="E285" s="33">
        <v>394</v>
      </c>
      <c r="F285" s="33">
        <v>97</v>
      </c>
      <c r="G285" s="33">
        <v>3218</v>
      </c>
      <c r="H285" s="33">
        <v>389</v>
      </c>
    </row>
    <row r="286" spans="1:8" ht="18.75" x14ac:dyDescent="0.3">
      <c r="A286" s="32">
        <v>45729</v>
      </c>
      <c r="B286" s="33">
        <v>417</v>
      </c>
      <c r="C286" s="33">
        <v>2479</v>
      </c>
      <c r="D286" s="33">
        <v>757</v>
      </c>
      <c r="E286" s="33">
        <v>377</v>
      </c>
      <c r="F286" s="33">
        <v>95</v>
      </c>
      <c r="G286" s="33">
        <v>2896</v>
      </c>
      <c r="H286" s="33">
        <v>403</v>
      </c>
    </row>
    <row r="287" spans="1:8" ht="18.75" x14ac:dyDescent="0.3">
      <c r="A287" s="32">
        <v>45730</v>
      </c>
      <c r="B287" s="33">
        <v>532</v>
      </c>
      <c r="C287" s="33">
        <v>2571</v>
      </c>
      <c r="D287" s="33">
        <v>460</v>
      </c>
      <c r="E287" s="33">
        <v>438</v>
      </c>
      <c r="F287" s="33">
        <v>133</v>
      </c>
      <c r="G287" s="33">
        <v>3103</v>
      </c>
      <c r="H287" s="33">
        <v>385</v>
      </c>
    </row>
    <row r="288" spans="1:8" ht="18.75" x14ac:dyDescent="0.3">
      <c r="A288" s="34">
        <v>45733</v>
      </c>
      <c r="B288" s="7">
        <v>719</v>
      </c>
      <c r="C288" s="7">
        <v>2315</v>
      </c>
      <c r="D288" s="7">
        <v>590</v>
      </c>
      <c r="E288" s="7">
        <v>477</v>
      </c>
      <c r="F288" s="7">
        <v>152</v>
      </c>
      <c r="G288" s="7">
        <v>3034</v>
      </c>
      <c r="H288" s="7">
        <v>797</v>
      </c>
    </row>
    <row r="289" spans="1:8" ht="18.75" x14ac:dyDescent="0.3">
      <c r="A289" s="34">
        <v>45734</v>
      </c>
      <c r="B289" s="7">
        <v>922</v>
      </c>
      <c r="C289" s="7">
        <v>2394</v>
      </c>
      <c r="D289" s="7">
        <v>624</v>
      </c>
      <c r="E289" s="7">
        <v>515</v>
      </c>
      <c r="F289" s="7">
        <v>208</v>
      </c>
      <c r="G289" s="7">
        <v>3316</v>
      </c>
      <c r="H289" s="7">
        <v>663</v>
      </c>
    </row>
    <row r="290" spans="1:8" ht="18.75" x14ac:dyDescent="0.3">
      <c r="A290" s="34">
        <v>45735</v>
      </c>
      <c r="B290" s="7">
        <v>1373</v>
      </c>
      <c r="C290" s="7">
        <v>2507</v>
      </c>
      <c r="D290" s="7">
        <v>305</v>
      </c>
      <c r="E290" s="7">
        <v>637</v>
      </c>
      <c r="F290" s="7">
        <v>178</v>
      </c>
      <c r="G290" s="7">
        <v>3880</v>
      </c>
      <c r="H290" s="7">
        <v>710</v>
      </c>
    </row>
    <row r="291" spans="1:8" ht="18.75" x14ac:dyDescent="0.3">
      <c r="A291" s="34">
        <v>45736</v>
      </c>
      <c r="B291" s="7">
        <v>1126</v>
      </c>
      <c r="C291" s="7">
        <v>2858</v>
      </c>
      <c r="D291" s="7">
        <v>637</v>
      </c>
      <c r="E291" s="7">
        <v>619</v>
      </c>
      <c r="F291" s="7">
        <v>165</v>
      </c>
      <c r="G291" s="7">
        <v>3984</v>
      </c>
      <c r="H291" s="7">
        <v>665</v>
      </c>
    </row>
    <row r="292" spans="1:8" ht="18.75" x14ac:dyDescent="0.3">
      <c r="A292" s="34">
        <v>45737</v>
      </c>
      <c r="B292" s="7">
        <v>786</v>
      </c>
      <c r="C292" s="7">
        <v>3759</v>
      </c>
      <c r="D292" s="7">
        <v>397</v>
      </c>
      <c r="E292" s="7">
        <v>611</v>
      </c>
      <c r="F292" s="7">
        <v>197</v>
      </c>
      <c r="G292" s="7">
        <v>4545</v>
      </c>
      <c r="H292" s="7">
        <v>594</v>
      </c>
    </row>
    <row r="293" spans="1:8" ht="18.75" x14ac:dyDescent="0.3">
      <c r="A293" s="35">
        <v>45740</v>
      </c>
      <c r="B293" s="33">
        <v>1077</v>
      </c>
      <c r="C293" s="33">
        <v>3585</v>
      </c>
      <c r="D293" s="33">
        <v>684</v>
      </c>
      <c r="E293" s="33">
        <v>637</v>
      </c>
      <c r="F293" s="33">
        <v>189</v>
      </c>
      <c r="G293" s="33">
        <v>4662</v>
      </c>
      <c r="H293" s="33">
        <v>697</v>
      </c>
    </row>
    <row r="294" spans="1:8" ht="18.75" x14ac:dyDescent="0.3">
      <c r="A294" s="35">
        <v>45741</v>
      </c>
      <c r="B294" s="33">
        <v>1002</v>
      </c>
      <c r="C294" s="33">
        <v>3935</v>
      </c>
      <c r="D294" s="33">
        <v>537</v>
      </c>
      <c r="E294" s="33">
        <v>549</v>
      </c>
      <c r="F294" s="33">
        <v>179</v>
      </c>
      <c r="G294" s="33">
        <v>4937</v>
      </c>
      <c r="H294" s="33">
        <v>608</v>
      </c>
    </row>
    <row r="295" spans="1:8" ht="18.75" x14ac:dyDescent="0.3">
      <c r="A295" s="35">
        <v>45742</v>
      </c>
      <c r="B295" s="33">
        <v>1036</v>
      </c>
      <c r="C295" s="33">
        <v>3976</v>
      </c>
      <c r="D295" s="33">
        <v>635</v>
      </c>
      <c r="E295" s="33">
        <v>623</v>
      </c>
      <c r="F295" s="33">
        <v>157</v>
      </c>
      <c r="G295" s="33">
        <v>5012</v>
      </c>
      <c r="H295" s="33">
        <v>732</v>
      </c>
    </row>
    <row r="296" spans="1:8" ht="18.75" x14ac:dyDescent="0.3">
      <c r="A296" s="35">
        <v>45743</v>
      </c>
      <c r="B296" s="33">
        <v>1123</v>
      </c>
      <c r="C296" s="33">
        <v>4000</v>
      </c>
      <c r="D296" s="33">
        <v>624</v>
      </c>
      <c r="E296" s="33">
        <v>547</v>
      </c>
      <c r="F296" s="33">
        <v>174</v>
      </c>
      <c r="G296" s="33">
        <v>5123</v>
      </c>
      <c r="H296" s="33">
        <v>588</v>
      </c>
    </row>
    <row r="297" spans="1:8" ht="18.75" x14ac:dyDescent="0.3">
      <c r="A297" s="35">
        <v>45744</v>
      </c>
      <c r="B297" s="33">
        <v>987</v>
      </c>
      <c r="C297" s="33">
        <v>4390</v>
      </c>
      <c r="D297" s="33">
        <v>530</v>
      </c>
      <c r="E297" s="33">
        <v>556</v>
      </c>
      <c r="F297" s="33">
        <v>208</v>
      </c>
      <c r="G297" s="33">
        <v>5377</v>
      </c>
      <c r="H297" s="33">
        <v>499</v>
      </c>
    </row>
    <row r="298" spans="1:8" ht="18.75" x14ac:dyDescent="0.3">
      <c r="A298" s="34">
        <v>45747</v>
      </c>
      <c r="B298" s="7">
        <v>807</v>
      </c>
      <c r="C298" s="7">
        <v>4494</v>
      </c>
      <c r="D298" s="7">
        <v>666</v>
      </c>
      <c r="E298" s="7">
        <v>537</v>
      </c>
      <c r="F298" s="7">
        <v>150</v>
      </c>
      <c r="G298" s="7">
        <v>5301</v>
      </c>
      <c r="H298" s="7">
        <v>500</v>
      </c>
    </row>
    <row r="299" spans="1:8" ht="18.75" x14ac:dyDescent="0.3">
      <c r="A299" s="34">
        <v>45748</v>
      </c>
      <c r="B299" s="7">
        <v>653</v>
      </c>
      <c r="C299" s="7">
        <v>4715</v>
      </c>
      <c r="D299" s="7">
        <v>593</v>
      </c>
      <c r="E299" s="7">
        <v>455</v>
      </c>
      <c r="F299" s="7">
        <v>128</v>
      </c>
      <c r="G299" s="7">
        <v>5368</v>
      </c>
      <c r="H299" s="7">
        <v>500</v>
      </c>
    </row>
    <row r="300" spans="1:8" ht="18.75" x14ac:dyDescent="0.3">
      <c r="A300" s="34">
        <v>45749</v>
      </c>
      <c r="B300" s="7">
        <v>442</v>
      </c>
      <c r="C300" s="7">
        <v>4633</v>
      </c>
      <c r="D300" s="7">
        <v>737</v>
      </c>
      <c r="E300" s="7">
        <v>483</v>
      </c>
      <c r="F300" s="7">
        <v>119</v>
      </c>
      <c r="G300" s="7">
        <v>5075</v>
      </c>
      <c r="H300" s="7">
        <v>477</v>
      </c>
    </row>
    <row r="301" spans="1:8" ht="18.75" x14ac:dyDescent="0.3">
      <c r="A301" s="34">
        <v>45750</v>
      </c>
      <c r="B301" s="7">
        <v>494</v>
      </c>
      <c r="C301" s="7">
        <v>4121</v>
      </c>
      <c r="D301" s="7">
        <v>874</v>
      </c>
      <c r="E301" s="7">
        <v>478</v>
      </c>
      <c r="F301" s="7">
        <v>145</v>
      </c>
      <c r="G301" s="7">
        <v>4615</v>
      </c>
      <c r="H301" s="7">
        <v>500</v>
      </c>
    </row>
    <row r="302" spans="1:8" ht="18.75" x14ac:dyDescent="0.3">
      <c r="A302" s="34">
        <v>45751</v>
      </c>
      <c r="B302" s="7">
        <v>592</v>
      </c>
      <c r="C302" s="7">
        <v>3929</v>
      </c>
      <c r="D302" s="7">
        <v>819</v>
      </c>
      <c r="E302" s="7">
        <v>541</v>
      </c>
      <c r="F302" s="7">
        <v>157</v>
      </c>
      <c r="G302" s="7">
        <v>4521</v>
      </c>
      <c r="H302" s="7">
        <v>450</v>
      </c>
    </row>
    <row r="303" spans="1:8" ht="18.75" x14ac:dyDescent="0.3">
      <c r="A303" s="35">
        <v>45754</v>
      </c>
      <c r="B303" s="33">
        <v>932</v>
      </c>
      <c r="C303" s="33">
        <v>3498</v>
      </c>
      <c r="D303" s="33">
        <v>928</v>
      </c>
      <c r="E303" s="33">
        <v>538</v>
      </c>
      <c r="F303" s="33">
        <v>188</v>
      </c>
      <c r="G303" s="33">
        <v>4430</v>
      </c>
      <c r="H303" s="33">
        <v>680</v>
      </c>
    </row>
    <row r="304" spans="1:8" ht="18.75" x14ac:dyDescent="0.3">
      <c r="A304" s="35">
        <v>45755</v>
      </c>
      <c r="B304" s="33">
        <v>1048</v>
      </c>
      <c r="C304" s="33">
        <v>1741</v>
      </c>
      <c r="D304" s="33">
        <v>883</v>
      </c>
      <c r="E304" s="33">
        <v>526</v>
      </c>
      <c r="F304" s="33">
        <v>120</v>
      </c>
      <c r="G304" s="33">
        <v>4164</v>
      </c>
      <c r="H304" s="33">
        <v>570</v>
      </c>
    </row>
    <row r="305" spans="1:8" ht="18.75" x14ac:dyDescent="0.3">
      <c r="A305" s="35">
        <v>45756</v>
      </c>
      <c r="B305" s="33">
        <v>1008</v>
      </c>
      <c r="C305" s="33">
        <v>3063</v>
      </c>
      <c r="D305" s="33">
        <v>725</v>
      </c>
      <c r="E305" s="33">
        <v>590</v>
      </c>
      <c r="F305" s="33">
        <v>165</v>
      </c>
      <c r="G305" s="33">
        <v>4071</v>
      </c>
      <c r="H305" s="33">
        <v>565</v>
      </c>
    </row>
    <row r="306" spans="1:8" ht="18.75" x14ac:dyDescent="0.3">
      <c r="A306" s="35">
        <v>45757</v>
      </c>
      <c r="B306" s="33">
        <v>978</v>
      </c>
      <c r="C306" s="33">
        <v>3082</v>
      </c>
      <c r="D306" s="33">
        <v>764</v>
      </c>
      <c r="E306" s="33">
        <v>561</v>
      </c>
      <c r="F306" s="33">
        <v>173</v>
      </c>
      <c r="G306" s="33">
        <v>4060</v>
      </c>
      <c r="H306" s="33">
        <v>677</v>
      </c>
    </row>
    <row r="307" spans="1:8" ht="18.75" x14ac:dyDescent="0.3">
      <c r="A307" s="35">
        <v>45758</v>
      </c>
      <c r="B307" s="33">
        <v>1054</v>
      </c>
      <c r="C307" s="33">
        <v>3320</v>
      </c>
      <c r="D307" s="33">
        <v>665</v>
      </c>
      <c r="E307" s="33">
        <v>639</v>
      </c>
      <c r="F307" s="33">
        <v>191</v>
      </c>
      <c r="G307" s="33">
        <v>4374</v>
      </c>
      <c r="H307" s="33">
        <v>616</v>
      </c>
    </row>
    <row r="308" spans="1:8" ht="18.75" x14ac:dyDescent="0.3">
      <c r="A308" s="34">
        <v>45761</v>
      </c>
      <c r="B308" s="7">
        <v>1511</v>
      </c>
      <c r="C308" s="7">
        <v>2866</v>
      </c>
      <c r="D308" s="7">
        <v>796</v>
      </c>
      <c r="E308" s="7">
        <v>574</v>
      </c>
      <c r="F308" s="7">
        <v>176</v>
      </c>
      <c r="G308" s="7">
        <v>4377</v>
      </c>
      <c r="H308" s="7">
        <v>724</v>
      </c>
    </row>
    <row r="309" spans="1:8" ht="18.75" x14ac:dyDescent="0.3">
      <c r="A309" s="34">
        <v>45762</v>
      </c>
      <c r="B309" s="7">
        <v>1240</v>
      </c>
      <c r="C309" s="7">
        <v>3063</v>
      </c>
      <c r="D309" s="7">
        <v>685</v>
      </c>
      <c r="E309" s="7">
        <v>570</v>
      </c>
      <c r="F309" s="7">
        <v>170</v>
      </c>
      <c r="G309" s="7">
        <v>4303</v>
      </c>
      <c r="H309" s="7">
        <v>572</v>
      </c>
    </row>
    <row r="310" spans="1:8" ht="18.75" x14ac:dyDescent="0.3">
      <c r="A310" s="34">
        <v>45763</v>
      </c>
      <c r="B310" s="7">
        <v>1039</v>
      </c>
      <c r="C310" s="7">
        <v>3225</v>
      </c>
      <c r="D310" s="7">
        <v>735</v>
      </c>
      <c r="E310" s="7">
        <v>569</v>
      </c>
      <c r="F310" s="7">
        <v>152</v>
      </c>
      <c r="G310" s="7">
        <v>4264</v>
      </c>
      <c r="H310" s="7">
        <v>538</v>
      </c>
    </row>
    <row r="311" spans="1:8" ht="18.75" x14ac:dyDescent="0.3">
      <c r="A311" s="34">
        <v>45764</v>
      </c>
      <c r="B311" s="7">
        <v>656</v>
      </c>
      <c r="C311" s="7">
        <v>3838</v>
      </c>
      <c r="D311" s="7">
        <v>620</v>
      </c>
      <c r="E311" s="7">
        <v>562</v>
      </c>
      <c r="F311" s="7">
        <v>187</v>
      </c>
      <c r="G311" s="7">
        <v>4494</v>
      </c>
      <c r="H311" s="7">
        <v>473</v>
      </c>
    </row>
    <row r="312" spans="1:8" ht="18.75" x14ac:dyDescent="0.3">
      <c r="A312" s="32">
        <v>45769</v>
      </c>
      <c r="B312" s="33">
        <v>613</v>
      </c>
      <c r="C312" s="33">
        <v>3743</v>
      </c>
      <c r="D312" s="33">
        <v>662</v>
      </c>
      <c r="E312" s="33">
        <v>474</v>
      </c>
      <c r="F312" s="33">
        <v>129</v>
      </c>
      <c r="G312" s="33">
        <v>4356</v>
      </c>
      <c r="H312" s="33">
        <v>553</v>
      </c>
    </row>
    <row r="313" spans="1:8" ht="18.75" x14ac:dyDescent="0.3">
      <c r="A313" s="32">
        <v>45770</v>
      </c>
      <c r="B313" s="33">
        <v>532</v>
      </c>
      <c r="C313" s="33">
        <v>3651</v>
      </c>
      <c r="D313" s="33">
        <v>657</v>
      </c>
      <c r="E313" s="33">
        <v>480</v>
      </c>
      <c r="F313" s="33">
        <v>135</v>
      </c>
      <c r="G313" s="33">
        <v>4183</v>
      </c>
      <c r="H313" s="33">
        <v>452</v>
      </c>
    </row>
    <row r="314" spans="1:8" ht="18.75" x14ac:dyDescent="0.3">
      <c r="A314" s="32">
        <v>45771</v>
      </c>
      <c r="B314" s="33">
        <v>420</v>
      </c>
      <c r="C314" s="33">
        <v>3393</v>
      </c>
      <c r="D314" s="33">
        <v>816</v>
      </c>
      <c r="E314" s="33">
        <v>414</v>
      </c>
      <c r="F314" s="33">
        <v>126</v>
      </c>
      <c r="G314" s="33">
        <v>3813</v>
      </c>
      <c r="H314" s="33">
        <v>445</v>
      </c>
    </row>
    <row r="315" spans="1:8" ht="18.75" x14ac:dyDescent="0.3">
      <c r="A315" s="32">
        <v>45772</v>
      </c>
      <c r="B315" s="33">
        <v>361</v>
      </c>
      <c r="C315" s="33">
        <v>3386</v>
      </c>
      <c r="D315" s="33">
        <v>643</v>
      </c>
      <c r="E315" s="33">
        <v>487</v>
      </c>
      <c r="F315" s="33">
        <v>142</v>
      </c>
      <c r="G315" s="33">
        <v>3747</v>
      </c>
      <c r="H315" s="33">
        <v>393</v>
      </c>
    </row>
    <row r="316" spans="1:8" ht="18.75" x14ac:dyDescent="0.3">
      <c r="A316" s="34">
        <v>45775</v>
      </c>
      <c r="B316" s="7">
        <v>288</v>
      </c>
      <c r="C316" s="7">
        <v>3167</v>
      </c>
      <c r="D316" s="7">
        <v>744</v>
      </c>
      <c r="E316" s="7">
        <v>436</v>
      </c>
      <c r="F316" s="7">
        <v>145</v>
      </c>
      <c r="G316" s="7">
        <v>3455</v>
      </c>
      <c r="H316" s="7">
        <v>507</v>
      </c>
    </row>
    <row r="317" spans="1:8" ht="18.75" x14ac:dyDescent="0.3">
      <c r="A317" s="34">
        <v>45776</v>
      </c>
      <c r="B317" s="7">
        <v>478</v>
      </c>
      <c r="C317" s="7">
        <v>2999</v>
      </c>
      <c r="D317" s="7">
        <v>741</v>
      </c>
      <c r="E317" s="7">
        <v>393</v>
      </c>
      <c r="F317" s="7">
        <v>156</v>
      </c>
      <c r="G317" s="7">
        <v>3477</v>
      </c>
      <c r="H317" s="7">
        <v>586</v>
      </c>
    </row>
    <row r="318" spans="1:8" ht="18.75" x14ac:dyDescent="0.3">
      <c r="A318" s="34">
        <v>45777</v>
      </c>
      <c r="B318" s="7">
        <v>678</v>
      </c>
      <c r="C318" s="7">
        <v>3186</v>
      </c>
      <c r="D318" s="7">
        <v>580</v>
      </c>
      <c r="E318" s="7">
        <v>593</v>
      </c>
      <c r="F318" s="7">
        <v>203</v>
      </c>
      <c r="G318" s="7">
        <v>3864</v>
      </c>
      <c r="H318" s="7">
        <v>595</v>
      </c>
    </row>
    <row r="319" spans="1:8" ht="18.75" x14ac:dyDescent="0.3">
      <c r="A319" s="32">
        <v>45782</v>
      </c>
      <c r="B319" s="33">
        <v>905</v>
      </c>
      <c r="C319" s="33">
        <v>3004</v>
      </c>
      <c r="D319" s="33">
        <v>678</v>
      </c>
      <c r="E319" s="33">
        <v>526</v>
      </c>
      <c r="F319" s="33">
        <v>157</v>
      </c>
      <c r="G319" s="33">
        <v>3909</v>
      </c>
      <c r="H319" s="33">
        <v>706</v>
      </c>
    </row>
    <row r="320" spans="1:8" ht="18.75" x14ac:dyDescent="0.3">
      <c r="A320" s="32">
        <v>45783</v>
      </c>
      <c r="B320" s="33">
        <v>1158</v>
      </c>
      <c r="C320" s="33">
        <v>2812</v>
      </c>
      <c r="D320" s="33">
        <v>756</v>
      </c>
      <c r="E320" s="33">
        <v>536</v>
      </c>
      <c r="F320" s="33">
        <v>161</v>
      </c>
      <c r="G320" s="33">
        <v>3970</v>
      </c>
      <c r="H320" s="33">
        <v>695</v>
      </c>
    </row>
    <row r="321" spans="1:8" ht="18.75" x14ac:dyDescent="0.3">
      <c r="A321" s="32">
        <v>45784</v>
      </c>
      <c r="B321" s="33">
        <v>1224</v>
      </c>
      <c r="C321" s="33">
        <v>2847</v>
      </c>
      <c r="D321" s="33">
        <v>642</v>
      </c>
      <c r="E321" s="33">
        <v>608</v>
      </c>
      <c r="F321" s="33">
        <v>162</v>
      </c>
      <c r="G321" s="33">
        <v>4071</v>
      </c>
      <c r="H321" s="33">
        <v>626</v>
      </c>
    </row>
    <row r="322" spans="1:8" ht="18.75" x14ac:dyDescent="0.3">
      <c r="A322" s="32">
        <v>45785</v>
      </c>
      <c r="B322" s="33">
        <v>995</v>
      </c>
      <c r="C322" s="33">
        <v>2913</v>
      </c>
      <c r="D322" s="33">
        <v>726</v>
      </c>
      <c r="E322" s="33">
        <v>490</v>
      </c>
      <c r="F322" s="33">
        <v>135</v>
      </c>
      <c r="G322" s="33">
        <v>3908</v>
      </c>
      <c r="H322" s="33">
        <v>552</v>
      </c>
    </row>
    <row r="323" spans="1:8" ht="18.75" x14ac:dyDescent="0.3">
      <c r="A323" s="32">
        <v>45786</v>
      </c>
      <c r="B323" s="33">
        <v>878</v>
      </c>
      <c r="C323" s="33">
        <v>3195</v>
      </c>
      <c r="D323" s="33">
        <v>680</v>
      </c>
      <c r="E323" s="33">
        <v>510</v>
      </c>
      <c r="F323" s="33">
        <v>140</v>
      </c>
      <c r="G323" s="33">
        <v>4073</v>
      </c>
      <c r="H323" s="33">
        <v>482</v>
      </c>
    </row>
    <row r="324" spans="1:8" ht="18.75" x14ac:dyDescent="0.3">
      <c r="A324" s="34">
        <v>45789</v>
      </c>
      <c r="B324" s="7">
        <v>908</v>
      </c>
      <c r="C324" s="7">
        <v>3159</v>
      </c>
      <c r="D324" s="7">
        <v>627</v>
      </c>
      <c r="E324" s="7">
        <v>459</v>
      </c>
      <c r="F324" s="7">
        <v>168</v>
      </c>
      <c r="G324" s="7">
        <v>4067</v>
      </c>
      <c r="H324" s="7">
        <v>581</v>
      </c>
    </row>
    <row r="325" spans="1:8" ht="18.75" x14ac:dyDescent="0.3">
      <c r="A325" s="34">
        <v>45790</v>
      </c>
      <c r="B325" s="7">
        <v>963</v>
      </c>
      <c r="C325" s="7">
        <v>2900</v>
      </c>
      <c r="D325" s="7">
        <v>728</v>
      </c>
      <c r="E325" s="7">
        <v>393</v>
      </c>
      <c r="F325" s="7">
        <v>123</v>
      </c>
      <c r="G325" s="7">
        <v>3863</v>
      </c>
      <c r="H325" s="7">
        <v>432</v>
      </c>
    </row>
    <row r="326" spans="1:8" ht="18.75" x14ac:dyDescent="0.3">
      <c r="A326" s="34">
        <v>45791</v>
      </c>
      <c r="B326" s="7">
        <v>921</v>
      </c>
      <c r="C326" s="7">
        <v>2738</v>
      </c>
      <c r="D326" s="7">
        <v>714</v>
      </c>
      <c r="E326" s="7">
        <v>462</v>
      </c>
      <c r="F326" s="7">
        <v>107</v>
      </c>
      <c r="G326" s="7">
        <v>3659</v>
      </c>
      <c r="H326" s="7">
        <v>468</v>
      </c>
    </row>
    <row r="327" spans="1:8" ht="18.75" x14ac:dyDescent="0.3">
      <c r="A327" s="34">
        <v>45792</v>
      </c>
      <c r="B327" s="7">
        <v>907</v>
      </c>
      <c r="C327" s="7">
        <v>2505</v>
      </c>
      <c r="D327" s="7">
        <v>670</v>
      </c>
      <c r="E327" s="7">
        <v>384</v>
      </c>
      <c r="F327" s="7">
        <v>111</v>
      </c>
      <c r="G327" s="7">
        <v>3412</v>
      </c>
      <c r="H327" s="7">
        <v>440</v>
      </c>
    </row>
    <row r="328" spans="1:8" ht="18.75" x14ac:dyDescent="0.3">
      <c r="A328" s="34">
        <v>45793</v>
      </c>
      <c r="B328" s="7">
        <v>940</v>
      </c>
      <c r="C328" s="7">
        <v>2194</v>
      </c>
      <c r="D328" s="7">
        <v>704</v>
      </c>
      <c r="E328" s="7">
        <v>463</v>
      </c>
      <c r="F328" s="7">
        <v>135</v>
      </c>
      <c r="G328" s="7">
        <v>3134</v>
      </c>
      <c r="H328" s="7">
        <v>493</v>
      </c>
    </row>
    <row r="329" spans="1:8" ht="18.75" x14ac:dyDescent="0.3">
      <c r="A329" s="34">
        <v>45794</v>
      </c>
      <c r="B329" s="36">
        <v>571</v>
      </c>
      <c r="C329" s="7">
        <v>2391</v>
      </c>
      <c r="D329" s="7">
        <v>488</v>
      </c>
      <c r="E329" s="7">
        <v>212</v>
      </c>
      <c r="F329" s="7">
        <v>65</v>
      </c>
      <c r="G329" s="7">
        <v>2962</v>
      </c>
      <c r="H329" s="7">
        <v>230</v>
      </c>
    </row>
    <row r="330" spans="1:8" ht="18.75" x14ac:dyDescent="0.3">
      <c r="A330" s="32">
        <v>45796</v>
      </c>
      <c r="B330" s="33">
        <v>599</v>
      </c>
      <c r="C330" s="33">
        <v>2458</v>
      </c>
      <c r="D330" s="33">
        <v>550</v>
      </c>
      <c r="E330" s="33">
        <v>507</v>
      </c>
      <c r="F330" s="33">
        <v>152</v>
      </c>
      <c r="G330" s="33">
        <v>3057</v>
      </c>
      <c r="H330" s="33">
        <v>690</v>
      </c>
    </row>
    <row r="331" spans="1:8" ht="18.75" x14ac:dyDescent="0.3">
      <c r="A331" s="32">
        <v>45797</v>
      </c>
      <c r="B331" s="33">
        <v>748</v>
      </c>
      <c r="C331" s="33">
        <v>2356</v>
      </c>
      <c r="D331" s="33">
        <v>638</v>
      </c>
      <c r="E331" s="33">
        <v>513</v>
      </c>
      <c r="F331" s="33">
        <v>152</v>
      </c>
      <c r="G331" s="33">
        <v>3104</v>
      </c>
      <c r="H331" s="33">
        <v>558</v>
      </c>
    </row>
    <row r="332" spans="1:8" ht="18.75" x14ac:dyDescent="0.3">
      <c r="A332" s="32">
        <v>45798</v>
      </c>
      <c r="B332" s="33">
        <v>833</v>
      </c>
      <c r="C332" s="33">
        <v>2426</v>
      </c>
      <c r="D332" s="33">
        <v>622</v>
      </c>
      <c r="E332" s="33">
        <v>589</v>
      </c>
      <c r="F332" s="33">
        <v>171</v>
      </c>
      <c r="G332" s="33">
        <v>3259</v>
      </c>
      <c r="H332" s="33">
        <v>652</v>
      </c>
    </row>
    <row r="333" spans="1:8" ht="18.75" x14ac:dyDescent="0.3">
      <c r="A333" s="32">
        <v>45799</v>
      </c>
      <c r="B333" s="33">
        <v>989</v>
      </c>
      <c r="C333" s="33">
        <v>2265</v>
      </c>
      <c r="D333" s="33">
        <v>621</v>
      </c>
      <c r="E333" s="33">
        <v>503</v>
      </c>
      <c r="F333" s="33">
        <v>165</v>
      </c>
      <c r="G333" s="33">
        <v>3254</v>
      </c>
      <c r="H333" s="33">
        <v>603</v>
      </c>
    </row>
    <row r="334" spans="1:8" ht="18.75" x14ac:dyDescent="0.3">
      <c r="A334" s="32">
        <v>45800</v>
      </c>
      <c r="B334" s="33">
        <v>700</v>
      </c>
      <c r="C334" s="33">
        <v>3038</v>
      </c>
      <c r="D334" s="33">
        <v>392</v>
      </c>
      <c r="E334" s="33">
        <v>620</v>
      </c>
      <c r="F334" s="33">
        <v>175</v>
      </c>
      <c r="G334" s="33">
        <v>3738</v>
      </c>
      <c r="H334" s="33">
        <v>575</v>
      </c>
    </row>
    <row r="335" spans="1:8" ht="18.75" x14ac:dyDescent="0.3">
      <c r="A335" s="34">
        <v>45803</v>
      </c>
      <c r="B335" s="7">
        <v>796</v>
      </c>
      <c r="C335" s="7">
        <v>3034</v>
      </c>
      <c r="D335" s="7">
        <v>602</v>
      </c>
      <c r="E335" s="7">
        <v>550</v>
      </c>
      <c r="F335" s="7">
        <v>175</v>
      </c>
      <c r="G335" s="7">
        <v>3830</v>
      </c>
      <c r="H335" s="7">
        <v>601</v>
      </c>
    </row>
    <row r="336" spans="1:8" ht="18.75" x14ac:dyDescent="0.3">
      <c r="A336" s="34">
        <v>45804</v>
      </c>
      <c r="B336" s="7">
        <v>769</v>
      </c>
      <c r="C336" s="7">
        <v>2899</v>
      </c>
      <c r="D336" s="7">
        <v>736</v>
      </c>
      <c r="E336" s="7">
        <v>523</v>
      </c>
      <c r="F336" s="7">
        <v>123</v>
      </c>
      <c r="G336" s="7">
        <v>3668</v>
      </c>
      <c r="H336" s="7">
        <v>465</v>
      </c>
    </row>
    <row r="337" spans="1:8" ht="18.75" x14ac:dyDescent="0.3">
      <c r="A337" s="34">
        <v>45805</v>
      </c>
      <c r="B337" s="7">
        <v>717</v>
      </c>
      <c r="C337" s="7">
        <v>2723</v>
      </c>
      <c r="D337" s="7">
        <v>723</v>
      </c>
      <c r="E337" s="7">
        <v>484</v>
      </c>
      <c r="F337" s="7">
        <v>131</v>
      </c>
      <c r="G337" s="7">
        <v>3440</v>
      </c>
      <c r="H337" s="7">
        <v>453</v>
      </c>
    </row>
    <row r="338" spans="1:8" ht="18.75" x14ac:dyDescent="0.3">
      <c r="A338" s="34">
        <v>45806</v>
      </c>
      <c r="B338" s="7">
        <v>630</v>
      </c>
      <c r="C338" s="7">
        <v>2607</v>
      </c>
      <c r="D338" s="7">
        <v>730</v>
      </c>
      <c r="E338" s="7">
        <v>501</v>
      </c>
      <c r="F338" s="7">
        <v>124</v>
      </c>
      <c r="G338" s="7">
        <v>3237</v>
      </c>
      <c r="H338" s="7">
        <v>419</v>
      </c>
    </row>
    <row r="339" spans="1:8" ht="18.75" x14ac:dyDescent="0.3">
      <c r="A339" s="34">
        <v>45807</v>
      </c>
      <c r="B339" s="7">
        <v>688</v>
      </c>
      <c r="C339" s="7">
        <v>2593</v>
      </c>
      <c r="D339" s="7">
        <v>684</v>
      </c>
      <c r="E339" s="7">
        <v>499</v>
      </c>
      <c r="F339" s="7">
        <v>168</v>
      </c>
      <c r="G339" s="7">
        <v>3281</v>
      </c>
      <c r="H339" s="7">
        <v>397</v>
      </c>
    </row>
    <row r="340" spans="1:8" ht="18.75" x14ac:dyDescent="0.3">
      <c r="A340" s="32">
        <v>45810</v>
      </c>
      <c r="B340" s="33">
        <v>554</v>
      </c>
      <c r="C340" s="33">
        <v>2514</v>
      </c>
      <c r="D340" s="33">
        <v>690</v>
      </c>
      <c r="E340" s="33">
        <v>444</v>
      </c>
      <c r="F340" s="33">
        <v>135</v>
      </c>
      <c r="G340" s="33">
        <v>3068</v>
      </c>
      <c r="H340" s="33">
        <v>465</v>
      </c>
    </row>
    <row r="341" spans="1:8" ht="18.75" x14ac:dyDescent="0.3">
      <c r="A341" s="32">
        <v>45811</v>
      </c>
      <c r="B341" s="33">
        <v>420</v>
      </c>
      <c r="C341" s="33">
        <v>2391</v>
      </c>
      <c r="D341" s="33">
        <v>752</v>
      </c>
      <c r="E341" s="33">
        <v>374</v>
      </c>
      <c r="F341" s="33">
        <v>108</v>
      </c>
      <c r="G341" s="33">
        <v>2811</v>
      </c>
      <c r="H341" s="33">
        <v>375</v>
      </c>
    </row>
    <row r="342" spans="1:8" ht="18.75" x14ac:dyDescent="0.3">
      <c r="A342" s="32">
        <v>45812</v>
      </c>
      <c r="B342" s="33">
        <v>283</v>
      </c>
      <c r="C342" s="33">
        <v>2214</v>
      </c>
      <c r="D342" s="33">
        <v>739</v>
      </c>
      <c r="E342" s="33">
        <v>486</v>
      </c>
      <c r="F342" s="33">
        <v>133</v>
      </c>
      <c r="G342" s="33">
        <v>2497</v>
      </c>
      <c r="H342" s="33">
        <v>353</v>
      </c>
    </row>
    <row r="343" spans="1:8" ht="18.75" x14ac:dyDescent="0.3">
      <c r="A343" s="32">
        <v>45813</v>
      </c>
      <c r="B343" s="33">
        <v>170</v>
      </c>
      <c r="C343" s="33">
        <v>2086</v>
      </c>
      <c r="D343" s="33">
        <v>652</v>
      </c>
      <c r="E343" s="33">
        <v>370</v>
      </c>
      <c r="F343" s="33">
        <v>109</v>
      </c>
      <c r="G343" s="33">
        <v>2256</v>
      </c>
      <c r="H343" s="33">
        <v>360</v>
      </c>
    </row>
    <row r="344" spans="1:8" ht="18.75" x14ac:dyDescent="0.3">
      <c r="A344" s="32">
        <v>45814</v>
      </c>
      <c r="B344" s="33">
        <v>382</v>
      </c>
      <c r="C344" s="33">
        <v>2048</v>
      </c>
      <c r="D344" s="33">
        <v>589</v>
      </c>
      <c r="E344" s="33">
        <v>378</v>
      </c>
      <c r="F344" s="33">
        <v>194</v>
      </c>
      <c r="G344" s="33">
        <v>2430</v>
      </c>
      <c r="H344" s="33">
        <v>628</v>
      </c>
    </row>
    <row r="345" spans="1:8" ht="18.75" x14ac:dyDescent="0.3">
      <c r="A345" s="34">
        <v>45818</v>
      </c>
      <c r="B345" s="7">
        <v>333</v>
      </c>
      <c r="C345" s="7">
        <v>2085</v>
      </c>
      <c r="D345" s="7">
        <v>545</v>
      </c>
      <c r="E345" s="7">
        <v>419</v>
      </c>
      <c r="F345" s="7">
        <v>180</v>
      </c>
      <c r="G345" s="7">
        <v>2418</v>
      </c>
      <c r="H345" s="7">
        <v>603</v>
      </c>
    </row>
    <row r="346" spans="1:8" ht="18.75" x14ac:dyDescent="0.3">
      <c r="A346" s="34">
        <v>45819</v>
      </c>
      <c r="B346" s="7">
        <v>460</v>
      </c>
      <c r="C346" s="7">
        <v>1881</v>
      </c>
      <c r="D346" s="7">
        <v>604</v>
      </c>
      <c r="E346" s="7">
        <v>537</v>
      </c>
      <c r="F346" s="7">
        <v>180</v>
      </c>
      <c r="G346" s="7">
        <v>2341</v>
      </c>
      <c r="H346" s="7">
        <v>538</v>
      </c>
    </row>
    <row r="347" spans="1:8" ht="18.75" x14ac:dyDescent="0.3">
      <c r="A347" s="34">
        <v>45820</v>
      </c>
      <c r="B347" s="7">
        <v>409</v>
      </c>
      <c r="C347" s="7">
        <v>1902</v>
      </c>
      <c r="D347" s="7">
        <v>567</v>
      </c>
      <c r="E347" s="7">
        <v>426</v>
      </c>
      <c r="F347" s="7">
        <v>127</v>
      </c>
      <c r="G347" s="7">
        <v>2311</v>
      </c>
      <c r="H347" s="7">
        <v>542</v>
      </c>
    </row>
    <row r="348" spans="1:8" ht="18.75" x14ac:dyDescent="0.3">
      <c r="A348" s="34">
        <v>45821</v>
      </c>
      <c r="B348" s="7">
        <v>781</v>
      </c>
      <c r="C348" s="7">
        <v>2146</v>
      </c>
      <c r="D348" s="7">
        <v>481</v>
      </c>
      <c r="E348" s="7">
        <v>413</v>
      </c>
      <c r="F348" s="7">
        <v>166</v>
      </c>
      <c r="G348" s="7">
        <v>2927</v>
      </c>
      <c r="H348" s="7">
        <v>535</v>
      </c>
    </row>
    <row r="349" spans="1:8" ht="18.75" x14ac:dyDescent="0.3">
      <c r="A349" s="32">
        <v>45824</v>
      </c>
      <c r="B349" s="33">
        <v>408</v>
      </c>
      <c r="C349" s="33">
        <v>2120</v>
      </c>
      <c r="D349" s="33">
        <v>645</v>
      </c>
      <c r="E349" s="33">
        <v>498</v>
      </c>
      <c r="F349" s="33">
        <v>174</v>
      </c>
      <c r="G349" s="33">
        <v>2528</v>
      </c>
      <c r="H349" s="33">
        <v>568</v>
      </c>
    </row>
    <row r="350" spans="1:8" ht="18.75" x14ac:dyDescent="0.3">
      <c r="A350" s="32">
        <v>45825</v>
      </c>
      <c r="B350" s="33">
        <v>580</v>
      </c>
      <c r="C350" s="33">
        <v>2030</v>
      </c>
      <c r="D350" s="33">
        <v>646</v>
      </c>
      <c r="E350" s="33">
        <v>463</v>
      </c>
      <c r="F350" s="33">
        <v>127</v>
      </c>
      <c r="G350" s="33">
        <v>2610</v>
      </c>
      <c r="H350" s="33">
        <v>534</v>
      </c>
    </row>
    <row r="351" spans="1:8" ht="18.75" x14ac:dyDescent="0.3">
      <c r="A351" s="32">
        <v>45826</v>
      </c>
      <c r="B351" s="33">
        <v>471</v>
      </c>
      <c r="C351" s="33">
        <v>2116</v>
      </c>
      <c r="D351" s="33">
        <v>631</v>
      </c>
      <c r="E351" s="33">
        <v>571</v>
      </c>
      <c r="F351" s="33">
        <v>166</v>
      </c>
      <c r="G351" s="33">
        <v>2587</v>
      </c>
      <c r="H351" s="33">
        <v>488</v>
      </c>
    </row>
    <row r="352" spans="1:8" ht="18.75" x14ac:dyDescent="0.3">
      <c r="A352" s="32">
        <v>45827</v>
      </c>
      <c r="B352" s="33">
        <v>358</v>
      </c>
      <c r="C352" s="33">
        <v>2088</v>
      </c>
      <c r="D352" s="33">
        <v>571</v>
      </c>
      <c r="E352" s="33">
        <v>465</v>
      </c>
      <c r="F352" s="33">
        <v>138</v>
      </c>
      <c r="G352" s="33">
        <v>2446</v>
      </c>
      <c r="H352" s="33">
        <v>421</v>
      </c>
    </row>
    <row r="353" spans="1:8" ht="18.75" x14ac:dyDescent="0.3">
      <c r="A353" s="32">
        <v>45828</v>
      </c>
      <c r="B353" s="33">
        <v>377</v>
      </c>
      <c r="C353" s="33">
        <v>2266</v>
      </c>
      <c r="D353" s="33">
        <v>512</v>
      </c>
      <c r="E353" s="33">
        <v>320</v>
      </c>
      <c r="F353" s="33">
        <v>165</v>
      </c>
      <c r="G353" s="33">
        <v>2643</v>
      </c>
      <c r="H353" s="33">
        <v>426</v>
      </c>
    </row>
    <row r="354" spans="1:8" ht="18.75" x14ac:dyDescent="0.3">
      <c r="A354" s="34">
        <v>45831</v>
      </c>
      <c r="B354" s="7">
        <v>171</v>
      </c>
      <c r="C354" s="7">
        <v>1851</v>
      </c>
      <c r="D354" s="7">
        <v>552</v>
      </c>
      <c r="E354" s="7">
        <v>446</v>
      </c>
      <c r="F354" s="7">
        <v>116</v>
      </c>
      <c r="G354" s="7">
        <v>2529</v>
      </c>
      <c r="H354" s="7">
        <v>464</v>
      </c>
    </row>
    <row r="355" spans="1:8" ht="18.75" x14ac:dyDescent="0.3">
      <c r="A355" s="34">
        <v>45832</v>
      </c>
      <c r="B355" s="7">
        <v>158</v>
      </c>
      <c r="C355" s="7">
        <v>1700</v>
      </c>
      <c r="D355" s="7">
        <v>643</v>
      </c>
      <c r="E355" s="7">
        <v>409</v>
      </c>
      <c r="F355" s="7">
        <v>121</v>
      </c>
      <c r="G355" s="7">
        <v>2380</v>
      </c>
      <c r="H355" s="7">
        <v>370</v>
      </c>
    </row>
    <row r="356" spans="1:8" ht="18.75" x14ac:dyDescent="0.3">
      <c r="A356" s="34">
        <v>45833</v>
      </c>
      <c r="B356" s="7">
        <v>193</v>
      </c>
      <c r="C356" s="7">
        <v>1552</v>
      </c>
      <c r="D356" s="7">
        <v>611</v>
      </c>
      <c r="E356" s="7">
        <v>447</v>
      </c>
      <c r="F356" s="7">
        <v>138</v>
      </c>
      <c r="G356" s="7">
        <v>2278</v>
      </c>
      <c r="H356" s="7">
        <v>428</v>
      </c>
    </row>
    <row r="357" spans="1:8" ht="18.75" x14ac:dyDescent="0.3">
      <c r="A357" s="34">
        <v>45834</v>
      </c>
      <c r="B357" s="7">
        <v>199</v>
      </c>
      <c r="C357" s="7">
        <v>1436</v>
      </c>
      <c r="D357" s="7">
        <v>573</v>
      </c>
      <c r="E357" s="7">
        <v>353</v>
      </c>
      <c r="F357" s="7">
        <v>116</v>
      </c>
      <c r="G357" s="7">
        <v>2129</v>
      </c>
      <c r="H357" s="7">
        <v>392</v>
      </c>
    </row>
    <row r="358" spans="1:8" ht="18.75" x14ac:dyDescent="0.3">
      <c r="A358" s="34">
        <v>45835</v>
      </c>
      <c r="B358" s="7">
        <v>245</v>
      </c>
      <c r="C358" s="7">
        <v>1432</v>
      </c>
      <c r="D358" s="7">
        <v>537</v>
      </c>
      <c r="E358" s="7">
        <v>317</v>
      </c>
      <c r="F358" s="7">
        <v>147</v>
      </c>
      <c r="G358" s="7">
        <v>2173</v>
      </c>
      <c r="H358" s="7">
        <v>365</v>
      </c>
    </row>
    <row r="359" spans="1:8" ht="18.75" x14ac:dyDescent="0.3">
      <c r="A359" s="32">
        <v>45838</v>
      </c>
      <c r="B359" s="33">
        <v>270</v>
      </c>
      <c r="C359" s="33">
        <v>1783</v>
      </c>
      <c r="D359" s="33">
        <v>593</v>
      </c>
      <c r="E359" s="33">
        <v>419</v>
      </c>
      <c r="F359" s="33">
        <v>145</v>
      </c>
      <c r="G359" s="33">
        <v>2053</v>
      </c>
      <c r="H359" s="33">
        <v>439</v>
      </c>
    </row>
    <row r="360" spans="1:8" ht="18.75" x14ac:dyDescent="0.3">
      <c r="A360" s="32">
        <v>45839</v>
      </c>
      <c r="B360" s="33">
        <v>329</v>
      </c>
      <c r="C360" s="33">
        <v>1712</v>
      </c>
      <c r="D360" s="33">
        <v>564</v>
      </c>
      <c r="E360" s="33">
        <v>429</v>
      </c>
      <c r="F360" s="33">
        <v>140</v>
      </c>
      <c r="G360" s="33">
        <v>2041</v>
      </c>
      <c r="H360" s="33">
        <v>493</v>
      </c>
    </row>
    <row r="361" spans="1:8" ht="18.75" x14ac:dyDescent="0.3">
      <c r="A361" s="32">
        <v>45840</v>
      </c>
      <c r="B361" s="33">
        <v>312</v>
      </c>
      <c r="C361" s="33">
        <v>1691</v>
      </c>
      <c r="D361" s="33">
        <v>555</v>
      </c>
      <c r="E361" s="33">
        <v>592</v>
      </c>
      <c r="F361" s="33">
        <v>142</v>
      </c>
      <c r="G361" s="33">
        <v>2003</v>
      </c>
      <c r="H361" s="33">
        <v>575</v>
      </c>
    </row>
    <row r="362" spans="1:8" ht="18.75" x14ac:dyDescent="0.3">
      <c r="A362" s="32">
        <v>45841</v>
      </c>
      <c r="B362" s="33">
        <v>256</v>
      </c>
      <c r="C362" s="33">
        <v>1790</v>
      </c>
      <c r="D362" s="33">
        <v>482</v>
      </c>
      <c r="E362" s="33">
        <v>431</v>
      </c>
      <c r="F362" s="33">
        <v>125</v>
      </c>
      <c r="G362" s="33">
        <v>2073</v>
      </c>
      <c r="H362" s="33">
        <v>494</v>
      </c>
    </row>
    <row r="363" spans="1:8" ht="18.75" x14ac:dyDescent="0.3">
      <c r="A363" s="32">
        <v>45842</v>
      </c>
      <c r="B363" s="33">
        <v>614</v>
      </c>
      <c r="C363" s="33">
        <v>1759</v>
      </c>
      <c r="D363" s="33">
        <v>508</v>
      </c>
      <c r="E363" s="33">
        <v>392</v>
      </c>
      <c r="F363" s="33">
        <v>184</v>
      </c>
      <c r="G363" s="33">
        <v>2373</v>
      </c>
      <c r="H363" s="33">
        <v>474</v>
      </c>
    </row>
    <row r="364" spans="1:8" ht="18.75" x14ac:dyDescent="0.3">
      <c r="A364" s="34">
        <v>45845</v>
      </c>
      <c r="B364" s="7">
        <v>491</v>
      </c>
      <c r="C364" s="7">
        <v>2035</v>
      </c>
      <c r="D364" s="7">
        <v>658</v>
      </c>
      <c r="E364" s="7">
        <v>513</v>
      </c>
      <c r="F364" s="7">
        <v>156</v>
      </c>
      <c r="G364" s="7">
        <v>2526</v>
      </c>
      <c r="H364" s="7">
        <v>611</v>
      </c>
    </row>
    <row r="365" spans="1:8" ht="18.75" x14ac:dyDescent="0.3">
      <c r="A365" s="34">
        <v>45846</v>
      </c>
      <c r="B365" s="7">
        <v>477</v>
      </c>
      <c r="C365" s="7">
        <v>2193</v>
      </c>
      <c r="D365" s="7">
        <v>478</v>
      </c>
      <c r="E365" s="7">
        <v>430</v>
      </c>
      <c r="F365" s="7">
        <v>123</v>
      </c>
      <c r="G365" s="7">
        <v>2670</v>
      </c>
      <c r="H365" s="7">
        <v>504</v>
      </c>
    </row>
    <row r="366" spans="1:8" ht="18.75" x14ac:dyDescent="0.3">
      <c r="A366" s="34">
        <v>45847</v>
      </c>
      <c r="B366" s="7">
        <v>446</v>
      </c>
      <c r="C366" s="7">
        <v>2317</v>
      </c>
      <c r="D366" s="7">
        <v>499</v>
      </c>
      <c r="E366" s="7">
        <v>564</v>
      </c>
      <c r="F366" s="7">
        <v>155</v>
      </c>
      <c r="G366" s="7">
        <v>2763</v>
      </c>
      <c r="H366" s="7">
        <v>540</v>
      </c>
    </row>
    <row r="367" spans="1:8" ht="18.75" x14ac:dyDescent="0.3">
      <c r="A367" s="34">
        <v>45848</v>
      </c>
      <c r="B367" s="7">
        <v>504</v>
      </c>
      <c r="C367" s="7">
        <v>2434</v>
      </c>
      <c r="D367" s="7">
        <v>430</v>
      </c>
      <c r="E367" s="7">
        <v>450</v>
      </c>
      <c r="F367" s="7">
        <v>137</v>
      </c>
      <c r="G367" s="7">
        <v>2938</v>
      </c>
      <c r="H367" s="7">
        <v>411</v>
      </c>
    </row>
    <row r="368" spans="1:8" ht="18.75" x14ac:dyDescent="0.3">
      <c r="A368" s="34">
        <v>45849</v>
      </c>
      <c r="B368" s="7">
        <v>709</v>
      </c>
      <c r="C368" s="7">
        <v>2561</v>
      </c>
      <c r="D368" s="7">
        <v>446</v>
      </c>
      <c r="E368" s="7">
        <v>382</v>
      </c>
      <c r="F368" s="7">
        <v>178</v>
      </c>
      <c r="G368" s="7">
        <v>3270</v>
      </c>
      <c r="H368" s="7">
        <v>393</v>
      </c>
    </row>
    <row r="369" spans="1:8" ht="18.75" x14ac:dyDescent="0.3">
      <c r="A369" s="32">
        <v>45852</v>
      </c>
      <c r="B369" s="33">
        <v>690</v>
      </c>
      <c r="C369" s="33">
        <v>2496</v>
      </c>
      <c r="D369" s="33">
        <v>600</v>
      </c>
      <c r="E369" s="33">
        <v>433</v>
      </c>
      <c r="F369" s="33">
        <v>139</v>
      </c>
      <c r="G369" s="33">
        <v>3186</v>
      </c>
      <c r="H369" s="33">
        <v>524</v>
      </c>
    </row>
    <row r="370" spans="1:8" ht="18.75" x14ac:dyDescent="0.3">
      <c r="A370" s="32">
        <v>45853</v>
      </c>
      <c r="B370" s="33">
        <v>371</v>
      </c>
      <c r="C370" s="33">
        <v>2798</v>
      </c>
      <c r="D370" s="33">
        <v>527</v>
      </c>
      <c r="E370" s="33">
        <v>399</v>
      </c>
      <c r="F370" s="33">
        <v>85</v>
      </c>
      <c r="G370" s="33">
        <v>3169</v>
      </c>
      <c r="H370" s="33">
        <v>375</v>
      </c>
    </row>
    <row r="371" spans="1:8" ht="18.75" x14ac:dyDescent="0.3">
      <c r="A371" s="32">
        <v>45854</v>
      </c>
      <c r="B371" s="33">
        <v>239</v>
      </c>
      <c r="C371" s="33">
        <v>2830</v>
      </c>
      <c r="D371" s="33">
        <v>532</v>
      </c>
      <c r="E371" s="33">
        <v>488</v>
      </c>
      <c r="F371" s="33">
        <v>133</v>
      </c>
      <c r="G371" s="33">
        <v>3069</v>
      </c>
      <c r="H371" s="33">
        <v>395</v>
      </c>
    </row>
    <row r="372" spans="1:8" ht="18.75" x14ac:dyDescent="0.3">
      <c r="A372" s="32">
        <v>45855</v>
      </c>
      <c r="B372" s="33">
        <v>219</v>
      </c>
      <c r="C372" s="33">
        <v>2563</v>
      </c>
      <c r="D372" s="33">
        <v>688</v>
      </c>
      <c r="E372" s="33">
        <v>382</v>
      </c>
      <c r="F372" s="33">
        <v>87</v>
      </c>
      <c r="G372" s="33">
        <v>2782</v>
      </c>
      <c r="H372" s="33">
        <v>362</v>
      </c>
    </row>
    <row r="373" spans="1:8" ht="18.75" x14ac:dyDescent="0.3">
      <c r="A373" s="32">
        <v>45856</v>
      </c>
      <c r="B373" s="33">
        <v>367</v>
      </c>
      <c r="C373" s="33">
        <v>2469</v>
      </c>
      <c r="D373" s="33">
        <v>492</v>
      </c>
      <c r="E373" s="33">
        <v>313</v>
      </c>
      <c r="F373" s="33">
        <v>141</v>
      </c>
      <c r="G373" s="33">
        <v>2836</v>
      </c>
      <c r="H373" s="33">
        <v>368</v>
      </c>
    </row>
    <row r="374" spans="1:8" ht="18.75" x14ac:dyDescent="0.3">
      <c r="A374" s="34">
        <v>45859</v>
      </c>
      <c r="B374" s="7">
        <v>224</v>
      </c>
      <c r="C374" s="7">
        <v>2561</v>
      </c>
      <c r="D374" s="7">
        <v>442</v>
      </c>
      <c r="E374" s="7">
        <v>383</v>
      </c>
      <c r="F374" s="7">
        <v>105</v>
      </c>
      <c r="G374" s="7">
        <v>2785</v>
      </c>
      <c r="H374" s="7">
        <v>444</v>
      </c>
    </row>
    <row r="375" spans="1:8" ht="18.75" x14ac:dyDescent="0.3">
      <c r="A375" s="34">
        <v>45860</v>
      </c>
      <c r="B375" s="7">
        <v>253</v>
      </c>
      <c r="C375" s="7">
        <v>2474</v>
      </c>
      <c r="D375" s="7">
        <v>505</v>
      </c>
      <c r="E375" s="7">
        <v>316</v>
      </c>
      <c r="F375" s="7">
        <v>118</v>
      </c>
      <c r="G375" s="7">
        <v>2727</v>
      </c>
      <c r="H375" s="7">
        <v>356</v>
      </c>
    </row>
    <row r="376" spans="1:8" ht="18.75" x14ac:dyDescent="0.3">
      <c r="A376" s="34">
        <v>45861</v>
      </c>
      <c r="B376" s="7">
        <v>225</v>
      </c>
      <c r="C376" s="7">
        <v>2418</v>
      </c>
      <c r="D376" s="7">
        <v>554</v>
      </c>
      <c r="E376" s="7">
        <v>446</v>
      </c>
      <c r="F376" s="7">
        <v>151</v>
      </c>
      <c r="G376" s="7">
        <v>2643</v>
      </c>
      <c r="H376" s="7">
        <v>417</v>
      </c>
    </row>
    <row r="377" spans="1:8" ht="18.75" x14ac:dyDescent="0.3">
      <c r="A377" s="34">
        <v>45862</v>
      </c>
      <c r="B377" s="7">
        <v>227</v>
      </c>
      <c r="C377" s="7">
        <v>2294</v>
      </c>
      <c r="D377" s="7">
        <v>534</v>
      </c>
      <c r="E377" s="7">
        <v>341</v>
      </c>
      <c r="F377" s="7">
        <v>102</v>
      </c>
      <c r="G377" s="7">
        <v>2521</v>
      </c>
      <c r="H377" s="7">
        <v>379</v>
      </c>
    </row>
    <row r="378" spans="1:8" ht="18.75" x14ac:dyDescent="0.3">
      <c r="A378" s="34">
        <v>45863</v>
      </c>
      <c r="B378" s="7">
        <v>459</v>
      </c>
      <c r="C378" s="7">
        <v>2310</v>
      </c>
      <c r="D378" s="7">
        <v>447</v>
      </c>
      <c r="E378" s="7">
        <v>362</v>
      </c>
      <c r="F378" s="7">
        <v>192</v>
      </c>
      <c r="G378" s="7">
        <v>2769</v>
      </c>
      <c r="H378" s="7">
        <v>465</v>
      </c>
    </row>
    <row r="379" spans="1:8" ht="18.75" x14ac:dyDescent="0.3">
      <c r="A379" s="32">
        <v>45866</v>
      </c>
      <c r="B379" s="33">
        <v>569</v>
      </c>
      <c r="C379" s="33">
        <v>2247</v>
      </c>
      <c r="D379" s="33">
        <v>491</v>
      </c>
      <c r="E379" s="33">
        <v>463</v>
      </c>
      <c r="F379" s="33">
        <v>165</v>
      </c>
      <c r="G379" s="33">
        <v>2816</v>
      </c>
      <c r="H379" s="33">
        <v>558</v>
      </c>
    </row>
    <row r="380" spans="1:8" ht="18.75" x14ac:dyDescent="0.3">
      <c r="A380" s="32">
        <v>45867</v>
      </c>
      <c r="B380" s="33">
        <v>412</v>
      </c>
      <c r="C380" s="33">
        <v>2401</v>
      </c>
      <c r="D380" s="33">
        <v>440</v>
      </c>
      <c r="E380" s="33">
        <v>429</v>
      </c>
      <c r="F380" s="33">
        <v>122</v>
      </c>
      <c r="G380" s="33">
        <v>2813</v>
      </c>
      <c r="H380" s="33">
        <v>408</v>
      </c>
    </row>
    <row r="381" spans="1:8" ht="18.75" x14ac:dyDescent="0.3">
      <c r="A381" s="32">
        <v>45868</v>
      </c>
      <c r="B381" s="33">
        <v>280</v>
      </c>
      <c r="C381" s="33">
        <v>2506</v>
      </c>
      <c r="D381" s="33">
        <v>503</v>
      </c>
      <c r="E381" s="33">
        <v>451</v>
      </c>
      <c r="F381" s="33">
        <v>142</v>
      </c>
      <c r="G381" s="33">
        <v>2786</v>
      </c>
      <c r="H381" s="33">
        <v>479</v>
      </c>
    </row>
    <row r="382" spans="1:8" ht="18.75" x14ac:dyDescent="0.3">
      <c r="A382" s="32">
        <v>45869</v>
      </c>
      <c r="B382" s="33">
        <v>222</v>
      </c>
      <c r="C382" s="33">
        <v>2609</v>
      </c>
      <c r="D382" s="33">
        <v>420</v>
      </c>
      <c r="E382" s="33">
        <v>449</v>
      </c>
      <c r="F382" s="33">
        <v>118</v>
      </c>
      <c r="G382" s="33">
        <v>2831</v>
      </c>
      <c r="H382" s="33">
        <v>468</v>
      </c>
    </row>
    <row r="383" spans="1:8" ht="18.75" x14ac:dyDescent="0.3">
      <c r="A383" s="32">
        <v>45870</v>
      </c>
      <c r="B383" s="33">
        <v>625</v>
      </c>
      <c r="C383" s="33">
        <v>2621</v>
      </c>
      <c r="D383" s="33">
        <v>388</v>
      </c>
      <c r="E383" s="33">
        <v>428</v>
      </c>
      <c r="F383" s="33">
        <v>183</v>
      </c>
      <c r="G383" s="33">
        <v>3246</v>
      </c>
      <c r="H383" s="33">
        <v>624</v>
      </c>
    </row>
    <row r="384" spans="1:8" ht="18.75" x14ac:dyDescent="0.3">
      <c r="A384" s="34">
        <v>45873</v>
      </c>
      <c r="B384" s="7">
        <v>834</v>
      </c>
      <c r="C384" s="7">
        <v>2641</v>
      </c>
      <c r="D384" s="7">
        <v>505</v>
      </c>
      <c r="E384" s="7">
        <v>625</v>
      </c>
      <c r="F384" s="7">
        <v>172</v>
      </c>
      <c r="G384" s="7">
        <v>3475</v>
      </c>
      <c r="H384" s="7">
        <v>727</v>
      </c>
    </row>
    <row r="385" spans="1:8" ht="18.75" x14ac:dyDescent="0.3">
      <c r="A385" s="34">
        <v>45874</v>
      </c>
      <c r="B385" s="7">
        <v>677</v>
      </c>
      <c r="C385" s="7">
        <v>2829</v>
      </c>
      <c r="D385" s="7">
        <v>510</v>
      </c>
      <c r="E385" s="7">
        <v>512</v>
      </c>
      <c r="F385" s="7">
        <v>158</v>
      </c>
      <c r="G385" s="7">
        <v>3506</v>
      </c>
      <c r="H385" s="7">
        <v>533</v>
      </c>
    </row>
    <row r="386" spans="1:8" ht="18.75" x14ac:dyDescent="0.3">
      <c r="A386" s="34">
        <v>45875</v>
      </c>
      <c r="B386" s="7">
        <v>586</v>
      </c>
      <c r="C386" s="7">
        <v>3141</v>
      </c>
      <c r="D386" s="7">
        <v>453</v>
      </c>
      <c r="E386" s="7">
        <v>647</v>
      </c>
      <c r="F386" s="7">
        <v>213</v>
      </c>
      <c r="G386" s="7">
        <v>3727</v>
      </c>
      <c r="H386" s="7">
        <v>650</v>
      </c>
    </row>
    <row r="387" spans="1:8" ht="18.75" x14ac:dyDescent="0.3">
      <c r="A387" s="34">
        <v>45876</v>
      </c>
      <c r="B387" s="7">
        <v>553</v>
      </c>
      <c r="C387" s="7">
        <v>3397</v>
      </c>
      <c r="D387" s="7">
        <v>533</v>
      </c>
      <c r="E387" s="7">
        <v>467</v>
      </c>
      <c r="F387" s="7">
        <v>142</v>
      </c>
      <c r="G387" s="7">
        <v>3950</v>
      </c>
      <c r="H387" s="7">
        <v>475</v>
      </c>
    </row>
    <row r="388" spans="1:8" ht="18.75" x14ac:dyDescent="0.3">
      <c r="A388" s="34">
        <v>45877</v>
      </c>
      <c r="B388" s="7">
        <v>714</v>
      </c>
      <c r="C388" s="7">
        <v>3558</v>
      </c>
      <c r="D388" s="7">
        <v>456</v>
      </c>
      <c r="E388" s="7">
        <v>444</v>
      </c>
      <c r="F388" s="7">
        <v>192</v>
      </c>
      <c r="G388" s="7">
        <v>4272</v>
      </c>
      <c r="H388" s="7">
        <v>633</v>
      </c>
    </row>
    <row r="389" spans="1:8" ht="18.75" x14ac:dyDescent="0.3">
      <c r="A389" s="32">
        <v>45880</v>
      </c>
      <c r="B389" s="33">
        <v>683</v>
      </c>
      <c r="C389" s="33">
        <v>3322</v>
      </c>
      <c r="D389" s="33">
        <v>478</v>
      </c>
      <c r="E389" s="33">
        <v>518</v>
      </c>
      <c r="F389" s="33">
        <v>187</v>
      </c>
      <c r="G389" s="33">
        <v>4383</v>
      </c>
      <c r="H389" s="33">
        <v>623</v>
      </c>
    </row>
    <row r="390" spans="1:8" ht="18.75" x14ac:dyDescent="0.3">
      <c r="A390" s="32">
        <v>45881</v>
      </c>
      <c r="B390" s="33">
        <v>522</v>
      </c>
      <c r="C390" s="33">
        <v>3893</v>
      </c>
      <c r="D390" s="33">
        <v>580</v>
      </c>
      <c r="E390" s="33">
        <v>463</v>
      </c>
      <c r="F390" s="33">
        <v>188</v>
      </c>
      <c r="G390" s="33">
        <v>4415</v>
      </c>
      <c r="H390" s="33">
        <v>554</v>
      </c>
    </row>
    <row r="391" spans="1:8" ht="18.75" x14ac:dyDescent="0.3">
      <c r="A391" s="32">
        <v>45882</v>
      </c>
      <c r="B391" s="33">
        <v>327</v>
      </c>
      <c r="C391" s="33">
        <v>4134</v>
      </c>
      <c r="D391" s="33">
        <v>599</v>
      </c>
      <c r="E391" s="33">
        <v>561</v>
      </c>
      <c r="F391" s="33">
        <v>202</v>
      </c>
      <c r="G391" s="33">
        <v>4461</v>
      </c>
      <c r="H391" s="33">
        <v>664</v>
      </c>
    </row>
    <row r="392" spans="1:8" ht="18.75" x14ac:dyDescent="0.3">
      <c r="A392" s="32">
        <v>45883</v>
      </c>
      <c r="B392" s="33">
        <v>389</v>
      </c>
      <c r="C392" s="33">
        <v>4009</v>
      </c>
      <c r="D392" s="33">
        <v>646</v>
      </c>
      <c r="E392" s="33">
        <v>405</v>
      </c>
      <c r="F392" s="33">
        <v>150</v>
      </c>
      <c r="G392" s="33">
        <v>4398</v>
      </c>
      <c r="H392" s="33">
        <v>487</v>
      </c>
    </row>
    <row r="393" spans="1:8" ht="18.75" x14ac:dyDescent="0.3">
      <c r="A393" s="32">
        <v>45884</v>
      </c>
      <c r="B393" s="33">
        <v>739</v>
      </c>
      <c r="C393" s="33">
        <v>4022</v>
      </c>
      <c r="D393" s="33">
        <v>434</v>
      </c>
      <c r="E393" s="33">
        <v>432</v>
      </c>
      <c r="F393" s="33">
        <v>212</v>
      </c>
      <c r="G393" s="33">
        <v>4761</v>
      </c>
      <c r="H393" s="33">
        <v>422</v>
      </c>
    </row>
    <row r="394" spans="1:8" ht="18.75" x14ac:dyDescent="0.3">
      <c r="A394" s="34">
        <v>45887</v>
      </c>
      <c r="B394" s="7">
        <v>796</v>
      </c>
      <c r="C394" s="7">
        <v>4107</v>
      </c>
      <c r="D394" s="7">
        <v>404</v>
      </c>
      <c r="E394" s="7">
        <v>511</v>
      </c>
      <c r="F394" s="7">
        <v>177</v>
      </c>
      <c r="G394" s="7">
        <v>4903</v>
      </c>
      <c r="H394" s="7">
        <v>515</v>
      </c>
    </row>
    <row r="395" spans="1:8" ht="18.75" x14ac:dyDescent="0.3">
      <c r="A395" s="34">
        <v>45888</v>
      </c>
      <c r="B395" s="7">
        <v>930</v>
      </c>
      <c r="C395" s="7">
        <v>4217</v>
      </c>
      <c r="D395" s="7">
        <v>515</v>
      </c>
      <c r="E395" s="7">
        <v>428</v>
      </c>
      <c r="F395" s="7">
        <v>177</v>
      </c>
      <c r="G395" s="7">
        <v>5147</v>
      </c>
      <c r="H395" s="7">
        <v>444</v>
      </c>
    </row>
    <row r="396" spans="1:8" ht="18.75" x14ac:dyDescent="0.3">
      <c r="A396" s="34">
        <v>45890</v>
      </c>
      <c r="B396" s="7">
        <v>674</v>
      </c>
      <c r="C396" s="7">
        <v>4354</v>
      </c>
      <c r="D396" s="7">
        <v>506</v>
      </c>
      <c r="E396" s="7">
        <v>391</v>
      </c>
      <c r="F396" s="7">
        <v>138</v>
      </c>
      <c r="G396" s="7">
        <v>5028</v>
      </c>
      <c r="H396" s="7">
        <v>385</v>
      </c>
    </row>
    <row r="397" spans="1:8" ht="18.75" x14ac:dyDescent="0.3">
      <c r="A397" s="34">
        <v>45891</v>
      </c>
      <c r="B397" s="7">
        <v>608</v>
      </c>
      <c r="C397" s="7">
        <v>4503</v>
      </c>
      <c r="D397" s="7">
        <v>538</v>
      </c>
      <c r="E397" s="7">
        <v>316</v>
      </c>
      <c r="F397" s="7">
        <v>132</v>
      </c>
      <c r="G397" s="7">
        <v>5111</v>
      </c>
      <c r="H397" s="7">
        <v>351</v>
      </c>
    </row>
    <row r="398" spans="1:8" ht="18.75" x14ac:dyDescent="0.3">
      <c r="A398" s="32">
        <v>45894</v>
      </c>
      <c r="B398" s="33">
        <v>394</v>
      </c>
      <c r="C398" s="33">
        <v>4530</v>
      </c>
      <c r="D398" s="33">
        <v>636</v>
      </c>
      <c r="E398" s="33">
        <v>384</v>
      </c>
      <c r="F398" s="33">
        <v>133</v>
      </c>
      <c r="G398" s="33">
        <v>4924</v>
      </c>
      <c r="H398" s="33">
        <v>407</v>
      </c>
    </row>
    <row r="399" spans="1:8" ht="18.75" x14ac:dyDescent="0.3">
      <c r="A399" s="32">
        <v>45895</v>
      </c>
      <c r="B399" s="33">
        <v>363</v>
      </c>
      <c r="C399" s="33">
        <v>4297</v>
      </c>
      <c r="D399" s="33">
        <v>739</v>
      </c>
      <c r="E399" s="33">
        <v>341</v>
      </c>
      <c r="F399" s="33">
        <v>106</v>
      </c>
      <c r="G399" s="33">
        <v>4660</v>
      </c>
      <c r="H399" s="33">
        <v>369</v>
      </c>
    </row>
    <row r="400" spans="1:8" ht="18.75" x14ac:dyDescent="0.3">
      <c r="A400" s="32">
        <v>45896</v>
      </c>
      <c r="B400" s="33">
        <v>429</v>
      </c>
      <c r="C400" s="33">
        <v>4058</v>
      </c>
      <c r="D400" s="33">
        <v>688</v>
      </c>
      <c r="E400" s="33">
        <v>474</v>
      </c>
      <c r="F400" s="33">
        <v>181</v>
      </c>
      <c r="G400" s="33">
        <v>4487</v>
      </c>
      <c r="H400" s="33">
        <v>527</v>
      </c>
    </row>
    <row r="401" spans="1:8" ht="18.75" x14ac:dyDescent="0.3">
      <c r="A401" s="32">
        <v>45897</v>
      </c>
      <c r="B401" s="33">
        <v>568</v>
      </c>
      <c r="C401" s="33">
        <v>3959</v>
      </c>
      <c r="D401" s="33">
        <v>555</v>
      </c>
      <c r="E401" s="33">
        <v>427</v>
      </c>
      <c r="F401" s="33">
        <v>133</v>
      </c>
      <c r="G401" s="33">
        <v>4527</v>
      </c>
      <c r="H401" s="33">
        <v>476</v>
      </c>
    </row>
    <row r="402" spans="1:8" ht="18.75" x14ac:dyDescent="0.3">
      <c r="A402" s="32">
        <v>45898</v>
      </c>
      <c r="B402" s="33">
        <v>1056</v>
      </c>
      <c r="C402" s="33">
        <v>3800</v>
      </c>
      <c r="D402" s="33">
        <v>439</v>
      </c>
      <c r="E402" s="33">
        <v>375</v>
      </c>
      <c r="F402" s="33">
        <v>194</v>
      </c>
      <c r="G402" s="33">
        <v>4856</v>
      </c>
      <c r="H402" s="33">
        <v>491</v>
      </c>
    </row>
    <row r="403" spans="1:8" ht="18.75" x14ac:dyDescent="0.3">
      <c r="A403" s="34">
        <v>45901</v>
      </c>
      <c r="B403" s="7">
        <v>1069</v>
      </c>
      <c r="C403" s="7">
        <v>3867</v>
      </c>
      <c r="D403" s="7">
        <v>581</v>
      </c>
      <c r="E403" s="7">
        <v>452</v>
      </c>
      <c r="F403" s="7">
        <v>156</v>
      </c>
      <c r="G403" s="7">
        <v>4936</v>
      </c>
      <c r="H403" s="7">
        <v>647</v>
      </c>
    </row>
    <row r="404" spans="1:8" ht="18.75" x14ac:dyDescent="0.3">
      <c r="A404" s="34">
        <v>45902</v>
      </c>
      <c r="B404" s="7">
        <v>610</v>
      </c>
      <c r="C404" s="7">
        <v>4261</v>
      </c>
      <c r="D404" s="7">
        <v>612</v>
      </c>
      <c r="E404" s="7">
        <v>479</v>
      </c>
      <c r="F404" s="7">
        <v>162</v>
      </c>
      <c r="G404" s="7">
        <v>4871</v>
      </c>
      <c r="H404" s="7">
        <v>524</v>
      </c>
    </row>
    <row r="405" spans="1:8" ht="18.75" x14ac:dyDescent="0.3">
      <c r="A405" s="34">
        <v>45903</v>
      </c>
      <c r="B405" s="7">
        <v>618</v>
      </c>
      <c r="C405" s="7">
        <v>4197</v>
      </c>
      <c r="D405" s="7">
        <v>704</v>
      </c>
      <c r="E405" s="7">
        <v>521</v>
      </c>
      <c r="F405" s="7">
        <v>193</v>
      </c>
      <c r="G405" s="7">
        <v>4815</v>
      </c>
      <c r="H405" s="7">
        <v>552</v>
      </c>
    </row>
    <row r="406" spans="1:8" ht="18.75" x14ac:dyDescent="0.3">
      <c r="A406" s="34">
        <v>45904</v>
      </c>
      <c r="B406" s="7">
        <v>465</v>
      </c>
      <c r="C406" s="7">
        <v>3993</v>
      </c>
      <c r="D406" s="7">
        <v>684</v>
      </c>
      <c r="E406" s="7">
        <v>406</v>
      </c>
      <c r="F406" s="7">
        <v>147</v>
      </c>
      <c r="G406" s="7">
        <v>4458</v>
      </c>
      <c r="H406" s="7">
        <v>348</v>
      </c>
    </row>
    <row r="407" spans="1:8" ht="18.75" x14ac:dyDescent="0.3">
      <c r="A407" s="34">
        <v>45905</v>
      </c>
      <c r="B407" s="7">
        <v>721</v>
      </c>
      <c r="C407" s="7">
        <v>3876</v>
      </c>
      <c r="D407" s="7">
        <v>573</v>
      </c>
      <c r="E407" s="7">
        <v>348</v>
      </c>
      <c r="F407" s="7">
        <v>146</v>
      </c>
      <c r="G407" s="7">
        <v>4597</v>
      </c>
      <c r="H407" s="7">
        <v>373</v>
      </c>
    </row>
    <row r="408" spans="1:8" ht="18.75" x14ac:dyDescent="0.3">
      <c r="A408" s="32">
        <v>45908</v>
      </c>
      <c r="B408" s="33">
        <v>642</v>
      </c>
      <c r="C408" s="33">
        <v>3768</v>
      </c>
      <c r="D408" s="33">
        <v>675</v>
      </c>
      <c r="E408" s="33">
        <v>422</v>
      </c>
      <c r="F408" s="33">
        <v>128</v>
      </c>
      <c r="G408" s="33">
        <v>4410</v>
      </c>
      <c r="H408" s="33">
        <v>426</v>
      </c>
    </row>
    <row r="409" spans="1:8" ht="18.75" x14ac:dyDescent="0.3">
      <c r="A409" s="32">
        <v>45909</v>
      </c>
      <c r="B409" s="33">
        <v>528</v>
      </c>
      <c r="C409" s="33">
        <v>3522</v>
      </c>
      <c r="D409" s="33">
        <v>794</v>
      </c>
      <c r="E409" s="33">
        <v>336</v>
      </c>
      <c r="F409" s="33">
        <v>118</v>
      </c>
      <c r="G409" s="33">
        <v>4050</v>
      </c>
      <c r="H409" s="33">
        <v>401</v>
      </c>
    </row>
    <row r="410" spans="1:8" ht="18.75" x14ac:dyDescent="0.3">
      <c r="A410" s="32">
        <v>45910</v>
      </c>
      <c r="B410" s="33">
        <v>422</v>
      </c>
      <c r="C410" s="33">
        <v>3242</v>
      </c>
      <c r="D410" s="33">
        <v>846</v>
      </c>
      <c r="E410" s="33">
        <v>437</v>
      </c>
      <c r="F410" s="33">
        <v>152</v>
      </c>
      <c r="G410" s="33">
        <v>3664</v>
      </c>
      <c r="H410" s="33">
        <v>405</v>
      </c>
    </row>
    <row r="411" spans="1:8" ht="18.75" x14ac:dyDescent="0.3">
      <c r="A411" s="32">
        <v>45911</v>
      </c>
      <c r="B411" s="33">
        <v>312</v>
      </c>
      <c r="C411" s="33">
        <v>2945</v>
      </c>
      <c r="D411" s="33">
        <v>773</v>
      </c>
      <c r="E411" s="33">
        <v>299</v>
      </c>
      <c r="F411" s="33">
        <v>102</v>
      </c>
      <c r="G411" s="33">
        <v>3257</v>
      </c>
      <c r="H411" s="33">
        <v>318</v>
      </c>
    </row>
    <row r="412" spans="1:8" ht="18.75" x14ac:dyDescent="0.3">
      <c r="A412" s="32">
        <v>45912</v>
      </c>
      <c r="B412" s="33">
        <v>469</v>
      </c>
      <c r="C412" s="33">
        <v>2634</v>
      </c>
      <c r="D412" s="33">
        <v>719</v>
      </c>
      <c r="E412" s="33">
        <v>274</v>
      </c>
      <c r="F412" s="33">
        <v>127</v>
      </c>
      <c r="G412" s="33">
        <v>3103</v>
      </c>
      <c r="H412" s="33">
        <v>303</v>
      </c>
    </row>
    <row r="413" spans="1:8" ht="18.75" x14ac:dyDescent="0.3">
      <c r="A413" s="34">
        <v>45915</v>
      </c>
      <c r="B413" s="7">
        <v>322</v>
      </c>
      <c r="C413" s="7">
        <v>2352</v>
      </c>
      <c r="D413" s="7">
        <v>735</v>
      </c>
      <c r="E413" s="7">
        <v>324</v>
      </c>
      <c r="F413" s="7">
        <v>95</v>
      </c>
      <c r="G413" s="7">
        <v>2674</v>
      </c>
      <c r="H413" s="7">
        <v>357</v>
      </c>
    </row>
    <row r="414" spans="1:8" ht="18.75" x14ac:dyDescent="0.3">
      <c r="A414" s="34">
        <v>45916</v>
      </c>
      <c r="B414" s="7">
        <v>433</v>
      </c>
      <c r="C414" s="7">
        <v>1950</v>
      </c>
      <c r="D414" s="7">
        <v>815</v>
      </c>
      <c r="E414" s="7">
        <v>345</v>
      </c>
      <c r="F414" s="7">
        <v>128</v>
      </c>
      <c r="G414" s="7">
        <v>2383</v>
      </c>
      <c r="H414" s="7">
        <v>410</v>
      </c>
    </row>
    <row r="415" spans="1:8" ht="18.75" x14ac:dyDescent="0.3">
      <c r="A415" s="34">
        <v>45917</v>
      </c>
      <c r="B415" s="7">
        <v>412</v>
      </c>
      <c r="C415" s="7">
        <v>1757</v>
      </c>
      <c r="D415" s="7">
        <v>766</v>
      </c>
      <c r="E415" s="7">
        <v>441</v>
      </c>
      <c r="F415" s="7">
        <v>166</v>
      </c>
      <c r="G415" s="7">
        <v>2169</v>
      </c>
      <c r="H415" s="7">
        <v>500</v>
      </c>
    </row>
    <row r="416" spans="1:8" ht="18.75" x14ac:dyDescent="0.3">
      <c r="A416" s="34">
        <v>45918</v>
      </c>
      <c r="B416" s="7">
        <v>363</v>
      </c>
      <c r="C416" s="7">
        <v>1911</v>
      </c>
      <c r="D416" s="7">
        <v>344</v>
      </c>
      <c r="E416" s="7">
        <v>358</v>
      </c>
      <c r="F416" s="7">
        <v>153</v>
      </c>
      <c r="G416" s="7">
        <v>2274</v>
      </c>
      <c r="H416" s="7">
        <v>429</v>
      </c>
    </row>
    <row r="417" spans="1:8" ht="18.75" x14ac:dyDescent="0.3">
      <c r="A417" s="34">
        <v>45919</v>
      </c>
      <c r="B417" s="7">
        <v>557</v>
      </c>
      <c r="C417" s="7">
        <v>1684</v>
      </c>
      <c r="D417" s="7">
        <v>652</v>
      </c>
      <c r="E417" s="7">
        <v>330</v>
      </c>
      <c r="F417" s="7">
        <v>181</v>
      </c>
      <c r="G417" s="7">
        <v>2241</v>
      </c>
      <c r="H417" s="7">
        <v>395</v>
      </c>
    </row>
    <row r="418" spans="1:8" ht="18.75" x14ac:dyDescent="0.3">
      <c r="A418" s="34">
        <v>45922</v>
      </c>
      <c r="B418" s="7">
        <v>411</v>
      </c>
      <c r="C418" s="7">
        <v>1562</v>
      </c>
      <c r="D418" s="7">
        <v>731</v>
      </c>
      <c r="E418" s="7">
        <v>393</v>
      </c>
      <c r="F418" s="7">
        <v>143</v>
      </c>
      <c r="G418" s="7">
        <v>1973</v>
      </c>
      <c r="H418" s="7">
        <v>432</v>
      </c>
    </row>
    <row r="419" spans="1:8" ht="18.75" x14ac:dyDescent="0.3">
      <c r="A419" s="34">
        <v>45923</v>
      </c>
      <c r="B419" s="7">
        <v>196</v>
      </c>
      <c r="C419" s="7">
        <v>1413</v>
      </c>
      <c r="D419" s="7">
        <v>774</v>
      </c>
      <c r="E419" s="7">
        <v>319</v>
      </c>
      <c r="F419" s="7">
        <v>92</v>
      </c>
      <c r="G419" s="7">
        <v>1609</v>
      </c>
      <c r="H419" s="7">
        <v>406</v>
      </c>
    </row>
    <row r="420" spans="1:8" ht="18.75" x14ac:dyDescent="0.3">
      <c r="A420" s="34">
        <v>45924</v>
      </c>
      <c r="B420" s="7">
        <v>229</v>
      </c>
      <c r="C420" s="7">
        <v>1176</v>
      </c>
      <c r="D420" s="7">
        <v>754</v>
      </c>
      <c r="E420" s="7">
        <v>400</v>
      </c>
      <c r="F420" s="7">
        <v>163</v>
      </c>
      <c r="G420" s="7">
        <v>1405</v>
      </c>
      <c r="H420" s="7">
        <v>460</v>
      </c>
    </row>
    <row r="421" spans="1:8" ht="18.75" x14ac:dyDescent="0.3">
      <c r="A421" s="34">
        <v>45925</v>
      </c>
      <c r="B421" s="7">
        <v>197</v>
      </c>
      <c r="C421" s="7">
        <v>1061</v>
      </c>
      <c r="D421" s="7">
        <v>601</v>
      </c>
      <c r="E421" s="7">
        <v>347</v>
      </c>
      <c r="F421" s="7">
        <v>102</v>
      </c>
      <c r="G421" s="7">
        <v>1258</v>
      </c>
      <c r="H421" s="7">
        <v>332</v>
      </c>
    </row>
    <row r="422" spans="1:8" ht="18.75" x14ac:dyDescent="0.3">
      <c r="A422" s="34">
        <v>45926</v>
      </c>
      <c r="B422" s="7">
        <v>417</v>
      </c>
      <c r="C422" s="7">
        <v>1025</v>
      </c>
      <c r="D422" s="7">
        <v>511</v>
      </c>
      <c r="E422" s="7">
        <v>317</v>
      </c>
      <c r="F422" s="7">
        <v>167</v>
      </c>
      <c r="G422" s="7">
        <v>1442</v>
      </c>
      <c r="H422" s="7">
        <v>341</v>
      </c>
    </row>
    <row r="423" spans="1:8" ht="18.75" x14ac:dyDescent="0.3">
      <c r="A423" s="34">
        <v>45929</v>
      </c>
      <c r="B423" s="7">
        <v>270</v>
      </c>
      <c r="C423" s="7">
        <v>1171</v>
      </c>
      <c r="D423" s="7">
        <v>544</v>
      </c>
      <c r="E423" s="7">
        <v>362</v>
      </c>
      <c r="F423" s="7">
        <v>166</v>
      </c>
      <c r="G423" s="7">
        <v>1441</v>
      </c>
      <c r="H423" s="7">
        <v>459</v>
      </c>
    </row>
    <row r="424" spans="1:8" ht="18.75" x14ac:dyDescent="0.3">
      <c r="A424" s="34">
        <v>45930</v>
      </c>
      <c r="B424" s="7">
        <v>346</v>
      </c>
      <c r="C424" s="7">
        <v>1185</v>
      </c>
      <c r="D424" s="7">
        <v>531</v>
      </c>
      <c r="E424" s="7">
        <v>380</v>
      </c>
      <c r="F424" s="7">
        <v>189</v>
      </c>
      <c r="G424" s="7">
        <v>1531</v>
      </c>
      <c r="H424" s="7">
        <v>511</v>
      </c>
    </row>
    <row r="425" spans="1:8" ht="18.75" x14ac:dyDescent="0.3">
      <c r="A425" s="34">
        <v>45931</v>
      </c>
      <c r="B425" s="7">
        <v>314</v>
      </c>
      <c r="C425" s="7">
        <v>1272</v>
      </c>
      <c r="D425" s="7">
        <v>467</v>
      </c>
      <c r="E425" s="7">
        <v>463</v>
      </c>
      <c r="F425" s="7">
        <v>189</v>
      </c>
      <c r="G425" s="7">
        <v>1586</v>
      </c>
      <c r="H425" s="7">
        <v>516</v>
      </c>
    </row>
    <row r="426" spans="1:8" ht="18.75" x14ac:dyDescent="0.3">
      <c r="A426" s="34">
        <v>45932</v>
      </c>
      <c r="B426" s="7">
        <v>493</v>
      </c>
      <c r="C426" s="7">
        <v>1073</v>
      </c>
      <c r="D426" s="7">
        <v>554</v>
      </c>
      <c r="E426" s="7">
        <v>411</v>
      </c>
      <c r="F426" s="7">
        <v>144</v>
      </c>
      <c r="G426" s="7">
        <v>1566</v>
      </c>
      <c r="H426" s="7">
        <v>473</v>
      </c>
    </row>
    <row r="427" spans="1:8" ht="18.75" x14ac:dyDescent="0.3">
      <c r="A427" s="34">
        <v>45933</v>
      </c>
      <c r="B427" s="7">
        <v>937</v>
      </c>
      <c r="C427" s="7">
        <v>1037</v>
      </c>
      <c r="D427" s="7">
        <v>482</v>
      </c>
      <c r="E427" s="7">
        <v>335</v>
      </c>
      <c r="F427" s="7">
        <v>189</v>
      </c>
      <c r="G427" s="7">
        <v>1974</v>
      </c>
      <c r="H427" s="7">
        <v>447</v>
      </c>
    </row>
    <row r="428" spans="1:8" ht="18.75" x14ac:dyDescent="0.3">
      <c r="A428" s="34">
        <v>45936</v>
      </c>
      <c r="B428" s="7">
        <v>1029</v>
      </c>
      <c r="C428" s="7">
        <v>1131</v>
      </c>
      <c r="D428" s="7">
        <v>557</v>
      </c>
      <c r="E428" s="7">
        <v>497</v>
      </c>
      <c r="F428" s="7">
        <v>199</v>
      </c>
      <c r="G428" s="7">
        <v>2160</v>
      </c>
      <c r="H428" s="7">
        <v>586</v>
      </c>
    </row>
    <row r="429" spans="1:8" ht="18.75" x14ac:dyDescent="0.3">
      <c r="A429" s="34">
        <v>45937</v>
      </c>
      <c r="B429" s="7">
        <v>775</v>
      </c>
      <c r="C429" s="7">
        <v>1419</v>
      </c>
      <c r="D429" s="7">
        <v>554</v>
      </c>
      <c r="E429" s="7">
        <v>432</v>
      </c>
      <c r="F429" s="7">
        <v>171</v>
      </c>
      <c r="G429" s="7">
        <v>2194</v>
      </c>
      <c r="H429" s="7">
        <v>500</v>
      </c>
    </row>
    <row r="430" spans="1:8" ht="18.75" x14ac:dyDescent="0.3">
      <c r="A430" s="34">
        <v>45938</v>
      </c>
      <c r="B430" s="7">
        <v>524</v>
      </c>
      <c r="C430" s="7">
        <v>1859</v>
      </c>
      <c r="D430" s="7">
        <v>505</v>
      </c>
      <c r="E430" s="7">
        <v>491</v>
      </c>
      <c r="F430" s="7">
        <v>166</v>
      </c>
      <c r="G430" s="7">
        <v>2383</v>
      </c>
      <c r="H430" s="7">
        <v>491</v>
      </c>
    </row>
    <row r="431" spans="1:8" ht="18.75" x14ac:dyDescent="0.3">
      <c r="A431" s="34">
        <v>45939</v>
      </c>
      <c r="B431" s="7">
        <v>334</v>
      </c>
      <c r="C431" s="7">
        <v>2092</v>
      </c>
      <c r="D431" s="7">
        <v>442</v>
      </c>
      <c r="E431" s="7">
        <v>348</v>
      </c>
      <c r="F431" s="7">
        <v>95</v>
      </c>
      <c r="G431" s="7">
        <v>2426</v>
      </c>
      <c r="H431" s="7">
        <v>345</v>
      </c>
    </row>
    <row r="432" spans="1:8" ht="18.75" x14ac:dyDescent="0.3">
      <c r="A432" s="34">
        <v>45940</v>
      </c>
      <c r="B432" s="7">
        <v>593</v>
      </c>
      <c r="C432" s="7">
        <v>2127</v>
      </c>
      <c r="D432" s="7">
        <v>449</v>
      </c>
      <c r="E432" s="7">
        <v>371</v>
      </c>
      <c r="F432" s="7">
        <v>171</v>
      </c>
      <c r="G432" s="7">
        <v>2720</v>
      </c>
      <c r="H432" s="7">
        <v>342</v>
      </c>
    </row>
    <row r="433" spans="1:8" ht="18.75" x14ac:dyDescent="0.3">
      <c r="A433" s="34">
        <v>45943</v>
      </c>
      <c r="B433" s="7">
        <v>484</v>
      </c>
      <c r="C433" s="7">
        <v>2092</v>
      </c>
      <c r="D433" s="7">
        <v>647</v>
      </c>
      <c r="E433" s="7">
        <v>382</v>
      </c>
      <c r="F433" s="7">
        <v>147</v>
      </c>
      <c r="G433" s="7">
        <v>2576</v>
      </c>
      <c r="H433" s="7">
        <v>387</v>
      </c>
    </row>
    <row r="434" spans="1:8" ht="18.75" x14ac:dyDescent="0.3">
      <c r="A434" s="34">
        <v>45944</v>
      </c>
      <c r="B434" s="7">
        <v>506</v>
      </c>
      <c r="C434" s="7">
        <v>1977</v>
      </c>
      <c r="D434" s="7">
        <v>693</v>
      </c>
      <c r="E434" s="7">
        <v>364</v>
      </c>
      <c r="F434" s="7">
        <v>173</v>
      </c>
      <c r="G434" s="7">
        <v>2483</v>
      </c>
      <c r="H434" s="7">
        <v>420</v>
      </c>
    </row>
    <row r="435" spans="1:8" ht="18.75" x14ac:dyDescent="0.3">
      <c r="A435" s="34">
        <v>45945</v>
      </c>
      <c r="B435" s="7">
        <v>506</v>
      </c>
      <c r="C435" s="7">
        <v>1842</v>
      </c>
      <c r="D435" s="7">
        <v>758</v>
      </c>
      <c r="E435" s="7">
        <v>492</v>
      </c>
      <c r="F435" s="7">
        <v>173</v>
      </c>
      <c r="G435" s="7">
        <v>2348</v>
      </c>
      <c r="H435" s="7">
        <v>553</v>
      </c>
    </row>
    <row r="436" spans="1:8" ht="18.75" x14ac:dyDescent="0.3">
      <c r="A436" s="34">
        <v>45946</v>
      </c>
      <c r="B436" s="7">
        <v>497</v>
      </c>
      <c r="C436" s="7">
        <v>1896</v>
      </c>
      <c r="D436" s="7">
        <v>588</v>
      </c>
      <c r="E436" s="7">
        <v>443</v>
      </c>
      <c r="F436" s="7">
        <v>156</v>
      </c>
      <c r="G436" s="7">
        <v>2393</v>
      </c>
      <c r="H436" s="7">
        <v>408</v>
      </c>
    </row>
    <row r="437" spans="1:8" ht="18.75" x14ac:dyDescent="0.3">
      <c r="A437" s="34">
        <v>45947</v>
      </c>
      <c r="B437" s="7">
        <v>490</v>
      </c>
      <c r="C437" s="7">
        <v>1870</v>
      </c>
      <c r="D437" s="7">
        <v>525</v>
      </c>
      <c r="E437" s="7">
        <v>317</v>
      </c>
      <c r="F437" s="7">
        <v>141</v>
      </c>
      <c r="G437" s="7">
        <v>2360</v>
      </c>
      <c r="H437" s="7">
        <v>440</v>
      </c>
    </row>
    <row r="438" spans="1:8" ht="18.75" x14ac:dyDescent="0.3">
      <c r="A438" s="34">
        <v>45948</v>
      </c>
      <c r="B438" s="7">
        <v>517</v>
      </c>
      <c r="C438" s="7">
        <v>1761</v>
      </c>
      <c r="D438" s="7">
        <v>550</v>
      </c>
      <c r="E438" s="7">
        <v>181</v>
      </c>
      <c r="F438" s="7">
        <v>117</v>
      </c>
      <c r="G438" s="7">
        <v>2278</v>
      </c>
      <c r="H438" s="7">
        <v>163</v>
      </c>
    </row>
    <row r="439" spans="1:8" ht="18.75" x14ac:dyDescent="0.3">
      <c r="A439" s="34">
        <v>45950</v>
      </c>
      <c r="B439" s="7">
        <v>434</v>
      </c>
      <c r="C439" s="7">
        <v>1875</v>
      </c>
      <c r="D439" s="7">
        <v>541</v>
      </c>
      <c r="E439" s="7">
        <v>418</v>
      </c>
      <c r="F439" s="7">
        <v>136</v>
      </c>
      <c r="G439" s="7">
        <v>2309</v>
      </c>
      <c r="H439" s="7">
        <v>547</v>
      </c>
    </row>
    <row r="440" spans="1:8" ht="18.75" x14ac:dyDescent="0.3">
      <c r="A440" s="34">
        <v>45951</v>
      </c>
      <c r="B440" s="7">
        <v>356</v>
      </c>
      <c r="C440" s="7">
        <v>2003</v>
      </c>
      <c r="D440" s="7">
        <v>499</v>
      </c>
      <c r="E440" s="7">
        <v>390</v>
      </c>
      <c r="F440" s="7">
        <v>157</v>
      </c>
      <c r="G440" s="7">
        <v>2359</v>
      </c>
      <c r="H440" s="7">
        <v>436</v>
      </c>
    </row>
    <row r="441" spans="1:8" ht="18.75" x14ac:dyDescent="0.3">
      <c r="A441" s="34">
        <v>45952</v>
      </c>
      <c r="B441" s="7">
        <v>807</v>
      </c>
      <c r="C441" s="7">
        <v>1926</v>
      </c>
      <c r="D441" s="7">
        <v>591</v>
      </c>
      <c r="E441" s="7">
        <v>520</v>
      </c>
      <c r="F441" s="7">
        <v>222</v>
      </c>
      <c r="G441" s="7">
        <v>2733</v>
      </c>
      <c r="H441" s="7">
        <v>439</v>
      </c>
    </row>
    <row r="442" spans="1:8" ht="18.75" x14ac:dyDescent="0.3">
      <c r="A442" s="34">
        <v>45957</v>
      </c>
      <c r="B442" s="7">
        <v>510</v>
      </c>
      <c r="C442" s="7">
        <v>2213</v>
      </c>
      <c r="D442" s="7">
        <v>529</v>
      </c>
      <c r="E442" s="7">
        <v>403</v>
      </c>
      <c r="F442" s="7">
        <v>144</v>
      </c>
      <c r="G442" s="7">
        <v>2723</v>
      </c>
      <c r="H442" s="7">
        <v>455</v>
      </c>
    </row>
    <row r="443" spans="1:8" ht="18.75" x14ac:dyDescent="0.3">
      <c r="A443" s="34">
        <v>45958</v>
      </c>
      <c r="B443" s="7">
        <v>200</v>
      </c>
      <c r="C443" s="7">
        <v>2404</v>
      </c>
      <c r="D443" s="7">
        <v>509</v>
      </c>
      <c r="E443" s="7">
        <v>306</v>
      </c>
      <c r="F443" s="7">
        <v>134</v>
      </c>
      <c r="G443" s="7">
        <v>2604</v>
      </c>
      <c r="H443" s="7">
        <v>326</v>
      </c>
    </row>
    <row r="444" spans="1:8" ht="18.75" x14ac:dyDescent="0.3">
      <c r="A444" s="34">
        <v>45959</v>
      </c>
      <c r="B444" s="7">
        <v>209</v>
      </c>
      <c r="C444" s="7">
        <v>2254</v>
      </c>
      <c r="D444" s="7">
        <v>580</v>
      </c>
      <c r="E444" s="7">
        <v>332</v>
      </c>
      <c r="F444" s="7">
        <v>140</v>
      </c>
      <c r="G444" s="7">
        <v>2463</v>
      </c>
      <c r="H444" s="7">
        <v>355</v>
      </c>
    </row>
    <row r="445" spans="1:8" ht="18.75" x14ac:dyDescent="0.3">
      <c r="A445" s="34">
        <v>45960</v>
      </c>
      <c r="B445" s="7">
        <v>187</v>
      </c>
      <c r="C445" s="7">
        <v>1881</v>
      </c>
      <c r="D445" s="7">
        <v>654</v>
      </c>
      <c r="E445" s="7">
        <v>292</v>
      </c>
      <c r="F445" s="7">
        <v>93</v>
      </c>
      <c r="G445" s="7">
        <v>2068</v>
      </c>
      <c r="H445" s="7">
        <v>290</v>
      </c>
    </row>
    <row r="446" spans="1:8" ht="18.75" x14ac:dyDescent="0.3">
      <c r="A446" s="34">
        <v>45961</v>
      </c>
      <c r="B446" s="7">
        <v>464</v>
      </c>
      <c r="C446" s="7">
        <v>1784</v>
      </c>
      <c r="D446" s="7">
        <v>448</v>
      </c>
      <c r="E446" s="7">
        <v>275</v>
      </c>
      <c r="F446" s="7">
        <v>115</v>
      </c>
      <c r="G446" s="7">
        <v>2248</v>
      </c>
      <c r="H446" s="7">
        <v>307</v>
      </c>
    </row>
    <row r="447" spans="1:8" ht="18.75" x14ac:dyDescent="0.3">
      <c r="A447" s="34">
        <v>45964</v>
      </c>
      <c r="B447" s="7">
        <v>474</v>
      </c>
      <c r="C447" s="7">
        <v>1682</v>
      </c>
      <c r="D447" s="7">
        <v>594</v>
      </c>
      <c r="E447" s="7">
        <v>375</v>
      </c>
      <c r="F447" s="7">
        <v>139</v>
      </c>
      <c r="G447" s="7">
        <v>2156</v>
      </c>
      <c r="H447" s="7">
        <v>457</v>
      </c>
    </row>
    <row r="448" spans="1:8" ht="18.75" x14ac:dyDescent="0.3">
      <c r="A448" s="34">
        <v>45965</v>
      </c>
      <c r="B448" s="7">
        <v>351</v>
      </c>
      <c r="C448" s="7">
        <v>1698</v>
      </c>
      <c r="D448" s="7">
        <v>549</v>
      </c>
      <c r="E448" s="7">
        <v>347</v>
      </c>
      <c r="F448" s="7">
        <v>134</v>
      </c>
      <c r="G448" s="7">
        <v>2049</v>
      </c>
      <c r="H448" s="7">
        <v>443</v>
      </c>
    </row>
    <row r="449" spans="1:8" ht="18.75" x14ac:dyDescent="0.3">
      <c r="A449" s="34">
        <v>45966</v>
      </c>
      <c r="B449" s="7">
        <v>233</v>
      </c>
      <c r="C449" s="7">
        <v>1730</v>
      </c>
      <c r="D449" s="7">
        <v>612</v>
      </c>
      <c r="E449" s="7">
        <v>378</v>
      </c>
      <c r="F449" s="7">
        <v>139</v>
      </c>
      <c r="G449" s="7">
        <v>1963</v>
      </c>
      <c r="H449" s="7">
        <v>466</v>
      </c>
    </row>
    <row r="450" spans="1:8" ht="18.75" x14ac:dyDescent="0.3">
      <c r="A450" s="34">
        <v>45967</v>
      </c>
      <c r="B450" s="7">
        <v>428</v>
      </c>
      <c r="C450" s="7">
        <v>1538</v>
      </c>
      <c r="D450" s="7">
        <v>586</v>
      </c>
      <c r="E450" s="7">
        <v>343</v>
      </c>
      <c r="F450" s="7">
        <v>98</v>
      </c>
      <c r="G450" s="7">
        <v>1966</v>
      </c>
      <c r="H450" s="7">
        <v>886</v>
      </c>
    </row>
    <row r="451" spans="1:8" ht="18.75" x14ac:dyDescent="0.3">
      <c r="A451" s="34">
        <v>45968</v>
      </c>
      <c r="B451" s="7">
        <v>915</v>
      </c>
      <c r="C451" s="7">
        <v>1312</v>
      </c>
      <c r="D451" s="7">
        <v>538</v>
      </c>
      <c r="E451" s="7">
        <v>306</v>
      </c>
      <c r="F451" s="7">
        <v>156</v>
      </c>
      <c r="G451" s="7">
        <v>2227</v>
      </c>
      <c r="H451" s="7">
        <v>451</v>
      </c>
    </row>
    <row r="452" spans="1:8" ht="18.75" x14ac:dyDescent="0.3">
      <c r="A452" s="32">
        <v>45971</v>
      </c>
      <c r="B452" s="7">
        <v>898</v>
      </c>
      <c r="C452" s="7">
        <v>1323</v>
      </c>
      <c r="D452" s="7">
        <v>612</v>
      </c>
      <c r="E452" s="7">
        <v>439</v>
      </c>
      <c r="F452" s="7">
        <v>128</v>
      </c>
      <c r="G452" s="7">
        <v>2221</v>
      </c>
      <c r="H452" s="7">
        <v>495</v>
      </c>
    </row>
    <row r="453" spans="1:8" ht="18.75" x14ac:dyDescent="0.3">
      <c r="A453" s="32">
        <v>45972</v>
      </c>
      <c r="B453" s="7">
        <v>835</v>
      </c>
      <c r="C453" s="7">
        <v>1276</v>
      </c>
      <c r="D453" s="7">
        <v>632</v>
      </c>
      <c r="E453" s="7">
        <v>292</v>
      </c>
      <c r="F453" s="7">
        <v>121</v>
      </c>
      <c r="G453" s="7">
        <v>2111</v>
      </c>
      <c r="H453" s="7">
        <v>440</v>
      </c>
    </row>
    <row r="454" spans="1:8" ht="18.75" x14ac:dyDescent="0.3">
      <c r="A454" s="32">
        <v>45973</v>
      </c>
      <c r="B454" s="7">
        <v>310</v>
      </c>
      <c r="C454" s="7">
        <v>1714</v>
      </c>
      <c r="D454" s="7">
        <v>618</v>
      </c>
      <c r="E454" s="7">
        <v>347</v>
      </c>
      <c r="F454" s="7">
        <v>120</v>
      </c>
      <c r="G454" s="7">
        <v>2024</v>
      </c>
      <c r="H454" s="7">
        <v>397</v>
      </c>
    </row>
    <row r="455" spans="1:8" ht="18.75" x14ac:dyDescent="0.3">
      <c r="A455" s="32">
        <v>45974</v>
      </c>
      <c r="B455" s="7">
        <v>366</v>
      </c>
      <c r="C455" s="7">
        <v>1451</v>
      </c>
      <c r="D455" s="7">
        <v>797</v>
      </c>
      <c r="E455" s="7">
        <v>258</v>
      </c>
      <c r="F455" s="7">
        <v>82</v>
      </c>
      <c r="G455" s="7">
        <v>1817</v>
      </c>
      <c r="H455" s="7">
        <v>300</v>
      </c>
    </row>
    <row r="456" spans="1:8" ht="18.75" x14ac:dyDescent="0.3">
      <c r="A456" s="32">
        <v>45975</v>
      </c>
      <c r="B456" s="7">
        <v>483</v>
      </c>
      <c r="C456" s="7">
        <v>1409</v>
      </c>
      <c r="D456" s="7">
        <v>599</v>
      </c>
      <c r="E456" s="7">
        <v>237</v>
      </c>
      <c r="F456" s="7">
        <v>114</v>
      </c>
      <c r="G456" s="7">
        <v>1892</v>
      </c>
      <c r="H456" s="7">
        <v>318</v>
      </c>
    </row>
    <row r="457" spans="1:8" ht="18.75" x14ac:dyDescent="0.3">
      <c r="A457" s="34">
        <v>45978</v>
      </c>
      <c r="B457" s="7">
        <v>258</v>
      </c>
      <c r="C457" s="7">
        <v>1417</v>
      </c>
      <c r="D457" s="7">
        <v>628</v>
      </c>
      <c r="E457" s="7">
        <v>280</v>
      </c>
      <c r="F457" s="7">
        <v>98</v>
      </c>
      <c r="G457" s="7">
        <v>1675</v>
      </c>
      <c r="H457" s="7">
        <v>376</v>
      </c>
    </row>
    <row r="458" spans="1:8" ht="18.75" x14ac:dyDescent="0.3">
      <c r="A458" s="34">
        <v>45979</v>
      </c>
      <c r="B458" s="7">
        <v>251</v>
      </c>
      <c r="C458" s="7">
        <v>1265</v>
      </c>
      <c r="D458" s="7">
        <v>609</v>
      </c>
      <c r="E458" s="7">
        <v>295</v>
      </c>
      <c r="F458" s="7">
        <v>91</v>
      </c>
      <c r="G458" s="7">
        <v>1516</v>
      </c>
      <c r="H458" s="7">
        <v>315</v>
      </c>
    </row>
    <row r="459" spans="1:8" ht="18.75" x14ac:dyDescent="0.3">
      <c r="A459" s="34">
        <v>45980</v>
      </c>
      <c r="B459" s="7">
        <v>188</v>
      </c>
      <c r="C459" s="7">
        <v>1232</v>
      </c>
      <c r="D459" s="7">
        <v>571</v>
      </c>
      <c r="E459" s="7">
        <v>263</v>
      </c>
      <c r="F459" s="7">
        <v>99</v>
      </c>
      <c r="G459" s="7">
        <v>1420</v>
      </c>
      <c r="H459" s="7">
        <v>285</v>
      </c>
    </row>
    <row r="460" spans="1:8" ht="18.75" x14ac:dyDescent="0.3">
      <c r="A460" s="34">
        <v>45981</v>
      </c>
      <c r="B460" s="7">
        <v>235</v>
      </c>
      <c r="C460" s="7">
        <v>1006</v>
      </c>
      <c r="D460" s="7">
        <v>580</v>
      </c>
      <c r="E460" s="7">
        <v>195</v>
      </c>
      <c r="F460" s="7">
        <v>80</v>
      </c>
      <c r="G460" s="7">
        <v>1241</v>
      </c>
      <c r="H460" s="7">
        <v>285</v>
      </c>
    </row>
    <row r="461" spans="1:8" ht="18.75" x14ac:dyDescent="0.3">
      <c r="A461" s="34">
        <v>45982</v>
      </c>
      <c r="B461" s="7">
        <v>327</v>
      </c>
      <c r="C461" s="7">
        <v>962</v>
      </c>
      <c r="D461" s="7">
        <v>464</v>
      </c>
      <c r="E461" s="7">
        <v>197</v>
      </c>
      <c r="F461" s="7">
        <v>105</v>
      </c>
      <c r="G461" s="7">
        <v>1289</v>
      </c>
      <c r="H461" s="7">
        <v>242</v>
      </c>
    </row>
    <row r="462" spans="1:8" ht="18.75" x14ac:dyDescent="0.3">
      <c r="A462" s="37">
        <v>45985</v>
      </c>
      <c r="B462" s="7">
        <v>202</v>
      </c>
      <c r="C462" s="7">
        <v>917</v>
      </c>
      <c r="D462" s="7">
        <v>555</v>
      </c>
      <c r="E462" s="7">
        <v>249</v>
      </c>
      <c r="F462" s="7">
        <v>97</v>
      </c>
      <c r="G462" s="7">
        <v>1119</v>
      </c>
      <c r="H462" s="7">
        <v>331</v>
      </c>
    </row>
    <row r="463" spans="1:8" ht="18.75" x14ac:dyDescent="0.3">
      <c r="A463" s="37">
        <v>45986</v>
      </c>
      <c r="B463" s="7">
        <v>284</v>
      </c>
      <c r="C463" s="7">
        <v>865</v>
      </c>
      <c r="D463" s="7">
        <v>545</v>
      </c>
      <c r="E463" s="7">
        <v>261</v>
      </c>
      <c r="F463" s="7">
        <v>119</v>
      </c>
      <c r="G463" s="7">
        <v>1149</v>
      </c>
      <c r="H463" s="7">
        <v>455</v>
      </c>
    </row>
    <row r="464" spans="1:8" ht="18.75" x14ac:dyDescent="0.3">
      <c r="A464" s="37">
        <v>45987</v>
      </c>
      <c r="B464" s="7">
        <v>432</v>
      </c>
      <c r="C464" s="7">
        <v>874</v>
      </c>
      <c r="D464" s="7">
        <v>457</v>
      </c>
      <c r="E464" s="7">
        <v>370</v>
      </c>
      <c r="F464" s="7">
        <v>159</v>
      </c>
      <c r="G464" s="7">
        <v>1306</v>
      </c>
      <c r="H464" s="7">
        <v>536</v>
      </c>
    </row>
    <row r="465" spans="1:8" ht="18.75" x14ac:dyDescent="0.3">
      <c r="A465" s="37">
        <v>45988</v>
      </c>
      <c r="B465" s="7">
        <v>482</v>
      </c>
      <c r="C465" s="7">
        <v>1044</v>
      </c>
      <c r="D465" s="7">
        <v>409</v>
      </c>
      <c r="E465" s="7">
        <v>345</v>
      </c>
      <c r="F465" s="7">
        <v>144</v>
      </c>
      <c r="G465" s="7">
        <v>1526</v>
      </c>
      <c r="H465" s="7">
        <v>517</v>
      </c>
    </row>
    <row r="466" spans="1:8" ht="18.75" x14ac:dyDescent="0.3">
      <c r="A466" s="37">
        <v>45989</v>
      </c>
      <c r="B466" s="7">
        <v>822</v>
      </c>
      <c r="C466" s="7">
        <v>1135</v>
      </c>
      <c r="D466" s="7">
        <v>392</v>
      </c>
      <c r="E466" s="7">
        <v>350</v>
      </c>
      <c r="F466" s="7">
        <v>134</v>
      </c>
      <c r="G466" s="7">
        <v>1957</v>
      </c>
      <c r="H466" s="7">
        <v>485</v>
      </c>
    </row>
    <row r="467" spans="1:8" ht="18.75" x14ac:dyDescent="0.3">
      <c r="A467" s="34">
        <v>45992</v>
      </c>
      <c r="B467" s="7">
        <v>667</v>
      </c>
      <c r="C467" s="7">
        <v>1352</v>
      </c>
      <c r="D467" s="7">
        <v>579</v>
      </c>
      <c r="E467" s="7">
        <v>394</v>
      </c>
      <c r="F467" s="7">
        <v>133</v>
      </c>
      <c r="G467" s="7">
        <v>2019</v>
      </c>
      <c r="H467" s="7">
        <v>650</v>
      </c>
    </row>
    <row r="468" spans="1:8" ht="18.75" x14ac:dyDescent="0.3">
      <c r="A468" s="34">
        <v>45993</v>
      </c>
      <c r="B468" s="7">
        <v>525</v>
      </c>
      <c r="C468" s="7">
        <v>1590</v>
      </c>
      <c r="D468" s="7">
        <v>576</v>
      </c>
      <c r="E468" s="7">
        <v>372</v>
      </c>
      <c r="F468" s="7">
        <v>142</v>
      </c>
      <c r="G468" s="7">
        <v>2115</v>
      </c>
      <c r="H468" s="7">
        <v>562</v>
      </c>
    </row>
    <row r="469" spans="1:8" ht="18.75" x14ac:dyDescent="0.3">
      <c r="A469" s="34">
        <v>45994</v>
      </c>
      <c r="B469" s="7">
        <v>321</v>
      </c>
      <c r="C469" s="7">
        <v>1918</v>
      </c>
      <c r="D469" s="7">
        <v>560</v>
      </c>
      <c r="E469" s="7">
        <v>425</v>
      </c>
      <c r="F469" s="7">
        <v>126</v>
      </c>
      <c r="G469" s="7">
        <v>2239</v>
      </c>
      <c r="H469" s="7">
        <v>576</v>
      </c>
    </row>
    <row r="470" spans="1:8" ht="18.75" x14ac:dyDescent="0.3">
      <c r="A470" s="34">
        <v>45995</v>
      </c>
      <c r="B470" s="7">
        <v>314</v>
      </c>
      <c r="C470" s="7">
        <v>1914</v>
      </c>
      <c r="D470" s="7">
        <v>649</v>
      </c>
      <c r="E470" s="7">
        <v>330</v>
      </c>
      <c r="F470" s="7">
        <v>111</v>
      </c>
      <c r="G470" s="7">
        <v>2228</v>
      </c>
      <c r="H470" s="7">
        <v>407</v>
      </c>
    </row>
    <row r="471" spans="1:8" ht="18.75" x14ac:dyDescent="0.3">
      <c r="A471" s="34">
        <v>45996</v>
      </c>
      <c r="B471" s="7">
        <v>686</v>
      </c>
      <c r="C471" s="7">
        <v>1869</v>
      </c>
      <c r="D471" s="7">
        <v>446</v>
      </c>
      <c r="E471" s="7">
        <v>267</v>
      </c>
      <c r="F471" s="7">
        <v>105</v>
      </c>
      <c r="G471" s="7">
        <v>2555</v>
      </c>
      <c r="H471" s="7">
        <v>433</v>
      </c>
    </row>
    <row r="472" spans="1:8" ht="18.75" x14ac:dyDescent="0.3">
      <c r="A472" s="34">
        <v>45999</v>
      </c>
      <c r="B472" s="7">
        <v>449</v>
      </c>
      <c r="C472" s="7">
        <v>2103</v>
      </c>
      <c r="D472" s="7">
        <v>412</v>
      </c>
      <c r="E472" s="7">
        <v>415</v>
      </c>
      <c r="F472" s="7">
        <v>82</v>
      </c>
      <c r="G472" s="7">
        <v>2552</v>
      </c>
      <c r="H472" s="7">
        <v>527</v>
      </c>
    </row>
    <row r="473" spans="1:8" ht="18.75" x14ac:dyDescent="0.3">
      <c r="A473" s="34">
        <v>46000</v>
      </c>
      <c r="B473" s="7">
        <v>248</v>
      </c>
      <c r="C473" s="7">
        <v>2254</v>
      </c>
      <c r="D473" s="7">
        <v>519</v>
      </c>
      <c r="E473" s="7">
        <v>314</v>
      </c>
      <c r="F473" s="7">
        <v>77</v>
      </c>
      <c r="G473" s="7">
        <v>2502</v>
      </c>
      <c r="H473" s="7">
        <v>362</v>
      </c>
    </row>
    <row r="474" spans="1:8" ht="18.75" x14ac:dyDescent="0.3">
      <c r="A474" s="34">
        <v>46001</v>
      </c>
      <c r="B474" s="7">
        <v>219</v>
      </c>
      <c r="C474" s="7">
        <v>2154</v>
      </c>
      <c r="D474" s="7">
        <v>569</v>
      </c>
      <c r="E474" s="7">
        <v>358</v>
      </c>
      <c r="F474" s="7">
        <v>78</v>
      </c>
      <c r="G474" s="7">
        <v>2373</v>
      </c>
      <c r="H474" s="7">
        <v>336</v>
      </c>
    </row>
    <row r="475" spans="1:8" ht="18.75" x14ac:dyDescent="0.3">
      <c r="A475" s="34">
        <v>46002</v>
      </c>
      <c r="B475" s="7">
        <v>253</v>
      </c>
      <c r="C475" s="7">
        <v>1922</v>
      </c>
      <c r="D475" s="7">
        <v>625</v>
      </c>
      <c r="E475" s="7">
        <v>277</v>
      </c>
      <c r="F475" s="7">
        <v>62</v>
      </c>
      <c r="G475" s="7">
        <v>2175</v>
      </c>
      <c r="H475" s="7">
        <v>275</v>
      </c>
    </row>
    <row r="476" spans="1:8" ht="18.75" x14ac:dyDescent="0.3">
      <c r="A476" s="34">
        <v>46003</v>
      </c>
      <c r="B476" s="38"/>
      <c r="C476" s="38"/>
      <c r="D476" s="38"/>
      <c r="E476" s="38">
        <v>250</v>
      </c>
      <c r="F476" s="38">
        <v>75</v>
      </c>
      <c r="G476" s="38"/>
      <c r="H476" s="38">
        <v>276</v>
      </c>
    </row>
    <row r="477" spans="1:8" ht="18.75" x14ac:dyDescent="0.3">
      <c r="A477" s="34">
        <v>46004</v>
      </c>
      <c r="B477" s="7">
        <v>308</v>
      </c>
      <c r="C477" s="7">
        <v>1805</v>
      </c>
      <c r="D477" s="7">
        <v>231</v>
      </c>
      <c r="E477" s="7">
        <v>0</v>
      </c>
      <c r="F477" s="7">
        <v>0</v>
      </c>
      <c r="G477" s="7">
        <v>2113</v>
      </c>
      <c r="H477" s="7">
        <v>0</v>
      </c>
    </row>
    <row r="478" spans="1:8" ht="18.75" x14ac:dyDescent="0.3">
      <c r="A478" s="32">
        <v>46006</v>
      </c>
      <c r="B478" s="7">
        <v>364</v>
      </c>
      <c r="C478" s="7">
        <v>1729</v>
      </c>
      <c r="D478" s="7">
        <v>510</v>
      </c>
      <c r="E478" s="7">
        <v>370</v>
      </c>
      <c r="F478" s="7">
        <v>88</v>
      </c>
      <c r="G478" s="7">
        <v>2093</v>
      </c>
      <c r="H478" s="7">
        <v>443</v>
      </c>
    </row>
    <row r="479" spans="1:8" ht="18.75" x14ac:dyDescent="0.3">
      <c r="A479" s="32">
        <v>46007</v>
      </c>
      <c r="B479" s="7">
        <v>336</v>
      </c>
      <c r="C479" s="7">
        <v>1613</v>
      </c>
      <c r="D479" s="7">
        <v>574</v>
      </c>
      <c r="E479" s="7">
        <v>320</v>
      </c>
      <c r="F479" s="7">
        <v>70</v>
      </c>
      <c r="G479" s="7">
        <v>1949</v>
      </c>
      <c r="H479" s="7">
        <v>360</v>
      </c>
    </row>
    <row r="480" spans="1:8" ht="18.75" x14ac:dyDescent="0.3">
      <c r="A480" s="32">
        <v>46008</v>
      </c>
      <c r="B480" s="7">
        <v>424</v>
      </c>
      <c r="C480" s="7">
        <v>1387</v>
      </c>
      <c r="D480" s="7">
        <v>598</v>
      </c>
      <c r="E480" s="7">
        <v>384</v>
      </c>
      <c r="F480" s="7">
        <v>104</v>
      </c>
      <c r="G480" s="7">
        <v>1811</v>
      </c>
      <c r="H480" s="7">
        <v>506</v>
      </c>
    </row>
    <row r="481" spans="1:8" ht="18.75" x14ac:dyDescent="0.3">
      <c r="A481" s="32">
        <v>46009</v>
      </c>
      <c r="B481" s="7">
        <v>395</v>
      </c>
      <c r="C481" s="7">
        <v>1372</v>
      </c>
      <c r="D481" s="7">
        <v>498</v>
      </c>
      <c r="E481" s="7">
        <v>358</v>
      </c>
      <c r="F481" s="7">
        <v>84</v>
      </c>
      <c r="G481" s="7">
        <v>1767</v>
      </c>
      <c r="H481" s="7">
        <v>359</v>
      </c>
    </row>
    <row r="482" spans="1:8" ht="18.75" x14ac:dyDescent="0.3">
      <c r="A482" s="32">
        <v>46010</v>
      </c>
      <c r="B482" s="7">
        <v>599</v>
      </c>
      <c r="C482" s="7">
        <v>1185</v>
      </c>
      <c r="D482" s="7">
        <v>424</v>
      </c>
      <c r="E482" s="7">
        <v>265</v>
      </c>
      <c r="F482" s="7">
        <v>79</v>
      </c>
      <c r="G482" s="7">
        <v>1784</v>
      </c>
      <c r="H482" s="7">
        <v>287</v>
      </c>
    </row>
    <row r="483" spans="1:8" ht="18.75" x14ac:dyDescent="0.3">
      <c r="A483" s="32">
        <v>46013</v>
      </c>
      <c r="B483" s="7">
        <v>493</v>
      </c>
      <c r="C483" s="7">
        <v>1485</v>
      </c>
      <c r="D483" s="7">
        <v>385</v>
      </c>
      <c r="E483" s="7">
        <v>437</v>
      </c>
      <c r="F483" s="7">
        <v>80</v>
      </c>
      <c r="G483" s="7">
        <v>1978</v>
      </c>
      <c r="H483" s="7">
        <v>368</v>
      </c>
    </row>
    <row r="484" spans="1:8" ht="18.75" x14ac:dyDescent="0.3">
      <c r="A484" s="32">
        <v>46014</v>
      </c>
      <c r="B484" s="7">
        <v>646</v>
      </c>
      <c r="C484" s="7">
        <v>1617</v>
      </c>
      <c r="D484" s="7">
        <v>398</v>
      </c>
      <c r="E484" s="7">
        <v>306</v>
      </c>
      <c r="F484" s="7">
        <v>87</v>
      </c>
      <c r="G484" s="7">
        <v>2263</v>
      </c>
      <c r="H484" s="7">
        <v>251</v>
      </c>
    </row>
    <row r="485" spans="1:8" ht="18.75" x14ac:dyDescent="0.3">
      <c r="A485" s="32">
        <v>46020</v>
      </c>
      <c r="B485" s="7">
        <v>288</v>
      </c>
      <c r="C485" s="7">
        <v>1833</v>
      </c>
      <c r="D485" s="7">
        <v>431</v>
      </c>
      <c r="E485" s="7">
        <v>512</v>
      </c>
      <c r="F485" s="7">
        <v>63</v>
      </c>
      <c r="G485" s="7">
        <v>2121</v>
      </c>
      <c r="H485" s="7">
        <v>319</v>
      </c>
    </row>
    <row r="486" spans="1:8" ht="18.75" x14ac:dyDescent="0.3">
      <c r="A486" s="32">
        <v>46021</v>
      </c>
      <c r="B486" s="7">
        <v>288</v>
      </c>
      <c r="C486" s="7">
        <v>1833</v>
      </c>
      <c r="D486" s="7">
        <v>431</v>
      </c>
      <c r="E486" s="7">
        <v>364</v>
      </c>
      <c r="F486" s="7">
        <v>41</v>
      </c>
      <c r="G486" s="7">
        <v>1898</v>
      </c>
      <c r="H486" s="7">
        <v>221</v>
      </c>
    </row>
    <row r="487" spans="1:8" ht="18.75" x14ac:dyDescent="0.3">
      <c r="A487" s="32">
        <v>46022</v>
      </c>
      <c r="B487" s="7">
        <v>631</v>
      </c>
      <c r="C487" s="7">
        <v>1675</v>
      </c>
      <c r="D487" s="7">
        <v>218</v>
      </c>
      <c r="E487" s="7">
        <v>102</v>
      </c>
      <c r="F487" s="7">
        <v>17</v>
      </c>
      <c r="G487" s="7">
        <v>2306</v>
      </c>
      <c r="H487" s="7">
        <v>62</v>
      </c>
    </row>
    <row r="488" spans="1:8" ht="18.75" x14ac:dyDescent="0.3">
      <c r="A488" s="32">
        <v>46023</v>
      </c>
      <c r="B488" s="33"/>
      <c r="C488" s="33"/>
      <c r="D488" s="33"/>
      <c r="E488" s="33"/>
      <c r="F488" s="33"/>
      <c r="G488" s="33"/>
      <c r="H488" s="33"/>
    </row>
    <row r="489" spans="1:8" ht="18.75" x14ac:dyDescent="0.3">
      <c r="A489" s="32">
        <v>46024</v>
      </c>
      <c r="B489" s="33"/>
      <c r="C489" s="33"/>
      <c r="D489" s="33"/>
      <c r="E489" s="33"/>
      <c r="F489" s="33"/>
      <c r="G489" s="33"/>
      <c r="H489" s="33"/>
    </row>
    <row r="490" spans="1:8" ht="18.75" x14ac:dyDescent="0.3">
      <c r="A490" s="32">
        <v>46025</v>
      </c>
      <c r="B490" s="33"/>
      <c r="C490" s="33"/>
      <c r="D490" s="33"/>
      <c r="E490" s="33"/>
      <c r="F490" s="33"/>
      <c r="G490" s="33"/>
      <c r="H490" s="33"/>
    </row>
    <row r="491" spans="1:8" ht="18.75" x14ac:dyDescent="0.3">
      <c r="A491" s="32">
        <v>46026</v>
      </c>
      <c r="B491" s="33"/>
      <c r="C491" s="33"/>
      <c r="D491" s="33"/>
      <c r="E491" s="33"/>
      <c r="F491" s="33"/>
      <c r="G491" s="33"/>
      <c r="H491" s="33"/>
    </row>
    <row r="492" spans="1:8" ht="18.75" x14ac:dyDescent="0.3">
      <c r="A492" s="34">
        <v>46027</v>
      </c>
      <c r="B492" s="7">
        <v>498</v>
      </c>
      <c r="C492" s="7">
        <v>1890</v>
      </c>
      <c r="D492" s="7">
        <v>425</v>
      </c>
      <c r="E492" s="7">
        <v>733</v>
      </c>
      <c r="F492" s="7">
        <v>97</v>
      </c>
      <c r="G492" s="7">
        <v>2388</v>
      </c>
      <c r="H492" s="7">
        <v>572</v>
      </c>
    </row>
    <row r="493" spans="1:8" ht="18.75" x14ac:dyDescent="0.3">
      <c r="A493" s="34">
        <v>46028</v>
      </c>
      <c r="B493" s="7">
        <v>309</v>
      </c>
      <c r="C493" s="7">
        <v>1934</v>
      </c>
      <c r="D493" s="7">
        <v>584</v>
      </c>
      <c r="E493" s="7">
        <v>437</v>
      </c>
      <c r="F493" s="7">
        <v>87</v>
      </c>
      <c r="G493" s="7">
        <v>2243</v>
      </c>
      <c r="H493" s="7">
        <v>369</v>
      </c>
    </row>
    <row r="494" spans="1:8" ht="18.75" x14ac:dyDescent="0.3">
      <c r="A494" s="34">
        <v>46029</v>
      </c>
      <c r="B494" s="7">
        <v>285</v>
      </c>
      <c r="C494" s="7">
        <v>1753</v>
      </c>
      <c r="D494" s="7">
        <v>573</v>
      </c>
      <c r="E494" s="7">
        <v>349</v>
      </c>
      <c r="F494" s="7">
        <v>72</v>
      </c>
      <c r="G494" s="7">
        <v>2038</v>
      </c>
      <c r="H494" s="7">
        <v>355</v>
      </c>
    </row>
    <row r="495" spans="1:8" ht="18.75" x14ac:dyDescent="0.3">
      <c r="A495" s="34">
        <v>46030</v>
      </c>
      <c r="B495" s="7">
        <v>266</v>
      </c>
      <c r="C495" s="7">
        <v>1540</v>
      </c>
      <c r="D495" s="7">
        <v>649</v>
      </c>
      <c r="E495" s="7">
        <v>389</v>
      </c>
      <c r="F495" s="7">
        <v>55</v>
      </c>
      <c r="G495" s="7">
        <v>1806</v>
      </c>
      <c r="H495" s="7">
        <v>322</v>
      </c>
    </row>
    <row r="496" spans="1:8" ht="18.75" x14ac:dyDescent="0.3">
      <c r="A496" s="34">
        <v>46031</v>
      </c>
      <c r="B496" s="7">
        <v>255</v>
      </c>
      <c r="C496" s="7">
        <v>1374</v>
      </c>
      <c r="D496" s="7">
        <v>521</v>
      </c>
      <c r="E496" s="7">
        <v>306</v>
      </c>
      <c r="F496" s="7">
        <v>61</v>
      </c>
      <c r="G496" s="7">
        <v>1629</v>
      </c>
      <c r="H496" s="7">
        <v>285</v>
      </c>
    </row>
    <row r="497" spans="1:8" ht="18.75" x14ac:dyDescent="0.3">
      <c r="A497" s="34">
        <v>46032</v>
      </c>
      <c r="B497" s="7">
        <v>223</v>
      </c>
      <c r="C497" s="7">
        <v>1247</v>
      </c>
      <c r="D497" s="7">
        <v>441</v>
      </c>
      <c r="E497" s="7">
        <v>159</v>
      </c>
      <c r="F497" s="7">
        <v>24</v>
      </c>
      <c r="G497" s="7">
        <v>1470</v>
      </c>
      <c r="H497" s="7">
        <v>102</v>
      </c>
    </row>
    <row r="498" spans="1:8" ht="18.75" x14ac:dyDescent="0.3">
      <c r="A498" s="34">
        <v>46033</v>
      </c>
      <c r="B498" s="7">
        <v>225</v>
      </c>
      <c r="C498" s="7">
        <v>1066</v>
      </c>
      <c r="D498" s="7">
        <v>567</v>
      </c>
      <c r="E498" s="7">
        <v>575</v>
      </c>
      <c r="F498" s="7">
        <v>82</v>
      </c>
      <c r="G498" s="7">
        <v>1291</v>
      </c>
      <c r="H498" s="7">
        <v>410</v>
      </c>
    </row>
    <row r="499" spans="1:8" ht="18.75" x14ac:dyDescent="0.3">
      <c r="A499" s="34">
        <v>46034</v>
      </c>
      <c r="B499" s="7">
        <v>225</v>
      </c>
      <c r="C499" s="7">
        <v>1066</v>
      </c>
      <c r="D499" s="7">
        <v>567</v>
      </c>
      <c r="E499" s="7">
        <v>575</v>
      </c>
      <c r="F499" s="7">
        <v>82</v>
      </c>
      <c r="G499" s="7">
        <v>1291</v>
      </c>
      <c r="H499" s="7">
        <v>410</v>
      </c>
    </row>
    <row r="500" spans="1:8" ht="18.75" x14ac:dyDescent="0.3">
      <c r="A500" s="34">
        <v>46035</v>
      </c>
      <c r="B500" s="7">
        <v>231</v>
      </c>
      <c r="C500" s="7">
        <v>972</v>
      </c>
      <c r="D500" s="7">
        <v>573</v>
      </c>
      <c r="E500" s="7">
        <v>381</v>
      </c>
      <c r="F500" s="7">
        <v>59</v>
      </c>
      <c r="G500" s="7">
        <v>1203</v>
      </c>
      <c r="H500" s="7">
        <v>313</v>
      </c>
    </row>
    <row r="501" spans="1:8" ht="18.75" x14ac:dyDescent="0.3">
      <c r="A501" s="34">
        <v>46036</v>
      </c>
      <c r="B501" s="7">
        <v>184</v>
      </c>
      <c r="C501" s="7">
        <v>857</v>
      </c>
      <c r="D501" s="7">
        <v>606</v>
      </c>
      <c r="E501" s="7">
        <v>575</v>
      </c>
      <c r="F501" s="7">
        <v>99</v>
      </c>
      <c r="G501" s="7">
        <v>1041</v>
      </c>
      <c r="H501" s="7">
        <v>346</v>
      </c>
    </row>
    <row r="502" spans="1:8" ht="18.75" x14ac:dyDescent="0.3">
      <c r="A502" s="34">
        <v>46037</v>
      </c>
      <c r="B502" s="7">
        <v>177</v>
      </c>
      <c r="C502" s="7">
        <v>846</v>
      </c>
      <c r="D502" s="7">
        <v>441</v>
      </c>
      <c r="E502" s="7">
        <v>626</v>
      </c>
      <c r="F502" s="7">
        <v>52</v>
      </c>
      <c r="G502" s="7">
        <v>1023</v>
      </c>
      <c r="H502" s="7">
        <v>302</v>
      </c>
    </row>
    <row r="503" spans="1:8" ht="18.75" x14ac:dyDescent="0.3">
      <c r="A503" s="34">
        <v>46038</v>
      </c>
      <c r="B503" s="7">
        <v>294</v>
      </c>
      <c r="C503" s="7">
        <v>836</v>
      </c>
      <c r="D503" s="7">
        <v>435</v>
      </c>
      <c r="E503" s="7">
        <v>539</v>
      </c>
      <c r="F503" s="7">
        <v>51</v>
      </c>
      <c r="G503" s="7">
        <v>1130</v>
      </c>
      <c r="H503" s="7">
        <v>327</v>
      </c>
    </row>
    <row r="504" spans="1:8" ht="18.75" x14ac:dyDescent="0.3">
      <c r="A504" s="34">
        <v>46041</v>
      </c>
      <c r="B504" s="7">
        <v>195</v>
      </c>
      <c r="C504" s="7">
        <v>843</v>
      </c>
      <c r="D504" s="7">
        <v>561</v>
      </c>
      <c r="E504" s="7">
        <v>799</v>
      </c>
      <c r="F504" s="7">
        <v>75</v>
      </c>
      <c r="G504" s="7">
        <v>1038</v>
      </c>
      <c r="H504" s="7">
        <v>377</v>
      </c>
    </row>
    <row r="505" spans="1:8" ht="18.75" x14ac:dyDescent="0.3">
      <c r="A505" s="34">
        <v>46042</v>
      </c>
      <c r="B505" s="7">
        <v>166</v>
      </c>
      <c r="C505" s="7">
        <v>784</v>
      </c>
      <c r="D505" s="7">
        <v>507</v>
      </c>
      <c r="E505" s="7">
        <v>756</v>
      </c>
      <c r="F505" s="7">
        <v>48</v>
      </c>
      <c r="G505" s="7">
        <v>950</v>
      </c>
      <c r="H505" s="7">
        <v>369</v>
      </c>
    </row>
    <row r="506" spans="1:8" ht="18.75" x14ac:dyDescent="0.3">
      <c r="A506" s="34">
        <v>46043</v>
      </c>
      <c r="B506" s="7">
        <v>163</v>
      </c>
      <c r="C506" s="7">
        <v>764</v>
      </c>
      <c r="D506" s="7">
        <v>502</v>
      </c>
      <c r="E506" s="7">
        <v>878</v>
      </c>
      <c r="F506" s="7">
        <v>74</v>
      </c>
      <c r="G506" s="7">
        <v>927</v>
      </c>
      <c r="H506" s="7">
        <v>382</v>
      </c>
    </row>
    <row r="507" spans="1:8" ht="18.75" x14ac:dyDescent="0.3">
      <c r="A507" s="34">
        <v>46044</v>
      </c>
      <c r="B507" s="7">
        <v>190</v>
      </c>
      <c r="C507" s="7">
        <v>713</v>
      </c>
      <c r="D507" s="7">
        <v>486</v>
      </c>
      <c r="E507" s="7">
        <v>718</v>
      </c>
      <c r="F507" s="7">
        <v>42</v>
      </c>
      <c r="G507" s="7">
        <v>903</v>
      </c>
      <c r="H507" s="7">
        <v>283</v>
      </c>
    </row>
    <row r="508" spans="1:8" ht="18.75" x14ac:dyDescent="0.3">
      <c r="A508" s="34">
        <v>46045</v>
      </c>
      <c r="B508" s="7">
        <v>326</v>
      </c>
      <c r="C508" s="7">
        <v>677</v>
      </c>
      <c r="D508" s="7">
        <v>494</v>
      </c>
      <c r="E508" s="7">
        <v>595</v>
      </c>
      <c r="F508" s="7">
        <v>87</v>
      </c>
      <c r="G508" s="7">
        <v>1003</v>
      </c>
      <c r="H508" s="7">
        <v>317</v>
      </c>
    </row>
    <row r="509" spans="1:8" ht="18.75" x14ac:dyDescent="0.3">
      <c r="A509" s="34">
        <v>46048</v>
      </c>
      <c r="B509" s="7">
        <v>262</v>
      </c>
      <c r="C509" s="7">
        <v>746</v>
      </c>
      <c r="D509" s="7">
        <v>486</v>
      </c>
      <c r="E509" s="7">
        <v>985</v>
      </c>
      <c r="F509" s="7">
        <v>90</v>
      </c>
      <c r="G509" s="7">
        <v>1008</v>
      </c>
      <c r="H509" s="7">
        <v>468</v>
      </c>
    </row>
    <row r="510" spans="1:8" ht="18.75" x14ac:dyDescent="0.3">
      <c r="A510" s="34">
        <v>46049</v>
      </c>
      <c r="B510" s="7">
        <v>281</v>
      </c>
      <c r="C510" s="7">
        <v>825</v>
      </c>
      <c r="D510" s="7">
        <v>396</v>
      </c>
      <c r="E510" s="7">
        <v>995</v>
      </c>
      <c r="F510" s="7">
        <v>74</v>
      </c>
      <c r="G510" s="7">
        <v>1106</v>
      </c>
      <c r="H510" s="7">
        <v>432</v>
      </c>
    </row>
    <row r="511" spans="1:8" ht="18.75" x14ac:dyDescent="0.3">
      <c r="A511" s="34">
        <v>46050</v>
      </c>
      <c r="B511" s="7">
        <v>226</v>
      </c>
      <c r="C511" s="7">
        <v>812</v>
      </c>
      <c r="D511" s="7">
        <v>519</v>
      </c>
      <c r="E511" s="7">
        <v>1139</v>
      </c>
      <c r="F511" s="7">
        <v>95</v>
      </c>
      <c r="G511" s="7">
        <v>1038</v>
      </c>
      <c r="H511" s="7">
        <v>586</v>
      </c>
    </row>
    <row r="512" spans="1:8" ht="18.75" x14ac:dyDescent="0.3">
      <c r="A512" s="34">
        <v>46051</v>
      </c>
      <c r="B512" s="7">
        <v>226</v>
      </c>
      <c r="C512" s="7">
        <v>812</v>
      </c>
      <c r="D512" s="7">
        <v>519</v>
      </c>
      <c r="E512" s="7">
        <v>1010</v>
      </c>
      <c r="F512" s="7">
        <v>69</v>
      </c>
      <c r="G512" s="7">
        <v>1038</v>
      </c>
      <c r="H512" s="7">
        <v>386</v>
      </c>
    </row>
    <row r="513" spans="1:8" ht="18.75" x14ac:dyDescent="0.3">
      <c r="A513" s="34">
        <v>46052</v>
      </c>
      <c r="B513" s="7">
        <v>285</v>
      </c>
      <c r="C513" s="7">
        <v>836</v>
      </c>
      <c r="D513" s="7">
        <v>336</v>
      </c>
      <c r="E513" s="7">
        <v>1082</v>
      </c>
      <c r="F513" s="7">
        <v>164</v>
      </c>
      <c r="G513" s="7">
        <v>1121</v>
      </c>
      <c r="H513" s="7">
        <v>554</v>
      </c>
    </row>
    <row r="514" spans="1:8" ht="18.75" x14ac:dyDescent="0.3">
      <c r="A514" s="34">
        <v>46055</v>
      </c>
      <c r="B514" s="7">
        <v>1062</v>
      </c>
      <c r="C514" s="7">
        <v>994</v>
      </c>
      <c r="D514" s="7">
        <v>596</v>
      </c>
      <c r="E514" s="7">
        <v>1107</v>
      </c>
      <c r="F514" s="7">
        <v>284</v>
      </c>
      <c r="G514" s="7">
        <v>2056</v>
      </c>
      <c r="H514" s="7">
        <v>1213</v>
      </c>
    </row>
    <row r="515" spans="1:8" ht="18.75" x14ac:dyDescent="0.3">
      <c r="A515" s="34">
        <v>46056</v>
      </c>
      <c r="B515" s="7">
        <v>1052</v>
      </c>
      <c r="C515" s="7">
        <v>1382</v>
      </c>
      <c r="D515" s="7">
        <v>606</v>
      </c>
      <c r="E515" s="7">
        <v>731</v>
      </c>
      <c r="F515" s="7">
        <v>238</v>
      </c>
      <c r="G515" s="7">
        <v>2434</v>
      </c>
      <c r="H515" s="7">
        <v>943</v>
      </c>
    </row>
    <row r="516" spans="1:8" ht="18.75" x14ac:dyDescent="0.3">
      <c r="A516" s="34">
        <v>46057</v>
      </c>
      <c r="B516" s="7">
        <v>866</v>
      </c>
      <c r="C516" s="7">
        <v>1926</v>
      </c>
      <c r="D516" s="7">
        <v>565</v>
      </c>
      <c r="E516" s="7">
        <v>898</v>
      </c>
      <c r="F516" s="7">
        <v>235</v>
      </c>
      <c r="G516" s="7">
        <v>2792</v>
      </c>
      <c r="H516" s="7">
        <v>1005</v>
      </c>
    </row>
    <row r="517" spans="1:8" ht="18.75" x14ac:dyDescent="0.3">
      <c r="A517" s="34">
        <v>46058</v>
      </c>
      <c r="B517" s="7">
        <v>691</v>
      </c>
      <c r="C517" s="7">
        <v>2263</v>
      </c>
      <c r="D517" s="7">
        <v>554</v>
      </c>
      <c r="E517" s="7">
        <v>798</v>
      </c>
      <c r="F517" s="7">
        <v>148</v>
      </c>
      <c r="G517" s="7">
        <v>2954</v>
      </c>
      <c r="H517" s="7">
        <v>711</v>
      </c>
    </row>
    <row r="518" spans="1:8" ht="18.75" x14ac:dyDescent="0.3">
      <c r="A518" s="34">
        <v>46059</v>
      </c>
      <c r="B518" s="7">
        <v>1023</v>
      </c>
      <c r="C518" s="7">
        <v>2358</v>
      </c>
      <c r="D518" s="7">
        <v>639</v>
      </c>
      <c r="E518" s="7">
        <v>608</v>
      </c>
      <c r="F518" s="7">
        <v>197</v>
      </c>
      <c r="G518" s="7">
        <v>3381</v>
      </c>
      <c r="H518" s="7">
        <v>690</v>
      </c>
    </row>
    <row r="519" spans="1:8" ht="18.75" x14ac:dyDescent="0.3">
      <c r="A519" s="34">
        <v>46062</v>
      </c>
      <c r="B519" s="7">
        <v>1266</v>
      </c>
      <c r="C519" s="7">
        <v>2247</v>
      </c>
      <c r="D519" s="7">
        <v>632</v>
      </c>
      <c r="E519" s="7">
        <v>768</v>
      </c>
      <c r="F519" s="7">
        <v>175</v>
      </c>
      <c r="G519" s="7">
        <v>3513</v>
      </c>
      <c r="H519" s="7">
        <v>885</v>
      </c>
    </row>
    <row r="520" spans="1:8" ht="18.75" x14ac:dyDescent="0.3">
      <c r="A520" s="34">
        <v>46063</v>
      </c>
      <c r="B520" s="7">
        <v>1111</v>
      </c>
      <c r="C520" s="7">
        <v>2534</v>
      </c>
      <c r="D520" s="7">
        <v>558</v>
      </c>
      <c r="E520" s="7">
        <v>611</v>
      </c>
      <c r="F520" s="7">
        <v>159</v>
      </c>
      <c r="G520" s="7">
        <v>3645</v>
      </c>
      <c r="H520" s="7">
        <v>691</v>
      </c>
    </row>
    <row r="521" spans="1:8" ht="18.75" x14ac:dyDescent="0.3">
      <c r="A521" s="34">
        <v>46064</v>
      </c>
      <c r="B521" s="7">
        <v>738</v>
      </c>
      <c r="C521" s="7">
        <v>2868</v>
      </c>
      <c r="D521" s="7">
        <v>649</v>
      </c>
      <c r="E521" s="7">
        <v>740</v>
      </c>
      <c r="F521" s="7">
        <v>223</v>
      </c>
      <c r="G521" s="7">
        <v>3606</v>
      </c>
      <c r="H521" s="7">
        <v>766</v>
      </c>
    </row>
    <row r="522" spans="1:8" ht="18" x14ac:dyDescent="0.25">
      <c r="A522" s="32"/>
    </row>
    <row r="523" spans="1:8" ht="18" x14ac:dyDescent="0.25">
      <c r="A523" s="32"/>
    </row>
    <row r="524" spans="1:8" ht="18" x14ac:dyDescent="0.25">
      <c r="A524" s="32"/>
    </row>
    <row r="525" spans="1:8" ht="18" x14ac:dyDescent="0.25">
      <c r="A525" s="32"/>
    </row>
    <row r="526" spans="1:8" ht="18" x14ac:dyDescent="0.25">
      <c r="A526" s="32"/>
    </row>
    <row r="527" spans="1:8" ht="18" x14ac:dyDescent="0.25">
      <c r="A527" s="32"/>
    </row>
    <row r="528" spans="1:8" ht="18" x14ac:dyDescent="0.25">
      <c r="A528" s="32"/>
    </row>
    <row r="529" spans="1:1" ht="18" x14ac:dyDescent="0.25">
      <c r="A529" s="32"/>
    </row>
    <row r="530" spans="1:1" ht="18" x14ac:dyDescent="0.25">
      <c r="A530" s="32"/>
    </row>
    <row r="531" spans="1:1" ht="18" x14ac:dyDescent="0.25">
      <c r="A531" s="32"/>
    </row>
    <row r="532" spans="1:1" ht="18" x14ac:dyDescent="0.25">
      <c r="A532" s="32"/>
    </row>
    <row r="533" spans="1:1" ht="18" x14ac:dyDescent="0.25">
      <c r="A533" s="32"/>
    </row>
    <row r="534" spans="1:1" ht="18" x14ac:dyDescent="0.25">
      <c r="A534" s="32"/>
    </row>
    <row r="535" spans="1:1" ht="18" x14ac:dyDescent="0.25">
      <c r="A535" s="32"/>
    </row>
    <row r="536" spans="1:1" ht="18" x14ac:dyDescent="0.25">
      <c r="A536" s="32"/>
    </row>
    <row r="537" spans="1:1" ht="18" x14ac:dyDescent="0.25">
      <c r="A537" s="32"/>
    </row>
    <row r="538" spans="1:1" ht="18" x14ac:dyDescent="0.25">
      <c r="A538" s="32"/>
    </row>
    <row r="539" spans="1:1" ht="18" x14ac:dyDescent="0.25">
      <c r="A539" s="32"/>
    </row>
    <row r="540" spans="1:1" ht="18" x14ac:dyDescent="0.25">
      <c r="A540" s="32"/>
    </row>
    <row r="541" spans="1:1" ht="18" x14ac:dyDescent="0.25">
      <c r="A541" s="32"/>
    </row>
    <row r="542" spans="1:1" ht="18" x14ac:dyDescent="0.25">
      <c r="A542" s="32"/>
    </row>
    <row r="543" spans="1:1" ht="18" x14ac:dyDescent="0.25">
      <c r="A543" s="32"/>
    </row>
    <row r="544" spans="1:1" ht="18" x14ac:dyDescent="0.25">
      <c r="A544" s="32"/>
    </row>
    <row r="545" spans="1:1" ht="18" x14ac:dyDescent="0.25">
      <c r="A545" s="32"/>
    </row>
    <row r="546" spans="1:1" ht="18" x14ac:dyDescent="0.25">
      <c r="A546" s="32"/>
    </row>
    <row r="547" spans="1:1" ht="18" x14ac:dyDescent="0.25">
      <c r="A547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45A5-11AC-4CE1-9BC2-E78A05C20028}">
  <dimension ref="A1:B357"/>
  <sheetViews>
    <sheetView topLeftCell="A12" workbookViewId="0">
      <selection activeCell="G13" sqref="G13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45658</v>
      </c>
      <c r="B1">
        <v>0</v>
      </c>
    </row>
    <row r="2" spans="1:2" x14ac:dyDescent="0.25">
      <c r="A2" s="2">
        <v>45659</v>
      </c>
      <c r="B2">
        <v>0</v>
      </c>
    </row>
    <row r="3" spans="1:2" ht="15.75" thickBot="1" x14ac:dyDescent="0.3">
      <c r="A3" s="2">
        <v>45660</v>
      </c>
      <c r="B3">
        <v>5</v>
      </c>
    </row>
    <row r="4" spans="1:2" ht="15.75" thickBot="1" x14ac:dyDescent="0.3">
      <c r="A4" s="3" t="s">
        <v>7</v>
      </c>
      <c r="B4">
        <v>5</v>
      </c>
    </row>
    <row r="5" spans="1:2" x14ac:dyDescent="0.25">
      <c r="A5" s="2">
        <v>45663</v>
      </c>
      <c r="B5">
        <v>0</v>
      </c>
    </row>
    <row r="6" spans="1:2" x14ac:dyDescent="0.25">
      <c r="A6" s="2">
        <v>45664</v>
      </c>
      <c r="B6">
        <v>0</v>
      </c>
    </row>
    <row r="7" spans="1:2" x14ac:dyDescent="0.25">
      <c r="A7" s="2">
        <v>45665</v>
      </c>
      <c r="B7">
        <v>3550</v>
      </c>
    </row>
    <row r="8" spans="1:2" x14ac:dyDescent="0.25">
      <c r="A8" s="2">
        <v>45666</v>
      </c>
      <c r="B8">
        <v>5139</v>
      </c>
    </row>
    <row r="9" spans="1:2" ht="15.75" thickBot="1" x14ac:dyDescent="0.3">
      <c r="A9" s="2">
        <v>45667</v>
      </c>
      <c r="B9">
        <v>4250</v>
      </c>
    </row>
    <row r="10" spans="1:2" ht="15.75" thickBot="1" x14ac:dyDescent="0.3">
      <c r="A10" s="3" t="s">
        <v>8</v>
      </c>
      <c r="B10">
        <v>12939</v>
      </c>
    </row>
    <row r="11" spans="1:2" x14ac:dyDescent="0.25">
      <c r="A11" s="2">
        <v>45670</v>
      </c>
      <c r="B11">
        <v>4223</v>
      </c>
    </row>
    <row r="12" spans="1:2" x14ac:dyDescent="0.25">
      <c r="A12" s="2">
        <v>45671</v>
      </c>
      <c r="B12">
        <v>4118</v>
      </c>
    </row>
    <row r="13" spans="1:2" x14ac:dyDescent="0.25">
      <c r="A13" s="2">
        <v>45672</v>
      </c>
      <c r="B13">
        <v>3917</v>
      </c>
    </row>
    <row r="14" spans="1:2" x14ac:dyDescent="0.25">
      <c r="A14" s="2">
        <v>45673</v>
      </c>
      <c r="B14">
        <v>0</v>
      </c>
    </row>
    <row r="15" spans="1:2" ht="15.75" thickBot="1" x14ac:dyDescent="0.3">
      <c r="A15" s="2">
        <v>45674</v>
      </c>
      <c r="B15">
        <v>4</v>
      </c>
    </row>
    <row r="16" spans="1:2" ht="15.75" thickBot="1" x14ac:dyDescent="0.3">
      <c r="A16" s="3" t="s">
        <v>9</v>
      </c>
      <c r="B16">
        <v>12262</v>
      </c>
    </row>
    <row r="17" spans="1:2" x14ac:dyDescent="0.25">
      <c r="A17" s="2">
        <v>45677</v>
      </c>
      <c r="B17">
        <v>0</v>
      </c>
    </row>
    <row r="18" spans="1:2" x14ac:dyDescent="0.25">
      <c r="A18" s="2">
        <v>45678</v>
      </c>
      <c r="B18">
        <v>0</v>
      </c>
    </row>
    <row r="19" spans="1:2" x14ac:dyDescent="0.25">
      <c r="A19" s="2">
        <v>45679</v>
      </c>
      <c r="B19">
        <v>0</v>
      </c>
    </row>
    <row r="20" spans="1:2" x14ac:dyDescent="0.25">
      <c r="A20" s="2">
        <v>45680</v>
      </c>
      <c r="B20">
        <v>0</v>
      </c>
    </row>
    <row r="21" spans="1:2" ht="15.75" thickBot="1" x14ac:dyDescent="0.3">
      <c r="A21" s="2">
        <v>45681</v>
      </c>
      <c r="B21">
        <v>6</v>
      </c>
    </row>
    <row r="22" spans="1:2" ht="15.75" thickBot="1" x14ac:dyDescent="0.3">
      <c r="A22" s="3" t="s">
        <v>10</v>
      </c>
      <c r="B22">
        <v>6</v>
      </c>
    </row>
    <row r="23" spans="1:2" x14ac:dyDescent="0.25">
      <c r="A23" s="2">
        <v>45684</v>
      </c>
      <c r="B23">
        <v>0</v>
      </c>
    </row>
    <row r="24" spans="1:2" x14ac:dyDescent="0.25">
      <c r="A24" s="2">
        <v>45685</v>
      </c>
      <c r="B24">
        <v>3484</v>
      </c>
    </row>
    <row r="25" spans="1:2" x14ac:dyDescent="0.25">
      <c r="A25" s="2">
        <v>45686</v>
      </c>
      <c r="B25">
        <v>2223</v>
      </c>
    </row>
    <row r="26" spans="1:2" x14ac:dyDescent="0.25">
      <c r="A26" s="2">
        <v>45687</v>
      </c>
      <c r="B26">
        <v>2398</v>
      </c>
    </row>
    <row r="27" spans="1:2" ht="15.75" thickBot="1" x14ac:dyDescent="0.3">
      <c r="A27" s="2">
        <v>45688</v>
      </c>
      <c r="B27">
        <v>2472</v>
      </c>
    </row>
    <row r="28" spans="1:2" ht="15.75" thickBot="1" x14ac:dyDescent="0.3">
      <c r="A28" s="3" t="s">
        <v>11</v>
      </c>
      <c r="B28">
        <v>10577</v>
      </c>
    </row>
    <row r="29" spans="1:2" x14ac:dyDescent="0.25">
      <c r="A29" s="2">
        <v>45691</v>
      </c>
      <c r="B29">
        <v>13</v>
      </c>
    </row>
    <row r="30" spans="1:2" x14ac:dyDescent="0.25">
      <c r="A30" s="2">
        <v>45692</v>
      </c>
      <c r="B30">
        <v>0</v>
      </c>
    </row>
    <row r="31" spans="1:2" x14ac:dyDescent="0.25">
      <c r="A31" s="2">
        <v>45693</v>
      </c>
      <c r="B31">
        <v>0</v>
      </c>
    </row>
    <row r="32" spans="1:2" x14ac:dyDescent="0.25">
      <c r="A32" s="2">
        <v>45694</v>
      </c>
      <c r="B32">
        <v>0</v>
      </c>
    </row>
    <row r="33" spans="1:2" ht="15.75" thickBot="1" x14ac:dyDescent="0.3">
      <c r="A33" s="2">
        <v>45695</v>
      </c>
      <c r="B33">
        <v>0</v>
      </c>
    </row>
    <row r="34" spans="1:2" ht="15.75" thickBot="1" x14ac:dyDescent="0.3">
      <c r="A34" s="3" t="s">
        <v>12</v>
      </c>
      <c r="B34">
        <v>13</v>
      </c>
    </row>
    <row r="35" spans="1:2" x14ac:dyDescent="0.25">
      <c r="A35" s="2">
        <v>45698</v>
      </c>
      <c r="B35">
        <v>0</v>
      </c>
    </row>
    <row r="36" spans="1:2" x14ac:dyDescent="0.25">
      <c r="A36" s="2">
        <v>45699</v>
      </c>
      <c r="B36">
        <v>0</v>
      </c>
    </row>
    <row r="37" spans="1:2" x14ac:dyDescent="0.25">
      <c r="A37" s="2">
        <v>45700</v>
      </c>
      <c r="B37">
        <v>0</v>
      </c>
    </row>
    <row r="38" spans="1:2" x14ac:dyDescent="0.25">
      <c r="A38" s="2">
        <v>45701</v>
      </c>
      <c r="B38">
        <v>0</v>
      </c>
    </row>
    <row r="39" spans="1:2" ht="15.75" thickBot="1" x14ac:dyDescent="0.3">
      <c r="A39" s="2">
        <v>45702</v>
      </c>
      <c r="B39">
        <v>6607</v>
      </c>
    </row>
    <row r="40" spans="1:2" ht="15.75" thickBot="1" x14ac:dyDescent="0.3">
      <c r="A40" s="3" t="s">
        <v>13</v>
      </c>
      <c r="B40">
        <v>6607</v>
      </c>
    </row>
    <row r="41" spans="1:2" x14ac:dyDescent="0.25">
      <c r="A41" s="2">
        <v>45705</v>
      </c>
      <c r="B41">
        <v>4005</v>
      </c>
    </row>
    <row r="42" spans="1:2" x14ac:dyDescent="0.25">
      <c r="A42" s="2">
        <v>45706</v>
      </c>
      <c r="B42">
        <v>5542</v>
      </c>
    </row>
    <row r="43" spans="1:2" x14ac:dyDescent="0.25">
      <c r="A43" s="2">
        <v>45707</v>
      </c>
      <c r="B43">
        <v>7019</v>
      </c>
    </row>
    <row r="44" spans="1:2" x14ac:dyDescent="0.25">
      <c r="A44" s="2">
        <v>45708</v>
      </c>
      <c r="B44">
        <v>0</v>
      </c>
    </row>
    <row r="45" spans="1:2" ht="15.75" thickBot="1" x14ac:dyDescent="0.3">
      <c r="A45" s="2">
        <v>45709</v>
      </c>
      <c r="B45">
        <v>0</v>
      </c>
    </row>
    <row r="46" spans="1:2" ht="15.75" thickBot="1" x14ac:dyDescent="0.3">
      <c r="A46" s="3" t="s">
        <v>14</v>
      </c>
      <c r="B46">
        <v>16566</v>
      </c>
    </row>
    <row r="47" spans="1:2" x14ac:dyDescent="0.25">
      <c r="A47" s="2">
        <v>45712</v>
      </c>
      <c r="B47">
        <v>0</v>
      </c>
    </row>
    <row r="48" spans="1:2" x14ac:dyDescent="0.25">
      <c r="A48" s="2">
        <v>45713</v>
      </c>
      <c r="B48">
        <v>0</v>
      </c>
    </row>
    <row r="49" spans="1:2" x14ac:dyDescent="0.25">
      <c r="A49" s="2">
        <v>45714</v>
      </c>
      <c r="B49">
        <v>0</v>
      </c>
    </row>
    <row r="50" spans="1:2" x14ac:dyDescent="0.25">
      <c r="A50" s="2">
        <v>45715</v>
      </c>
      <c r="B50">
        <v>0</v>
      </c>
    </row>
    <row r="51" spans="1:2" ht="15.75" thickBot="1" x14ac:dyDescent="0.3">
      <c r="A51" s="2">
        <v>45716</v>
      </c>
      <c r="B51">
        <v>0</v>
      </c>
    </row>
    <row r="52" spans="1:2" ht="15.75" thickBot="1" x14ac:dyDescent="0.3">
      <c r="A52" s="3" t="s">
        <v>15</v>
      </c>
      <c r="B52">
        <v>0</v>
      </c>
    </row>
    <row r="53" spans="1:2" x14ac:dyDescent="0.25">
      <c r="A53" s="2">
        <v>45719</v>
      </c>
      <c r="B53">
        <v>0</v>
      </c>
    </row>
    <row r="54" spans="1:2" x14ac:dyDescent="0.25">
      <c r="A54" s="2">
        <v>45720</v>
      </c>
      <c r="B54">
        <v>0</v>
      </c>
    </row>
    <row r="55" spans="1:2" x14ac:dyDescent="0.25">
      <c r="A55" s="2">
        <v>45721</v>
      </c>
      <c r="B55">
        <v>0</v>
      </c>
    </row>
    <row r="56" spans="1:2" x14ac:dyDescent="0.25">
      <c r="A56" s="2">
        <v>45722</v>
      </c>
      <c r="B56">
        <v>0</v>
      </c>
    </row>
    <row r="57" spans="1:2" ht="15.75" thickBot="1" x14ac:dyDescent="0.3">
      <c r="A57" s="2">
        <v>45723</v>
      </c>
      <c r="B57">
        <v>0</v>
      </c>
    </row>
    <row r="58" spans="1:2" ht="15.75" thickBot="1" x14ac:dyDescent="0.3">
      <c r="A58" s="3" t="s">
        <v>16</v>
      </c>
      <c r="B58">
        <v>0</v>
      </c>
    </row>
    <row r="59" spans="1:2" x14ac:dyDescent="0.25">
      <c r="A59" s="2">
        <v>45726</v>
      </c>
      <c r="B59">
        <v>0</v>
      </c>
    </row>
    <row r="60" spans="1:2" x14ac:dyDescent="0.25">
      <c r="A60" s="2">
        <v>45727</v>
      </c>
      <c r="B60">
        <v>0</v>
      </c>
    </row>
    <row r="61" spans="1:2" x14ac:dyDescent="0.25">
      <c r="A61" s="2">
        <v>45728</v>
      </c>
      <c r="B61">
        <v>4318</v>
      </c>
    </row>
    <row r="62" spans="1:2" x14ac:dyDescent="0.25">
      <c r="A62" s="2">
        <v>45729</v>
      </c>
      <c r="B62">
        <v>6497</v>
      </c>
    </row>
    <row r="63" spans="1:2" ht="15.75" thickBot="1" x14ac:dyDescent="0.3">
      <c r="A63" s="2">
        <v>45730</v>
      </c>
      <c r="B63">
        <v>2814</v>
      </c>
    </row>
    <row r="64" spans="1:2" ht="15.75" thickBot="1" x14ac:dyDescent="0.3">
      <c r="A64" s="3" t="s">
        <v>17</v>
      </c>
      <c r="B64">
        <v>13629</v>
      </c>
    </row>
    <row r="65" spans="1:2" x14ac:dyDescent="0.25">
      <c r="A65" s="2">
        <v>45733</v>
      </c>
      <c r="B65">
        <v>2336</v>
      </c>
    </row>
    <row r="66" spans="1:2" x14ac:dyDescent="0.25">
      <c r="A66" s="2">
        <v>45734</v>
      </c>
      <c r="B66">
        <v>2332</v>
      </c>
    </row>
    <row r="67" spans="1:2" x14ac:dyDescent="0.25">
      <c r="A67" s="2">
        <v>45735</v>
      </c>
      <c r="B67">
        <v>2032</v>
      </c>
    </row>
    <row r="68" spans="1:2" x14ac:dyDescent="0.25">
      <c r="A68" s="2">
        <v>45736</v>
      </c>
      <c r="B68">
        <v>2541</v>
      </c>
    </row>
    <row r="69" spans="1:2" ht="15.75" thickBot="1" x14ac:dyDescent="0.3">
      <c r="A69" s="2">
        <v>45737</v>
      </c>
      <c r="B69">
        <v>2463</v>
      </c>
    </row>
    <row r="70" spans="1:2" ht="15.75" thickBot="1" x14ac:dyDescent="0.3">
      <c r="A70" s="3" t="s">
        <v>18</v>
      </c>
      <c r="B70">
        <v>11704</v>
      </c>
    </row>
    <row r="71" spans="1:2" x14ac:dyDescent="0.25">
      <c r="A71" s="2">
        <v>45740</v>
      </c>
      <c r="B71">
        <v>3750</v>
      </c>
    </row>
    <row r="72" spans="1:2" x14ac:dyDescent="0.25">
      <c r="A72" s="2">
        <v>45741</v>
      </c>
      <c r="B72">
        <v>0</v>
      </c>
    </row>
    <row r="73" spans="1:2" x14ac:dyDescent="0.25">
      <c r="A73" s="2">
        <v>45742</v>
      </c>
      <c r="B73">
        <v>0</v>
      </c>
    </row>
    <row r="74" spans="1:2" x14ac:dyDescent="0.25">
      <c r="A74" s="2">
        <v>45743</v>
      </c>
      <c r="B74">
        <v>0</v>
      </c>
    </row>
    <row r="75" spans="1:2" ht="15.75" thickBot="1" x14ac:dyDescent="0.3">
      <c r="A75" s="2">
        <v>45744</v>
      </c>
      <c r="B75">
        <v>0</v>
      </c>
    </row>
    <row r="76" spans="1:2" ht="15.75" thickBot="1" x14ac:dyDescent="0.3">
      <c r="A76" s="3" t="s">
        <v>19</v>
      </c>
      <c r="B76">
        <v>3750</v>
      </c>
    </row>
    <row r="77" spans="1:2" x14ac:dyDescent="0.25">
      <c r="A77" s="2">
        <v>45747</v>
      </c>
      <c r="B77">
        <v>0</v>
      </c>
    </row>
    <row r="78" spans="1:2" x14ac:dyDescent="0.25">
      <c r="A78" s="2">
        <v>45748</v>
      </c>
      <c r="B78">
        <v>0</v>
      </c>
    </row>
    <row r="79" spans="1:2" x14ac:dyDescent="0.25">
      <c r="A79" s="2">
        <v>45749</v>
      </c>
      <c r="B79">
        <v>3177</v>
      </c>
    </row>
    <row r="80" spans="1:2" x14ac:dyDescent="0.25">
      <c r="A80" s="2">
        <v>45750</v>
      </c>
      <c r="B80">
        <v>4402</v>
      </c>
    </row>
    <row r="81" spans="1:2" ht="15.75" thickBot="1" x14ac:dyDescent="0.3">
      <c r="A81" s="2">
        <v>45751</v>
      </c>
      <c r="B81">
        <v>2</v>
      </c>
    </row>
    <row r="82" spans="1:2" ht="15.75" thickBot="1" x14ac:dyDescent="0.3">
      <c r="A82" s="3" t="s">
        <v>20</v>
      </c>
      <c r="B82">
        <v>7581</v>
      </c>
    </row>
    <row r="83" spans="1:2" x14ac:dyDescent="0.25">
      <c r="A83" s="2">
        <v>45754</v>
      </c>
      <c r="B83">
        <v>6498</v>
      </c>
    </row>
    <row r="84" spans="1:2" x14ac:dyDescent="0.25">
      <c r="A84" s="2">
        <v>45755</v>
      </c>
      <c r="B84">
        <v>3312</v>
      </c>
    </row>
    <row r="85" spans="1:2" x14ac:dyDescent="0.25">
      <c r="A85" s="2">
        <v>45756</v>
      </c>
      <c r="B85">
        <v>3031</v>
      </c>
    </row>
    <row r="86" spans="1:2" x14ac:dyDescent="0.25">
      <c r="A86" s="2">
        <v>45757</v>
      </c>
      <c r="B86">
        <v>0</v>
      </c>
    </row>
    <row r="87" spans="1:2" ht="15.75" thickBot="1" x14ac:dyDescent="0.3">
      <c r="A87" s="2">
        <v>45758</v>
      </c>
      <c r="B87">
        <v>18</v>
      </c>
    </row>
    <row r="88" spans="1:2" ht="15.75" thickBot="1" x14ac:dyDescent="0.3">
      <c r="A88" s="3" t="s">
        <v>21</v>
      </c>
      <c r="B88">
        <v>12859</v>
      </c>
    </row>
    <row r="89" spans="1:2" x14ac:dyDescent="0.25">
      <c r="A89" s="2">
        <v>45761</v>
      </c>
      <c r="B89">
        <v>0</v>
      </c>
    </row>
    <row r="90" spans="1:2" x14ac:dyDescent="0.25">
      <c r="A90" s="2">
        <v>45762</v>
      </c>
      <c r="B90">
        <v>0</v>
      </c>
    </row>
    <row r="91" spans="1:2" x14ac:dyDescent="0.25">
      <c r="A91" s="2">
        <v>45763</v>
      </c>
      <c r="B91">
        <v>0</v>
      </c>
    </row>
    <row r="92" spans="1:2" x14ac:dyDescent="0.25">
      <c r="A92" s="2">
        <v>45764</v>
      </c>
      <c r="B92">
        <v>0</v>
      </c>
    </row>
    <row r="93" spans="1:2" ht="15.75" thickBot="1" x14ac:dyDescent="0.3">
      <c r="A93" s="1">
        <v>45765</v>
      </c>
      <c r="B93">
        <v>0</v>
      </c>
    </row>
    <row r="94" spans="1:2" ht="15.75" thickBot="1" x14ac:dyDescent="0.3">
      <c r="A94" s="3" t="s">
        <v>22</v>
      </c>
      <c r="B94">
        <v>0</v>
      </c>
    </row>
    <row r="95" spans="1:2" x14ac:dyDescent="0.25">
      <c r="A95" s="1">
        <v>45768</v>
      </c>
      <c r="B95">
        <v>0</v>
      </c>
    </row>
    <row r="96" spans="1:2" x14ac:dyDescent="0.25">
      <c r="A96" s="2">
        <v>45769</v>
      </c>
      <c r="B96">
        <v>0</v>
      </c>
    </row>
    <row r="97" spans="1:2" x14ac:dyDescent="0.25">
      <c r="A97" s="2">
        <v>45770</v>
      </c>
      <c r="B97">
        <v>0</v>
      </c>
    </row>
    <row r="98" spans="1:2" x14ac:dyDescent="0.25">
      <c r="A98" s="2">
        <v>45771</v>
      </c>
      <c r="B98">
        <v>2738</v>
      </c>
    </row>
    <row r="99" spans="1:2" ht="15.75" thickBot="1" x14ac:dyDescent="0.3">
      <c r="A99" s="2">
        <v>45772</v>
      </c>
      <c r="B99">
        <v>3481</v>
      </c>
    </row>
    <row r="100" spans="1:2" ht="15.75" thickBot="1" x14ac:dyDescent="0.3">
      <c r="A100" s="3" t="s">
        <v>23</v>
      </c>
      <c r="B100">
        <v>6219</v>
      </c>
    </row>
    <row r="101" spans="1:2" x14ac:dyDescent="0.25">
      <c r="A101" s="2">
        <v>45775</v>
      </c>
      <c r="B101">
        <v>3584</v>
      </c>
    </row>
    <row r="102" spans="1:2" x14ac:dyDescent="0.25">
      <c r="A102" s="2">
        <v>45776</v>
      </c>
      <c r="B102">
        <v>3911</v>
      </c>
    </row>
    <row r="103" spans="1:2" x14ac:dyDescent="0.25">
      <c r="A103" s="2">
        <v>45777</v>
      </c>
      <c r="B103">
        <v>4111</v>
      </c>
    </row>
    <row r="104" spans="1:2" x14ac:dyDescent="0.25">
      <c r="A104" s="1">
        <v>45778</v>
      </c>
      <c r="B104">
        <v>0</v>
      </c>
    </row>
    <row r="105" spans="1:2" ht="15.75" thickBot="1" x14ac:dyDescent="0.3">
      <c r="A105" s="4">
        <v>45779</v>
      </c>
      <c r="B105">
        <v>0</v>
      </c>
    </row>
    <row r="106" spans="1:2" ht="15.75" thickBot="1" x14ac:dyDescent="0.3">
      <c r="A106" s="3" t="s">
        <v>24</v>
      </c>
      <c r="B106">
        <v>11606</v>
      </c>
    </row>
    <row r="107" spans="1:2" x14ac:dyDescent="0.25">
      <c r="A107" s="2">
        <v>45782</v>
      </c>
      <c r="B107">
        <v>0</v>
      </c>
    </row>
    <row r="108" spans="1:2" x14ac:dyDescent="0.25">
      <c r="A108" s="2">
        <v>45783</v>
      </c>
      <c r="B108">
        <v>2</v>
      </c>
    </row>
    <row r="109" spans="1:2" x14ac:dyDescent="0.25">
      <c r="A109" s="2">
        <v>45784</v>
      </c>
      <c r="B109">
        <v>0</v>
      </c>
    </row>
    <row r="110" spans="1:2" x14ac:dyDescent="0.25">
      <c r="A110" s="2">
        <v>45785</v>
      </c>
      <c r="B110">
        <v>0</v>
      </c>
    </row>
    <row r="111" spans="1:2" ht="15.75" thickBot="1" x14ac:dyDescent="0.3">
      <c r="A111" s="2">
        <v>45786</v>
      </c>
      <c r="B111">
        <v>0</v>
      </c>
    </row>
    <row r="112" spans="1:2" ht="15.75" thickBot="1" x14ac:dyDescent="0.3">
      <c r="A112" s="3" t="s">
        <v>25</v>
      </c>
      <c r="B112">
        <v>2</v>
      </c>
    </row>
    <row r="113" spans="1:2" x14ac:dyDescent="0.25">
      <c r="A113" s="2">
        <v>45789</v>
      </c>
      <c r="B113">
        <v>0</v>
      </c>
    </row>
    <row r="114" spans="1:2" x14ac:dyDescent="0.25">
      <c r="A114" s="2">
        <v>45790</v>
      </c>
      <c r="B114">
        <v>0</v>
      </c>
    </row>
    <row r="115" spans="1:2" x14ac:dyDescent="0.25">
      <c r="A115" s="2">
        <v>45791</v>
      </c>
      <c r="B115">
        <v>2744</v>
      </c>
    </row>
    <row r="116" spans="1:2" x14ac:dyDescent="0.25">
      <c r="A116" s="2">
        <v>45792</v>
      </c>
      <c r="B116">
        <v>4235</v>
      </c>
    </row>
    <row r="117" spans="1:2" x14ac:dyDescent="0.25">
      <c r="A117" s="2">
        <v>45793</v>
      </c>
      <c r="B117">
        <v>2647</v>
      </c>
    </row>
    <row r="118" spans="1:2" ht="15.75" thickBot="1" x14ac:dyDescent="0.3">
      <c r="A118" s="2">
        <v>45794</v>
      </c>
      <c r="B118">
        <v>0</v>
      </c>
    </row>
    <row r="119" spans="1:2" ht="15.75" thickBot="1" x14ac:dyDescent="0.3">
      <c r="A119" s="3" t="s">
        <v>26</v>
      </c>
      <c r="B119">
        <v>9626</v>
      </c>
    </row>
    <row r="120" spans="1:2" x14ac:dyDescent="0.25">
      <c r="A120" s="2">
        <v>45796</v>
      </c>
      <c r="B120">
        <v>5038</v>
      </c>
    </row>
    <row r="121" spans="1:2" x14ac:dyDescent="0.25">
      <c r="A121" s="2">
        <v>45797</v>
      </c>
      <c r="B121">
        <v>2981</v>
      </c>
    </row>
    <row r="122" spans="1:2" x14ac:dyDescent="0.25">
      <c r="A122" s="2">
        <v>45798</v>
      </c>
      <c r="B122">
        <v>2888</v>
      </c>
    </row>
    <row r="123" spans="1:2" x14ac:dyDescent="0.25">
      <c r="A123" s="2">
        <v>45799</v>
      </c>
      <c r="B123">
        <v>2</v>
      </c>
    </row>
    <row r="124" spans="1:2" ht="15.75" thickBot="1" x14ac:dyDescent="0.3">
      <c r="A124" s="2">
        <v>45800</v>
      </c>
      <c r="B124">
        <v>15</v>
      </c>
    </row>
    <row r="125" spans="1:2" ht="15.75" thickBot="1" x14ac:dyDescent="0.3">
      <c r="A125" s="3" t="s">
        <v>27</v>
      </c>
      <c r="B125">
        <v>10924</v>
      </c>
    </row>
    <row r="126" spans="1:2" x14ac:dyDescent="0.25">
      <c r="A126" s="2">
        <v>45803</v>
      </c>
      <c r="B126">
        <v>0</v>
      </c>
    </row>
    <row r="127" spans="1:2" x14ac:dyDescent="0.25">
      <c r="A127" s="2">
        <v>45804</v>
      </c>
      <c r="B127">
        <v>1</v>
      </c>
    </row>
    <row r="128" spans="1:2" x14ac:dyDescent="0.25">
      <c r="A128" s="2">
        <v>45805</v>
      </c>
      <c r="B128">
        <v>0</v>
      </c>
    </row>
    <row r="129" spans="1:2" x14ac:dyDescent="0.25">
      <c r="A129" s="2">
        <v>45806</v>
      </c>
      <c r="B129">
        <v>0</v>
      </c>
    </row>
    <row r="130" spans="1:2" ht="15.75" thickBot="1" x14ac:dyDescent="0.3">
      <c r="A130" s="2">
        <v>45807</v>
      </c>
      <c r="B130">
        <v>0</v>
      </c>
    </row>
    <row r="131" spans="1:2" ht="15.75" thickBot="1" x14ac:dyDescent="0.3">
      <c r="A131" s="3" t="s">
        <v>28</v>
      </c>
      <c r="B131">
        <v>1</v>
      </c>
    </row>
    <row r="132" spans="1:2" x14ac:dyDescent="0.25">
      <c r="A132" s="2">
        <v>45810</v>
      </c>
      <c r="B132">
        <v>0</v>
      </c>
    </row>
    <row r="133" spans="1:2" x14ac:dyDescent="0.25">
      <c r="A133" s="2">
        <v>45811</v>
      </c>
      <c r="B133">
        <v>0</v>
      </c>
    </row>
    <row r="134" spans="1:2" x14ac:dyDescent="0.25">
      <c r="A134" s="2">
        <v>45812</v>
      </c>
      <c r="B134">
        <v>2742</v>
      </c>
    </row>
    <row r="135" spans="1:2" x14ac:dyDescent="0.25">
      <c r="A135" s="2">
        <v>45813</v>
      </c>
      <c r="B135">
        <v>0</v>
      </c>
    </row>
    <row r="136" spans="1:2" ht="15.75" thickBot="1" x14ac:dyDescent="0.3">
      <c r="A136" s="2">
        <v>45814</v>
      </c>
      <c r="B136">
        <v>2463</v>
      </c>
    </row>
    <row r="137" spans="1:2" ht="15.75" thickBot="1" x14ac:dyDescent="0.3">
      <c r="A137" s="3" t="s">
        <v>29</v>
      </c>
      <c r="B137">
        <v>5205</v>
      </c>
    </row>
    <row r="138" spans="1:2" x14ac:dyDescent="0.25">
      <c r="A138" s="1">
        <v>45817</v>
      </c>
      <c r="B138">
        <v>0</v>
      </c>
    </row>
    <row r="139" spans="1:2" x14ac:dyDescent="0.25">
      <c r="A139" s="2">
        <v>45818</v>
      </c>
      <c r="B139">
        <v>2494</v>
      </c>
    </row>
    <row r="140" spans="1:2" x14ac:dyDescent="0.25">
      <c r="A140" s="2">
        <v>45819</v>
      </c>
      <c r="B140">
        <v>2673</v>
      </c>
    </row>
    <row r="141" spans="1:2" x14ac:dyDescent="0.25">
      <c r="A141" s="2">
        <v>45820</v>
      </c>
      <c r="B141">
        <v>2195</v>
      </c>
    </row>
    <row r="142" spans="1:2" ht="15.75" thickBot="1" x14ac:dyDescent="0.3">
      <c r="A142" s="2">
        <v>45821</v>
      </c>
      <c r="B142">
        <v>2648</v>
      </c>
    </row>
    <row r="143" spans="1:2" ht="15.75" thickBot="1" x14ac:dyDescent="0.3">
      <c r="A143" s="3" t="s">
        <v>30</v>
      </c>
      <c r="B143">
        <v>10010</v>
      </c>
    </row>
    <row r="144" spans="1:2" x14ac:dyDescent="0.25">
      <c r="A144" s="2">
        <v>45824</v>
      </c>
      <c r="B144">
        <v>0</v>
      </c>
    </row>
    <row r="145" spans="1:2" x14ac:dyDescent="0.25">
      <c r="A145" s="2">
        <v>45825</v>
      </c>
      <c r="B145">
        <v>71</v>
      </c>
    </row>
    <row r="146" spans="1:2" x14ac:dyDescent="0.25">
      <c r="A146" s="2">
        <v>45826</v>
      </c>
      <c r="B146">
        <v>0</v>
      </c>
    </row>
    <row r="147" spans="1:2" x14ac:dyDescent="0.25">
      <c r="A147" s="2">
        <v>45827</v>
      </c>
      <c r="B147">
        <v>1</v>
      </c>
    </row>
    <row r="148" spans="1:2" ht="15.75" thickBot="1" x14ac:dyDescent="0.3">
      <c r="A148" s="2">
        <v>45828</v>
      </c>
      <c r="B148">
        <v>0</v>
      </c>
    </row>
    <row r="149" spans="1:2" ht="15.75" thickBot="1" x14ac:dyDescent="0.3">
      <c r="A149" s="3" t="s">
        <v>31</v>
      </c>
      <c r="B149">
        <v>72</v>
      </c>
    </row>
    <row r="150" spans="1:2" x14ac:dyDescent="0.25">
      <c r="A150" s="2">
        <v>45831</v>
      </c>
      <c r="B150">
        <v>3460</v>
      </c>
    </row>
    <row r="151" spans="1:2" x14ac:dyDescent="0.25">
      <c r="A151" s="2">
        <v>45832</v>
      </c>
      <c r="B151">
        <v>0</v>
      </c>
    </row>
    <row r="152" spans="1:2" x14ac:dyDescent="0.25">
      <c r="A152" s="2">
        <v>45833</v>
      </c>
      <c r="B152">
        <v>0</v>
      </c>
    </row>
    <row r="153" spans="1:2" x14ac:dyDescent="0.25">
      <c r="A153" s="2">
        <v>45834</v>
      </c>
      <c r="B153">
        <v>2792</v>
      </c>
    </row>
    <row r="154" spans="1:2" ht="15.75" thickBot="1" x14ac:dyDescent="0.3">
      <c r="A154" s="2">
        <v>45835</v>
      </c>
      <c r="B154">
        <v>3949</v>
      </c>
    </row>
    <row r="155" spans="1:2" ht="15.75" thickBot="1" x14ac:dyDescent="0.3">
      <c r="A155" s="3" t="s">
        <v>32</v>
      </c>
      <c r="B155">
        <v>10201</v>
      </c>
    </row>
    <row r="156" spans="1:2" x14ac:dyDescent="0.25">
      <c r="A156" s="2">
        <v>45838</v>
      </c>
      <c r="B156">
        <v>2821</v>
      </c>
    </row>
    <row r="157" spans="1:2" x14ac:dyDescent="0.25">
      <c r="A157" s="2">
        <v>45839</v>
      </c>
      <c r="B157">
        <v>2453</v>
      </c>
    </row>
    <row r="158" spans="1:2" x14ac:dyDescent="0.25">
      <c r="A158" s="2">
        <v>45840</v>
      </c>
      <c r="B158">
        <v>2427</v>
      </c>
    </row>
    <row r="159" spans="1:2" x14ac:dyDescent="0.25">
      <c r="A159" s="2">
        <v>45841</v>
      </c>
      <c r="B159">
        <v>2600</v>
      </c>
    </row>
    <row r="160" spans="1:2" ht="15.75" thickBot="1" x14ac:dyDescent="0.3">
      <c r="A160" s="2">
        <v>45842</v>
      </c>
      <c r="B160">
        <v>3155</v>
      </c>
    </row>
    <row r="161" spans="1:2" ht="15.75" thickBot="1" x14ac:dyDescent="0.3">
      <c r="A161" s="3" t="s">
        <v>33</v>
      </c>
      <c r="B161">
        <v>13456</v>
      </c>
    </row>
    <row r="162" spans="1:2" x14ac:dyDescent="0.25">
      <c r="A162" s="2">
        <v>45845</v>
      </c>
      <c r="B162">
        <v>21</v>
      </c>
    </row>
    <row r="163" spans="1:2" x14ac:dyDescent="0.25">
      <c r="A163" s="2">
        <v>45846</v>
      </c>
      <c r="B163">
        <v>0</v>
      </c>
    </row>
    <row r="164" spans="1:2" x14ac:dyDescent="0.25">
      <c r="A164" s="2">
        <v>45847</v>
      </c>
      <c r="B164">
        <v>0</v>
      </c>
    </row>
    <row r="165" spans="1:2" x14ac:dyDescent="0.25">
      <c r="A165" s="2">
        <v>45848</v>
      </c>
      <c r="B165">
        <v>0</v>
      </c>
    </row>
    <row r="166" spans="1:2" ht="15.75" thickBot="1" x14ac:dyDescent="0.3">
      <c r="A166" s="2">
        <v>45849</v>
      </c>
      <c r="B166">
        <v>0</v>
      </c>
    </row>
    <row r="167" spans="1:2" ht="15.75" thickBot="1" x14ac:dyDescent="0.3">
      <c r="A167" s="3" t="s">
        <v>34</v>
      </c>
      <c r="B167">
        <v>21</v>
      </c>
    </row>
    <row r="168" spans="1:2" x14ac:dyDescent="0.25">
      <c r="A168" s="2">
        <v>45852</v>
      </c>
      <c r="B168">
        <v>1</v>
      </c>
    </row>
    <row r="169" spans="1:2" x14ac:dyDescent="0.25">
      <c r="A169" s="2">
        <v>45853</v>
      </c>
      <c r="B169">
        <v>0</v>
      </c>
    </row>
    <row r="170" spans="1:2" x14ac:dyDescent="0.25">
      <c r="A170" s="2">
        <v>45854</v>
      </c>
      <c r="B170">
        <v>0</v>
      </c>
    </row>
    <row r="171" spans="1:2" x14ac:dyDescent="0.25">
      <c r="A171" s="2">
        <v>45855</v>
      </c>
      <c r="B171">
        <v>0</v>
      </c>
    </row>
    <row r="172" spans="1:2" ht="15.75" thickBot="1" x14ac:dyDescent="0.3">
      <c r="A172" s="2">
        <v>45856</v>
      </c>
      <c r="B172">
        <v>0</v>
      </c>
    </row>
    <row r="173" spans="1:2" ht="15.75" thickBot="1" x14ac:dyDescent="0.3">
      <c r="A173" s="3" t="s">
        <v>35</v>
      </c>
      <c r="B173">
        <v>1</v>
      </c>
    </row>
    <row r="174" spans="1:2" x14ac:dyDescent="0.25">
      <c r="A174" s="2">
        <v>45859</v>
      </c>
      <c r="B174">
        <v>0</v>
      </c>
    </row>
    <row r="175" spans="1:2" x14ac:dyDescent="0.25">
      <c r="A175" s="2">
        <v>45860</v>
      </c>
      <c r="B175">
        <v>2010</v>
      </c>
    </row>
    <row r="176" spans="1:2" x14ac:dyDescent="0.25">
      <c r="A176" s="2">
        <v>45861</v>
      </c>
      <c r="B176">
        <v>2690</v>
      </c>
    </row>
    <row r="177" spans="1:2" x14ac:dyDescent="0.25">
      <c r="A177" s="2">
        <v>45862</v>
      </c>
      <c r="B177">
        <v>1</v>
      </c>
    </row>
    <row r="178" spans="1:2" ht="15.75" thickBot="1" x14ac:dyDescent="0.3">
      <c r="A178" s="2">
        <v>45863</v>
      </c>
      <c r="B178">
        <v>0</v>
      </c>
    </row>
    <row r="179" spans="1:2" ht="15.75" thickBot="1" x14ac:dyDescent="0.3">
      <c r="A179" s="3" t="s">
        <v>36</v>
      </c>
      <c r="B179">
        <v>4701</v>
      </c>
    </row>
    <row r="180" spans="1:2" x14ac:dyDescent="0.25">
      <c r="A180" s="2">
        <v>45866</v>
      </c>
      <c r="B180">
        <v>0</v>
      </c>
    </row>
    <row r="181" spans="1:2" x14ac:dyDescent="0.25">
      <c r="A181" s="2">
        <v>45867</v>
      </c>
      <c r="B181">
        <v>3025</v>
      </c>
    </row>
    <row r="182" spans="1:2" x14ac:dyDescent="0.25">
      <c r="A182" s="2">
        <v>45868</v>
      </c>
      <c r="B182">
        <v>4888</v>
      </c>
    </row>
    <row r="183" spans="1:2" x14ac:dyDescent="0.25">
      <c r="A183" s="2">
        <v>45869</v>
      </c>
      <c r="B183">
        <v>2386</v>
      </c>
    </row>
    <row r="184" spans="1:2" ht="15.75" thickBot="1" x14ac:dyDescent="0.3">
      <c r="A184" s="2">
        <v>45870</v>
      </c>
      <c r="B184">
        <v>0</v>
      </c>
    </row>
    <row r="185" spans="1:2" ht="15.75" thickBot="1" x14ac:dyDescent="0.3">
      <c r="A185" s="3" t="s">
        <v>37</v>
      </c>
      <c r="B185">
        <v>10299</v>
      </c>
    </row>
    <row r="186" spans="1:2" x14ac:dyDescent="0.25">
      <c r="A186" s="2">
        <v>45873</v>
      </c>
      <c r="B186">
        <v>4828</v>
      </c>
    </row>
    <row r="187" spans="1:2" x14ac:dyDescent="0.25">
      <c r="A187" s="2">
        <v>45874</v>
      </c>
      <c r="B187">
        <v>2276</v>
      </c>
    </row>
    <row r="188" spans="1:2" x14ac:dyDescent="0.25">
      <c r="A188" s="2">
        <v>45875</v>
      </c>
      <c r="B188">
        <v>2548</v>
      </c>
    </row>
    <row r="189" spans="1:2" x14ac:dyDescent="0.25">
      <c r="A189" s="2">
        <v>45876</v>
      </c>
      <c r="B189">
        <v>2488</v>
      </c>
    </row>
    <row r="190" spans="1:2" ht="15.75" thickBot="1" x14ac:dyDescent="0.3">
      <c r="A190" s="2">
        <v>45877</v>
      </c>
      <c r="B190">
        <v>2555</v>
      </c>
    </row>
    <row r="191" spans="1:2" ht="15.75" thickBot="1" x14ac:dyDescent="0.3">
      <c r="A191" s="3" t="s">
        <v>38</v>
      </c>
      <c r="B191">
        <v>14695</v>
      </c>
    </row>
    <row r="192" spans="1:2" x14ac:dyDescent="0.25">
      <c r="A192" s="2">
        <v>45880</v>
      </c>
      <c r="B192">
        <v>2675</v>
      </c>
    </row>
    <row r="193" spans="1:2" x14ac:dyDescent="0.25">
      <c r="A193" s="2">
        <v>45881</v>
      </c>
      <c r="B193">
        <v>0</v>
      </c>
    </row>
    <row r="194" spans="1:2" x14ac:dyDescent="0.25">
      <c r="A194" s="2">
        <v>45882</v>
      </c>
      <c r="B194">
        <v>5</v>
      </c>
    </row>
    <row r="195" spans="1:2" x14ac:dyDescent="0.25">
      <c r="A195" s="2">
        <v>45883</v>
      </c>
      <c r="B195">
        <v>0</v>
      </c>
    </row>
    <row r="196" spans="1:2" ht="15.75" thickBot="1" x14ac:dyDescent="0.3">
      <c r="A196" s="2">
        <v>45884</v>
      </c>
      <c r="B196">
        <v>0</v>
      </c>
    </row>
    <row r="197" spans="1:2" ht="15.75" thickBot="1" x14ac:dyDescent="0.3">
      <c r="A197" s="3" t="s">
        <v>39</v>
      </c>
      <c r="B197">
        <v>2680</v>
      </c>
    </row>
    <row r="198" spans="1:2" x14ac:dyDescent="0.25">
      <c r="A198" s="2">
        <v>45887</v>
      </c>
      <c r="B198">
        <v>0</v>
      </c>
    </row>
    <row r="199" spans="1:2" x14ac:dyDescent="0.25">
      <c r="A199" s="2">
        <v>45888</v>
      </c>
      <c r="B199">
        <v>2</v>
      </c>
    </row>
    <row r="200" spans="1:2" x14ac:dyDescent="0.25">
      <c r="A200" s="1">
        <v>45889</v>
      </c>
      <c r="B200">
        <v>0</v>
      </c>
    </row>
    <row r="201" spans="1:2" x14ac:dyDescent="0.25">
      <c r="A201" s="2">
        <v>45890</v>
      </c>
      <c r="B201">
        <v>2205</v>
      </c>
    </row>
    <row r="202" spans="1:2" ht="15.75" thickBot="1" x14ac:dyDescent="0.3">
      <c r="A202" s="2">
        <v>45891</v>
      </c>
      <c r="B202">
        <v>3503</v>
      </c>
    </row>
    <row r="203" spans="1:2" ht="15.75" thickBot="1" x14ac:dyDescent="0.3">
      <c r="A203" s="3" t="s">
        <v>40</v>
      </c>
      <c r="B203">
        <v>5710</v>
      </c>
    </row>
    <row r="204" spans="1:2" x14ac:dyDescent="0.25">
      <c r="A204" s="2">
        <v>45894</v>
      </c>
      <c r="B204">
        <v>2354</v>
      </c>
    </row>
    <row r="205" spans="1:2" x14ac:dyDescent="0.25">
      <c r="A205" s="2">
        <v>45895</v>
      </c>
      <c r="B205">
        <v>2640</v>
      </c>
    </row>
    <row r="206" spans="1:2" x14ac:dyDescent="0.25">
      <c r="A206" s="2">
        <v>45896</v>
      </c>
      <c r="B206">
        <v>2873</v>
      </c>
    </row>
    <row r="207" spans="1:2" x14ac:dyDescent="0.25">
      <c r="A207" s="2">
        <v>45897</v>
      </c>
      <c r="B207">
        <v>2591</v>
      </c>
    </row>
    <row r="208" spans="1:2" ht="15.75" thickBot="1" x14ac:dyDescent="0.3">
      <c r="A208" s="2">
        <v>45898</v>
      </c>
      <c r="B208">
        <v>1</v>
      </c>
    </row>
    <row r="209" spans="1:2" ht="15.75" thickBot="1" x14ac:dyDescent="0.3">
      <c r="A209" s="3" t="s">
        <v>41</v>
      </c>
      <c r="B209">
        <v>10459</v>
      </c>
    </row>
    <row r="210" spans="1:2" x14ac:dyDescent="0.25">
      <c r="A210" s="2">
        <v>45901</v>
      </c>
      <c r="B210">
        <v>0</v>
      </c>
    </row>
    <row r="211" spans="1:2" x14ac:dyDescent="0.25">
      <c r="A211" s="2">
        <v>45902</v>
      </c>
      <c r="B211">
        <v>0</v>
      </c>
    </row>
    <row r="212" spans="1:2" x14ac:dyDescent="0.25">
      <c r="A212" s="2">
        <v>45903</v>
      </c>
      <c r="B212">
        <v>2</v>
      </c>
    </row>
    <row r="213" spans="1:2" x14ac:dyDescent="0.25">
      <c r="A213" s="2">
        <v>45904</v>
      </c>
      <c r="B213">
        <v>0</v>
      </c>
    </row>
    <row r="214" spans="1:2" ht="15.75" thickBot="1" x14ac:dyDescent="0.3">
      <c r="A214" s="2">
        <v>45905</v>
      </c>
      <c r="B214">
        <v>0</v>
      </c>
    </row>
    <row r="215" spans="1:2" ht="15.75" thickBot="1" x14ac:dyDescent="0.3">
      <c r="A215" s="3" t="s">
        <v>42</v>
      </c>
      <c r="B215">
        <v>2</v>
      </c>
    </row>
    <row r="216" spans="1:2" x14ac:dyDescent="0.25">
      <c r="A216" s="2">
        <v>45908</v>
      </c>
      <c r="B216">
        <v>0</v>
      </c>
    </row>
    <row r="217" spans="1:2" x14ac:dyDescent="0.25">
      <c r="A217" s="2">
        <v>45909</v>
      </c>
      <c r="B217">
        <v>0</v>
      </c>
    </row>
    <row r="218" spans="1:2" x14ac:dyDescent="0.25">
      <c r="A218" s="2">
        <v>45910</v>
      </c>
      <c r="B218">
        <v>0</v>
      </c>
    </row>
    <row r="219" spans="1:2" x14ac:dyDescent="0.25">
      <c r="A219" s="2">
        <v>45911</v>
      </c>
      <c r="B219">
        <v>1493</v>
      </c>
    </row>
    <row r="220" spans="1:2" ht="15.75" thickBot="1" x14ac:dyDescent="0.3">
      <c r="A220" s="2">
        <v>45912</v>
      </c>
      <c r="B220">
        <v>2236</v>
      </c>
    </row>
    <row r="221" spans="1:2" ht="15.75" thickBot="1" x14ac:dyDescent="0.3">
      <c r="A221" s="3" t="s">
        <v>43</v>
      </c>
      <c r="B221">
        <v>3729</v>
      </c>
    </row>
    <row r="222" spans="1:2" x14ac:dyDescent="0.25">
      <c r="A222" s="2">
        <v>45915</v>
      </c>
      <c r="B222">
        <v>2591</v>
      </c>
    </row>
    <row r="223" spans="1:2" x14ac:dyDescent="0.25">
      <c r="A223" s="2">
        <v>45916</v>
      </c>
      <c r="B223">
        <v>2969</v>
      </c>
    </row>
    <row r="224" spans="1:2" x14ac:dyDescent="0.25">
      <c r="A224" s="2">
        <v>45917</v>
      </c>
      <c r="B224">
        <v>0</v>
      </c>
    </row>
    <row r="225" spans="1:2" x14ac:dyDescent="0.25">
      <c r="A225" s="2">
        <v>45918</v>
      </c>
      <c r="B225">
        <v>2861</v>
      </c>
    </row>
    <row r="226" spans="1:2" ht="15.75" thickBot="1" x14ac:dyDescent="0.3">
      <c r="A226" s="2">
        <v>45919</v>
      </c>
      <c r="B226">
        <v>0</v>
      </c>
    </row>
    <row r="227" spans="1:2" ht="15.75" thickBot="1" x14ac:dyDescent="0.3">
      <c r="A227" s="3" t="s">
        <v>44</v>
      </c>
      <c r="B227">
        <v>8421</v>
      </c>
    </row>
    <row r="228" spans="1:2" x14ac:dyDescent="0.25">
      <c r="A228" s="2">
        <v>45922</v>
      </c>
      <c r="B228">
        <v>0</v>
      </c>
    </row>
    <row r="229" spans="1:2" x14ac:dyDescent="0.25">
      <c r="A229" s="2">
        <v>45923</v>
      </c>
      <c r="B229">
        <v>0</v>
      </c>
    </row>
    <row r="230" spans="1:2" x14ac:dyDescent="0.25">
      <c r="A230" s="2">
        <v>45924</v>
      </c>
      <c r="B230">
        <v>2907</v>
      </c>
    </row>
    <row r="231" spans="1:2" x14ac:dyDescent="0.25">
      <c r="A231" s="2">
        <v>45925</v>
      </c>
      <c r="B231">
        <v>5235</v>
      </c>
    </row>
    <row r="232" spans="1:2" ht="15.75" thickBot="1" x14ac:dyDescent="0.3">
      <c r="A232" s="2">
        <v>45926</v>
      </c>
      <c r="B232">
        <v>2167</v>
      </c>
    </row>
    <row r="233" spans="1:2" ht="15.75" thickBot="1" x14ac:dyDescent="0.3">
      <c r="A233" s="3" t="s">
        <v>45</v>
      </c>
      <c r="B233">
        <v>10309</v>
      </c>
    </row>
    <row r="234" spans="1:2" x14ac:dyDescent="0.25">
      <c r="A234" s="2">
        <v>45929</v>
      </c>
      <c r="B234">
        <v>2347</v>
      </c>
    </row>
    <row r="235" spans="1:2" x14ac:dyDescent="0.25">
      <c r="A235" s="2">
        <v>45930</v>
      </c>
      <c r="B235">
        <v>2824</v>
      </c>
    </row>
    <row r="236" spans="1:2" x14ac:dyDescent="0.25">
      <c r="A236" s="2">
        <v>45931</v>
      </c>
      <c r="B236">
        <v>2557</v>
      </c>
    </row>
    <row r="237" spans="1:2" x14ac:dyDescent="0.25">
      <c r="A237" s="2">
        <v>45932</v>
      </c>
      <c r="B237">
        <v>2572</v>
      </c>
    </row>
    <row r="238" spans="1:2" ht="15.75" thickBot="1" x14ac:dyDescent="0.3">
      <c r="A238" s="2">
        <v>45933</v>
      </c>
      <c r="B238">
        <v>2635</v>
      </c>
    </row>
    <row r="239" spans="1:2" ht="15.75" thickBot="1" x14ac:dyDescent="0.3">
      <c r="A239" s="3" t="s">
        <v>46</v>
      </c>
      <c r="B239">
        <v>12935</v>
      </c>
    </row>
    <row r="240" spans="1:2" x14ac:dyDescent="0.25">
      <c r="A240" s="2">
        <v>45936</v>
      </c>
      <c r="B240">
        <v>0</v>
      </c>
    </row>
    <row r="241" spans="1:2" x14ac:dyDescent="0.25">
      <c r="A241" s="2">
        <v>45937</v>
      </c>
      <c r="B241">
        <v>0</v>
      </c>
    </row>
    <row r="242" spans="1:2" x14ac:dyDescent="0.25">
      <c r="A242" s="2">
        <v>45938</v>
      </c>
      <c r="B242">
        <v>216</v>
      </c>
    </row>
    <row r="243" spans="1:2" x14ac:dyDescent="0.25">
      <c r="A243" s="2">
        <v>45939</v>
      </c>
      <c r="B243">
        <v>2267</v>
      </c>
    </row>
    <row r="244" spans="1:2" ht="15.75" thickBot="1" x14ac:dyDescent="0.3">
      <c r="A244" s="2">
        <v>45940</v>
      </c>
      <c r="B244">
        <v>3574</v>
      </c>
    </row>
    <row r="245" spans="1:2" ht="15.75" thickBot="1" x14ac:dyDescent="0.3">
      <c r="A245" s="3" t="s">
        <v>47</v>
      </c>
      <c r="B245">
        <v>6057</v>
      </c>
    </row>
    <row r="246" spans="1:2" x14ac:dyDescent="0.25">
      <c r="A246" s="2">
        <v>45943</v>
      </c>
      <c r="B246">
        <v>2839</v>
      </c>
    </row>
    <row r="247" spans="1:2" x14ac:dyDescent="0.25">
      <c r="A247" s="2">
        <v>45944</v>
      </c>
      <c r="B247">
        <v>2888</v>
      </c>
    </row>
    <row r="248" spans="1:2" x14ac:dyDescent="0.25">
      <c r="A248" s="2">
        <v>45945</v>
      </c>
      <c r="B248">
        <v>2636</v>
      </c>
    </row>
    <row r="249" spans="1:2" x14ac:dyDescent="0.25">
      <c r="A249" s="2">
        <v>45946</v>
      </c>
      <c r="B249">
        <v>2643</v>
      </c>
    </row>
    <row r="250" spans="1:2" x14ac:dyDescent="0.25">
      <c r="A250" s="2">
        <v>45947</v>
      </c>
      <c r="B250">
        <v>0</v>
      </c>
    </row>
    <row r="251" spans="1:2" ht="15.75" thickBot="1" x14ac:dyDescent="0.3">
      <c r="A251" s="2">
        <v>45948</v>
      </c>
      <c r="B251">
        <v>0</v>
      </c>
    </row>
    <row r="252" spans="1:2" ht="15.75" thickBot="1" x14ac:dyDescent="0.3">
      <c r="A252" s="3" t="s">
        <v>48</v>
      </c>
      <c r="B252">
        <v>11006</v>
      </c>
    </row>
    <row r="253" spans="1:2" x14ac:dyDescent="0.25">
      <c r="A253" s="2">
        <v>45950</v>
      </c>
      <c r="B253">
        <v>0</v>
      </c>
    </row>
    <row r="254" spans="1:2" x14ac:dyDescent="0.25">
      <c r="A254" s="2">
        <v>45951</v>
      </c>
      <c r="B254">
        <v>335</v>
      </c>
    </row>
    <row r="255" spans="1:2" x14ac:dyDescent="0.25">
      <c r="A255" s="2">
        <v>45952</v>
      </c>
      <c r="B255">
        <v>0</v>
      </c>
    </row>
    <row r="256" spans="1:2" x14ac:dyDescent="0.25">
      <c r="A256" s="1">
        <v>45953</v>
      </c>
      <c r="B256">
        <v>0</v>
      </c>
    </row>
    <row r="257" spans="1:2" ht="15.75" thickBot="1" x14ac:dyDescent="0.3">
      <c r="A257" s="4">
        <v>45954</v>
      </c>
      <c r="B257">
        <v>0</v>
      </c>
    </row>
    <row r="258" spans="1:2" ht="15.75" thickBot="1" x14ac:dyDescent="0.3">
      <c r="A258" s="3" t="s">
        <v>49</v>
      </c>
      <c r="B258">
        <v>335</v>
      </c>
    </row>
    <row r="259" spans="1:2" x14ac:dyDescent="0.25">
      <c r="A259" s="2">
        <v>45957</v>
      </c>
      <c r="B259">
        <v>0</v>
      </c>
    </row>
    <row r="260" spans="1:2" x14ac:dyDescent="0.25">
      <c r="A260" s="2">
        <v>45958</v>
      </c>
      <c r="B260">
        <v>2044</v>
      </c>
    </row>
    <row r="261" spans="1:2" x14ac:dyDescent="0.25">
      <c r="A261" s="2">
        <v>45959</v>
      </c>
      <c r="B261">
        <v>2943</v>
      </c>
    </row>
    <row r="262" spans="1:2" x14ac:dyDescent="0.25">
      <c r="A262" s="2">
        <v>45960</v>
      </c>
      <c r="B262">
        <v>2226</v>
      </c>
    </row>
    <row r="263" spans="1:2" ht="15.75" thickBot="1" x14ac:dyDescent="0.3">
      <c r="A263" s="2">
        <v>45961</v>
      </c>
      <c r="B263">
        <v>2463</v>
      </c>
    </row>
    <row r="264" spans="1:2" ht="15.75" thickBot="1" x14ac:dyDescent="0.3">
      <c r="A264" s="3" t="s">
        <v>50</v>
      </c>
      <c r="B264">
        <v>9676</v>
      </c>
    </row>
    <row r="265" spans="1:2" x14ac:dyDescent="0.25">
      <c r="A265" s="2">
        <v>45964</v>
      </c>
      <c r="B265">
        <v>2676</v>
      </c>
    </row>
    <row r="266" spans="1:2" x14ac:dyDescent="0.25">
      <c r="A266" s="2">
        <v>45965</v>
      </c>
      <c r="B266">
        <v>2681</v>
      </c>
    </row>
    <row r="267" spans="1:2" x14ac:dyDescent="0.25">
      <c r="A267" s="2">
        <v>45966</v>
      </c>
      <c r="B267">
        <v>233</v>
      </c>
    </row>
    <row r="268" spans="1:2" x14ac:dyDescent="0.25">
      <c r="A268" s="2">
        <v>45967</v>
      </c>
      <c r="B268">
        <v>0</v>
      </c>
    </row>
    <row r="269" spans="1:2" ht="15.75" thickBot="1" x14ac:dyDescent="0.3">
      <c r="A269" s="2">
        <v>45968</v>
      </c>
      <c r="B269">
        <v>906</v>
      </c>
    </row>
    <row r="270" spans="1:2" ht="15.75" thickBot="1" x14ac:dyDescent="0.3">
      <c r="A270" s="3" t="s">
        <v>51</v>
      </c>
      <c r="B270">
        <v>6496</v>
      </c>
    </row>
    <row r="271" spans="1:2" x14ac:dyDescent="0.25">
      <c r="A271" s="2">
        <v>45971</v>
      </c>
      <c r="B271">
        <v>20</v>
      </c>
    </row>
    <row r="272" spans="1:2" x14ac:dyDescent="0.25">
      <c r="A272" s="2">
        <v>45972</v>
      </c>
      <c r="B272">
        <v>648</v>
      </c>
    </row>
    <row r="273" spans="1:2" x14ac:dyDescent="0.25">
      <c r="A273" s="2">
        <v>45973</v>
      </c>
      <c r="B273">
        <v>272</v>
      </c>
    </row>
    <row r="274" spans="1:2" x14ac:dyDescent="0.25">
      <c r="A274" s="2">
        <v>45974</v>
      </c>
      <c r="B274">
        <v>0</v>
      </c>
    </row>
    <row r="275" spans="1:2" ht="15.75" thickBot="1" x14ac:dyDescent="0.3">
      <c r="A275" s="2">
        <v>45975</v>
      </c>
      <c r="B275">
        <v>0</v>
      </c>
    </row>
    <row r="276" spans="1:2" ht="15.75" thickBot="1" x14ac:dyDescent="0.3">
      <c r="A276" s="3" t="s">
        <v>52</v>
      </c>
      <c r="B276">
        <v>940</v>
      </c>
    </row>
    <row r="277" spans="1:2" x14ac:dyDescent="0.25">
      <c r="A277" s="2">
        <v>45978</v>
      </c>
      <c r="B277">
        <v>0</v>
      </c>
    </row>
    <row r="278" spans="1:2" x14ac:dyDescent="0.25">
      <c r="A278" s="2">
        <v>45979</v>
      </c>
      <c r="B278">
        <v>0</v>
      </c>
    </row>
    <row r="279" spans="1:2" x14ac:dyDescent="0.25">
      <c r="A279" s="2">
        <v>45980</v>
      </c>
      <c r="B279">
        <v>0</v>
      </c>
    </row>
    <row r="280" spans="1:2" x14ac:dyDescent="0.25">
      <c r="A280" s="2">
        <v>45981</v>
      </c>
      <c r="B280">
        <v>3284</v>
      </c>
    </row>
    <row r="281" spans="1:2" ht="15.75" thickBot="1" x14ac:dyDescent="0.3">
      <c r="A281" s="2">
        <v>45982</v>
      </c>
      <c r="B281">
        <v>4985</v>
      </c>
    </row>
    <row r="282" spans="1:2" ht="15.75" thickBot="1" x14ac:dyDescent="0.3">
      <c r="A282" s="3" t="s">
        <v>53</v>
      </c>
      <c r="B282">
        <v>8269</v>
      </c>
    </row>
    <row r="283" spans="1:2" x14ac:dyDescent="0.25">
      <c r="A283" s="2">
        <v>45985</v>
      </c>
      <c r="B283">
        <v>2676</v>
      </c>
    </row>
    <row r="284" spans="1:2" x14ac:dyDescent="0.25">
      <c r="A284" s="2">
        <v>45986</v>
      </c>
      <c r="B284">
        <v>2652</v>
      </c>
    </row>
    <row r="285" spans="1:2" x14ac:dyDescent="0.25">
      <c r="A285" s="2">
        <v>45987</v>
      </c>
      <c r="B285">
        <v>2616</v>
      </c>
    </row>
    <row r="286" spans="1:2" x14ac:dyDescent="0.25">
      <c r="A286" s="2">
        <v>45988</v>
      </c>
      <c r="B286">
        <v>3238</v>
      </c>
    </row>
    <row r="287" spans="1:2" ht="15.75" thickBot="1" x14ac:dyDescent="0.3">
      <c r="A287" s="2">
        <v>45989</v>
      </c>
      <c r="B287">
        <v>3145</v>
      </c>
    </row>
    <row r="288" spans="1:2" ht="15.75" thickBot="1" x14ac:dyDescent="0.3">
      <c r="A288" s="3" t="s">
        <v>54</v>
      </c>
      <c r="B288">
        <v>14327</v>
      </c>
    </row>
    <row r="289" spans="1:2" x14ac:dyDescent="0.25">
      <c r="A289" s="2">
        <v>45992</v>
      </c>
      <c r="B289">
        <v>9</v>
      </c>
    </row>
    <row r="290" spans="1:2" x14ac:dyDescent="0.25">
      <c r="A290" s="2">
        <v>45993</v>
      </c>
      <c r="B290">
        <v>0</v>
      </c>
    </row>
    <row r="291" spans="1:2" x14ac:dyDescent="0.25">
      <c r="A291" s="2">
        <v>45994</v>
      </c>
      <c r="B291">
        <v>0</v>
      </c>
    </row>
    <row r="292" spans="1:2" x14ac:dyDescent="0.25">
      <c r="A292" s="2">
        <v>45995</v>
      </c>
      <c r="B292">
        <v>0</v>
      </c>
    </row>
    <row r="293" spans="1:2" ht="15.75" thickBot="1" x14ac:dyDescent="0.3">
      <c r="A293" s="2">
        <v>45996</v>
      </c>
      <c r="B293">
        <v>0</v>
      </c>
    </row>
    <row r="294" spans="1:2" ht="15.75" thickBot="1" x14ac:dyDescent="0.3">
      <c r="A294" s="3" t="s">
        <v>55</v>
      </c>
      <c r="B294">
        <v>9</v>
      </c>
    </row>
    <row r="295" spans="1:2" x14ac:dyDescent="0.25">
      <c r="A295" s="2">
        <v>45999</v>
      </c>
      <c r="B295">
        <v>0</v>
      </c>
    </row>
    <row r="296" spans="1:2" x14ac:dyDescent="0.25">
      <c r="A296" s="2">
        <v>46000</v>
      </c>
      <c r="B296">
        <v>0</v>
      </c>
    </row>
    <row r="297" spans="1:2" x14ac:dyDescent="0.25">
      <c r="A297" s="2">
        <v>46001</v>
      </c>
      <c r="B297">
        <v>0</v>
      </c>
    </row>
    <row r="298" spans="1:2" x14ac:dyDescent="0.25">
      <c r="A298" s="2">
        <v>46002</v>
      </c>
      <c r="B298">
        <v>0</v>
      </c>
    </row>
    <row r="299" spans="1:2" x14ac:dyDescent="0.25">
      <c r="A299" s="2">
        <v>46003</v>
      </c>
      <c r="B299">
        <v>3276</v>
      </c>
    </row>
    <row r="300" spans="1:2" ht="15.75" thickBot="1" x14ac:dyDescent="0.3">
      <c r="A300" s="2">
        <v>46004</v>
      </c>
      <c r="B300">
        <v>5591</v>
      </c>
    </row>
    <row r="301" spans="1:2" ht="15.75" thickBot="1" x14ac:dyDescent="0.3">
      <c r="A301" s="3" t="s">
        <v>56</v>
      </c>
      <c r="B301">
        <v>8867</v>
      </c>
    </row>
    <row r="302" spans="1:2" x14ac:dyDescent="0.25">
      <c r="A302" s="2">
        <v>46006</v>
      </c>
      <c r="B302">
        <v>0</v>
      </c>
    </row>
    <row r="303" spans="1:2" x14ac:dyDescent="0.25">
      <c r="A303" s="2">
        <v>46007</v>
      </c>
      <c r="B303">
        <v>0</v>
      </c>
    </row>
    <row r="304" spans="1:2" x14ac:dyDescent="0.25">
      <c r="A304" s="2">
        <v>46008</v>
      </c>
      <c r="B304">
        <v>0</v>
      </c>
    </row>
    <row r="305" spans="1:2" x14ac:dyDescent="0.25">
      <c r="A305" s="2">
        <v>46009</v>
      </c>
      <c r="B305">
        <v>0</v>
      </c>
    </row>
    <row r="306" spans="1:2" ht="15.75" thickBot="1" x14ac:dyDescent="0.3">
      <c r="A306" s="2">
        <v>46010</v>
      </c>
      <c r="B306">
        <v>7</v>
      </c>
    </row>
    <row r="307" spans="1:2" ht="15.75" thickBot="1" x14ac:dyDescent="0.3">
      <c r="A307" s="3" t="s">
        <v>57</v>
      </c>
      <c r="B307">
        <v>7</v>
      </c>
    </row>
    <row r="308" spans="1:2" x14ac:dyDescent="0.25">
      <c r="A308" s="2">
        <v>46013</v>
      </c>
      <c r="B308">
        <v>0</v>
      </c>
    </row>
    <row r="309" spans="1:2" x14ac:dyDescent="0.25">
      <c r="A309" s="2">
        <v>46014</v>
      </c>
      <c r="B309">
        <v>0</v>
      </c>
    </row>
    <row r="310" spans="1:2" x14ac:dyDescent="0.25">
      <c r="A310" s="4">
        <v>46015</v>
      </c>
      <c r="B310">
        <v>0</v>
      </c>
    </row>
    <row r="311" spans="1:2" x14ac:dyDescent="0.25">
      <c r="A311" s="1">
        <v>46016</v>
      </c>
      <c r="B311">
        <v>0</v>
      </c>
    </row>
    <row r="312" spans="1:2" ht="15.75" thickBot="1" x14ac:dyDescent="0.3">
      <c r="A312" s="1">
        <v>46017</v>
      </c>
      <c r="B312">
        <v>0</v>
      </c>
    </row>
    <row r="313" spans="1:2" ht="15.75" thickBot="1" x14ac:dyDescent="0.3">
      <c r="A313" s="3" t="s">
        <v>58</v>
      </c>
      <c r="B313">
        <v>0</v>
      </c>
    </row>
    <row r="314" spans="1:2" x14ac:dyDescent="0.25">
      <c r="A314" s="2">
        <v>46020</v>
      </c>
      <c r="B314">
        <v>0</v>
      </c>
    </row>
    <row r="315" spans="1:2" x14ac:dyDescent="0.25">
      <c r="A315" s="2">
        <v>46021</v>
      </c>
      <c r="B315">
        <v>0</v>
      </c>
    </row>
    <row r="316" spans="1:2" ht="15.75" thickBot="1" x14ac:dyDescent="0.3">
      <c r="A316" s="2">
        <v>46022</v>
      </c>
      <c r="B316">
        <v>0</v>
      </c>
    </row>
    <row r="317" spans="1:2" ht="15.75" thickBot="1" x14ac:dyDescent="0.3">
      <c r="A317" s="3" t="s">
        <v>7</v>
      </c>
      <c r="B317">
        <v>0</v>
      </c>
    </row>
    <row r="318" spans="1:2" x14ac:dyDescent="0.25">
      <c r="A318" s="1">
        <v>46023</v>
      </c>
      <c r="B318">
        <v>0</v>
      </c>
    </row>
    <row r="319" spans="1:2" ht="15.75" thickBot="1" x14ac:dyDescent="0.3">
      <c r="A319" s="1">
        <v>46024</v>
      </c>
      <c r="B319">
        <v>0</v>
      </c>
    </row>
    <row r="320" spans="1:2" ht="15.75" thickBot="1" x14ac:dyDescent="0.3">
      <c r="A320" s="3" t="s">
        <v>7</v>
      </c>
      <c r="B320">
        <v>0</v>
      </c>
    </row>
    <row r="321" spans="1:2" x14ac:dyDescent="0.25">
      <c r="A321" s="2">
        <v>46027</v>
      </c>
      <c r="B321">
        <v>0</v>
      </c>
    </row>
    <row r="322" spans="1:2" x14ac:dyDescent="0.25">
      <c r="A322" s="2">
        <v>46028</v>
      </c>
      <c r="B322">
        <v>0</v>
      </c>
    </row>
    <row r="323" spans="1:2" x14ac:dyDescent="0.25">
      <c r="A323" s="2">
        <v>46029</v>
      </c>
      <c r="B323">
        <v>0</v>
      </c>
    </row>
    <row r="324" spans="1:2" x14ac:dyDescent="0.25">
      <c r="A324" s="2">
        <v>46030</v>
      </c>
      <c r="B324">
        <v>0</v>
      </c>
    </row>
    <row r="325" spans="1:2" x14ac:dyDescent="0.25">
      <c r="A325" s="2">
        <v>46031</v>
      </c>
      <c r="B325">
        <v>0</v>
      </c>
    </row>
    <row r="326" spans="1:2" ht="15.75" thickBot="1" x14ac:dyDescent="0.3">
      <c r="A326" s="2">
        <v>46032</v>
      </c>
      <c r="B326">
        <v>0</v>
      </c>
    </row>
    <row r="327" spans="1:2" ht="15.75" thickBot="1" x14ac:dyDescent="0.3">
      <c r="A327" s="3" t="s">
        <v>8</v>
      </c>
      <c r="B327">
        <v>0</v>
      </c>
    </row>
    <row r="328" spans="1:2" x14ac:dyDescent="0.25">
      <c r="A328" s="2">
        <v>46034</v>
      </c>
      <c r="B328">
        <v>0</v>
      </c>
    </row>
    <row r="329" spans="1:2" x14ac:dyDescent="0.25">
      <c r="A329" s="2">
        <v>46035</v>
      </c>
      <c r="B329">
        <v>0</v>
      </c>
    </row>
    <row r="330" spans="1:2" x14ac:dyDescent="0.25">
      <c r="A330" s="2">
        <v>46036</v>
      </c>
      <c r="B330">
        <v>0</v>
      </c>
    </row>
    <row r="331" spans="1:2" x14ac:dyDescent="0.25">
      <c r="A331" s="2">
        <v>46037</v>
      </c>
      <c r="B331">
        <v>0</v>
      </c>
    </row>
    <row r="332" spans="1:2" ht="15.75" thickBot="1" x14ac:dyDescent="0.3">
      <c r="A332" s="2">
        <v>46038</v>
      </c>
      <c r="B332">
        <v>0</v>
      </c>
    </row>
    <row r="333" spans="1:2" ht="15.75" thickBot="1" x14ac:dyDescent="0.3">
      <c r="A333" s="3" t="s">
        <v>9</v>
      </c>
      <c r="B333">
        <v>0</v>
      </c>
    </row>
    <row r="334" spans="1:2" x14ac:dyDescent="0.25">
      <c r="A334" s="2">
        <v>46041</v>
      </c>
      <c r="B334">
        <v>0</v>
      </c>
    </row>
    <row r="335" spans="1:2" x14ac:dyDescent="0.25">
      <c r="A335" s="2">
        <v>46042</v>
      </c>
      <c r="B335">
        <v>0</v>
      </c>
    </row>
    <row r="336" spans="1:2" x14ac:dyDescent="0.25">
      <c r="A336" s="2">
        <v>46043</v>
      </c>
      <c r="B336">
        <v>0</v>
      </c>
    </row>
    <row r="337" spans="1:2" x14ac:dyDescent="0.25">
      <c r="A337" s="2">
        <v>46044</v>
      </c>
      <c r="B337">
        <v>0</v>
      </c>
    </row>
    <row r="338" spans="1:2" ht="15.75" thickBot="1" x14ac:dyDescent="0.3">
      <c r="A338" s="2">
        <v>46045</v>
      </c>
      <c r="B338">
        <v>27</v>
      </c>
    </row>
    <row r="339" spans="1:2" ht="15.75" thickBot="1" x14ac:dyDescent="0.3">
      <c r="A339" s="3" t="s">
        <v>10</v>
      </c>
      <c r="B339">
        <v>27</v>
      </c>
    </row>
    <row r="340" spans="1:2" x14ac:dyDescent="0.25">
      <c r="A340" s="2">
        <v>46048</v>
      </c>
      <c r="B340">
        <v>3180</v>
      </c>
    </row>
    <row r="341" spans="1:2" x14ac:dyDescent="0.25">
      <c r="A341" s="2">
        <v>46049</v>
      </c>
      <c r="B341">
        <v>4624</v>
      </c>
    </row>
    <row r="342" spans="1:2" x14ac:dyDescent="0.25">
      <c r="A342" s="2">
        <v>46050</v>
      </c>
      <c r="B342">
        <v>7037</v>
      </c>
    </row>
    <row r="343" spans="1:2" x14ac:dyDescent="0.25">
      <c r="A343" s="2">
        <v>46051</v>
      </c>
      <c r="B343">
        <v>3976</v>
      </c>
    </row>
    <row r="344" spans="1:2" ht="15.75" thickBot="1" x14ac:dyDescent="0.3">
      <c r="A344" s="2">
        <v>46052</v>
      </c>
      <c r="B344">
        <v>1913</v>
      </c>
    </row>
    <row r="345" spans="1:2" ht="15.75" thickBot="1" x14ac:dyDescent="0.3">
      <c r="A345" s="3" t="s">
        <v>11</v>
      </c>
      <c r="B345">
        <v>20730</v>
      </c>
    </row>
    <row r="346" spans="1:2" x14ac:dyDescent="0.25">
      <c r="A346" s="2">
        <v>46055</v>
      </c>
      <c r="B346">
        <v>2974</v>
      </c>
    </row>
    <row r="347" spans="1:2" x14ac:dyDescent="0.25">
      <c r="A347" s="2">
        <v>46056</v>
      </c>
      <c r="B347">
        <v>2927</v>
      </c>
    </row>
    <row r="348" spans="1:2" x14ac:dyDescent="0.25">
      <c r="A348" s="2">
        <v>46057</v>
      </c>
      <c r="B348">
        <v>2969</v>
      </c>
    </row>
    <row r="349" spans="1:2" x14ac:dyDescent="0.25">
      <c r="A349" s="2">
        <v>46058</v>
      </c>
      <c r="B349">
        <v>2798</v>
      </c>
    </row>
    <row r="350" spans="1:2" ht="15.75" thickBot="1" x14ac:dyDescent="0.3">
      <c r="A350" s="2">
        <v>46059</v>
      </c>
      <c r="B350">
        <v>2597</v>
      </c>
    </row>
    <row r="351" spans="1:2" ht="15.75" thickBot="1" x14ac:dyDescent="0.3">
      <c r="A351" s="3" t="s">
        <v>12</v>
      </c>
      <c r="B351">
        <v>14265</v>
      </c>
    </row>
    <row r="352" spans="1:2" x14ac:dyDescent="0.25">
      <c r="A352" s="2">
        <v>46062</v>
      </c>
      <c r="B352">
        <v>0</v>
      </c>
    </row>
    <row r="353" spans="1:2" x14ac:dyDescent="0.25">
      <c r="A353" s="2">
        <v>46063</v>
      </c>
      <c r="B353">
        <v>0</v>
      </c>
    </row>
    <row r="354" spans="1:2" x14ac:dyDescent="0.25">
      <c r="A354" s="2">
        <v>46064</v>
      </c>
      <c r="B354">
        <v>0</v>
      </c>
    </row>
    <row r="355" spans="1:2" x14ac:dyDescent="0.25">
      <c r="A355" s="2">
        <v>46065</v>
      </c>
      <c r="B355">
        <v>0</v>
      </c>
    </row>
    <row r="356" spans="1:2" ht="15.75" thickBot="1" x14ac:dyDescent="0.3">
      <c r="A356" s="2">
        <v>46066</v>
      </c>
      <c r="B356">
        <v>0</v>
      </c>
    </row>
    <row r="357" spans="1:2" ht="15.75" thickBot="1" x14ac:dyDescent="0.3">
      <c r="A357" s="3" t="s">
        <v>13</v>
      </c>
      <c r="B3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Nyers</vt:lpstr>
      <vt:lpstr>SZO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Sándor László</dc:creator>
  <cp:lastModifiedBy>Sándor László</cp:lastModifiedBy>
  <dcterms:created xsi:type="dcterms:W3CDTF">2015-06-05T18:19:34Z</dcterms:created>
  <dcterms:modified xsi:type="dcterms:W3CDTF">2026-02-13T11:16:54Z</dcterms:modified>
</cp:coreProperties>
</file>